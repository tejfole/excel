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7e64a3353b846d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zegbp-my.sharepoint.com/personal/papp_gyorgy_szegbp_hu/Documents/Szeg/felveteli2026/"/>
    </mc:Choice>
  </mc:AlternateContent>
  <xr:revisionPtr revIDLastSave="66858" documentId="13_ncr:1_{1F5A3E6C-86C2-4B6D-A4E9-A3C5717C1FF1}" xr6:coauthVersionLast="47" xr6:coauthVersionMax="47" xr10:uidLastSave="{1392653C-BF85-4F05-9D54-3EA4D48584D1}"/>
  <bookViews>
    <workbookView minimized="1" xWindow="2520" yWindow="1830" windowWidth="24780" windowHeight="10725" activeTab="1" xr2:uid="{5E739455-A73E-4492-AFC9-7362613A8B62}"/>
  </bookViews>
  <sheets>
    <sheet name="adatok" sheetId="4" r:id="rId1"/>
    <sheet name="diakadat" sheetId="5" r:id="rId2"/>
    <sheet name="rangsor" sheetId="1" r:id="rId3"/>
    <sheet name="lista" sheetId="2" r:id="rId4"/>
    <sheet name="tagozat" sheetId="7" r:id="rId5"/>
    <sheet name="Dashboard" sheetId="8" r:id="rId6"/>
    <sheet name="eselyesek" sheetId="12" r:id="rId7"/>
    <sheet name="diak_lista" sheetId="11" r:id="rId8"/>
    <sheet name="_lista_seged" sheetId="10" state="veryHidden" r:id="rId9"/>
    <sheet name="bizonyitvany_matrix" sheetId="15" r:id="rId10"/>
    <sheet name="idopontok" sheetId="16" r:id="rId11"/>
  </sheets>
  <functionGroups builtInGroupCount="19"/>
  <definedNames>
    <definedName name="_xleta.ISBLANK" hidden="1" xlm="1">#NAME?</definedName>
    <definedName name="_xleta.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4" l="1"/>
  <c r="D8" i="4"/>
  <c r="G344" i="1"/>
  <c r="K4" i="4" l="1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9" i="4"/>
  <c r="K150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148" i="4"/>
  <c r="K151" i="4"/>
  <c r="K60" i="4"/>
  <c r="K27" i="4"/>
  <c r="K182" i="4"/>
  <c r="K201" i="4"/>
  <c r="K202" i="4"/>
  <c r="K203" i="4"/>
  <c r="D160" i="4"/>
  <c r="D109" i="4"/>
  <c r="D48" i="4"/>
  <c r="D148" i="4"/>
  <c r="D151" i="4"/>
  <c r="D60" i="4"/>
  <c r="D27" i="4"/>
  <c r="D182" i="4"/>
  <c r="D201" i="4"/>
  <c r="D202" i="4"/>
  <c r="D203" i="4"/>
  <c r="D112" i="4"/>
  <c r="D180" i="4"/>
  <c r="D24" i="4"/>
  <c r="D176" i="4"/>
  <c r="D124" i="4"/>
  <c r="D118" i="4"/>
  <c r="D125" i="4"/>
  <c r="D78" i="4"/>
  <c r="D29" i="4"/>
  <c r="D70" i="4"/>
  <c r="D16" i="4"/>
  <c r="D108" i="4"/>
  <c r="D98" i="4"/>
  <c r="E344" i="1"/>
  <c r="D344" i="1"/>
  <c r="F344" i="1"/>
  <c r="D4" i="4"/>
  <c r="D5" i="4"/>
  <c r="D6" i="4"/>
  <c r="D7" i="4"/>
  <c r="D10" i="4"/>
  <c r="D11" i="4"/>
  <c r="D12" i="4"/>
  <c r="D13" i="4"/>
  <c r="D14" i="4"/>
  <c r="D15" i="4"/>
  <c r="D17" i="4"/>
  <c r="D18" i="4"/>
  <c r="D19" i="4"/>
  <c r="D20" i="4"/>
  <c r="D21" i="4"/>
  <c r="D22" i="4"/>
  <c r="D23" i="4"/>
  <c r="D25" i="4"/>
  <c r="D26" i="4"/>
  <c r="D28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9" i="4"/>
  <c r="D50" i="4"/>
  <c r="D51" i="4"/>
  <c r="D52" i="4"/>
  <c r="D53" i="4"/>
  <c r="D54" i="4"/>
  <c r="D55" i="4"/>
  <c r="D56" i="4"/>
  <c r="D57" i="4"/>
  <c r="D58" i="4"/>
  <c r="D59" i="4"/>
  <c r="D61" i="4"/>
  <c r="D62" i="4"/>
  <c r="D63" i="4"/>
  <c r="D64" i="4"/>
  <c r="D65" i="4"/>
  <c r="D66" i="4"/>
  <c r="D67" i="4"/>
  <c r="D68" i="4"/>
  <c r="D69" i="4"/>
  <c r="D71" i="4"/>
  <c r="D72" i="4"/>
  <c r="D73" i="4"/>
  <c r="D74" i="4"/>
  <c r="D75" i="4"/>
  <c r="D76" i="4"/>
  <c r="D77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4" i="4"/>
  <c r="D95" i="4"/>
  <c r="D96" i="4"/>
  <c r="D97" i="4"/>
  <c r="D99" i="4"/>
  <c r="D100" i="4"/>
  <c r="D101" i="4"/>
  <c r="D102" i="4"/>
  <c r="D103" i="4"/>
  <c r="D104" i="4"/>
  <c r="D105" i="4"/>
  <c r="D106" i="4"/>
  <c r="D107" i="4"/>
  <c r="D110" i="4"/>
  <c r="D111" i="4"/>
  <c r="D113" i="4"/>
  <c r="D114" i="4"/>
  <c r="D115" i="4"/>
  <c r="D116" i="4"/>
  <c r="D117" i="4"/>
  <c r="D119" i="4"/>
  <c r="D120" i="4"/>
  <c r="D121" i="4"/>
  <c r="D122" i="4"/>
  <c r="D123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9" i="4"/>
  <c r="D150" i="4"/>
  <c r="D152" i="4"/>
  <c r="D153" i="4"/>
  <c r="D154" i="4"/>
  <c r="D155" i="4"/>
  <c r="D156" i="4"/>
  <c r="D157" i="4"/>
  <c r="D158" i="4"/>
  <c r="D159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7" i="4"/>
  <c r="D178" i="4"/>
  <c r="D179" i="4"/>
  <c r="D181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93" i="4"/>
  <c r="AP426" i="2" a="1"/>
  <c r="AP302" i="2" a="1"/>
  <c r="AQ100" i="2" a="1"/>
  <c r="AP6" i="2" a="1"/>
  <c r="AP447" i="2" a="1"/>
  <c r="AP339" i="2" a="1"/>
  <c r="AQ120" i="2" a="1"/>
  <c r="AP4" i="2" a="1"/>
  <c r="AP442" i="2" a="1"/>
  <c r="AP334" i="2" a="1"/>
  <c r="AQ116" i="2" a="1"/>
  <c r="AP14" i="2" a="1"/>
  <c r="AP463" i="2" a="1"/>
  <c r="AP371" i="2" a="1"/>
  <c r="AQ137" i="2" a="1"/>
  <c r="AP44" i="2" a="1"/>
  <c r="AP522" i="2" a="1"/>
  <c r="AP494" i="2" a="1"/>
  <c r="AQ178" i="2" a="1"/>
  <c r="AP54" i="2" a="1"/>
  <c r="AP480" i="2" a="1"/>
  <c r="AP531" i="2" a="1"/>
  <c r="AQ198" i="2" a="1"/>
  <c r="AP155" i="2" a="1"/>
  <c r="AP183" i="2" a="1"/>
  <c r="AP21" i="2" a="1"/>
  <c r="AP556" i="2" a="1"/>
  <c r="AP329" i="2" a="1"/>
  <c r="AQ250" i="2" a="1"/>
  <c r="AP23" i="2" a="1"/>
  <c r="AP560" i="2" a="1"/>
  <c r="AQ584" i="2" a="1"/>
  <c r="AO90" i="2" a="1"/>
  <c r="AQ277" i="2" a="1"/>
  <c r="AO48" i="2" a="1"/>
  <c r="AQ311" i="2" a="1"/>
  <c r="AO266" i="2" a="1"/>
  <c r="AO413" i="2" a="1"/>
  <c r="AO23" i="2" a="1"/>
  <c r="AP410" i="2" a="1"/>
  <c r="AP431" i="2" a="1"/>
  <c r="AP61" i="2" a="1"/>
  <c r="AP130" i="2" a="1"/>
  <c r="AP489" i="2" a="1"/>
  <c r="AQ331" i="2" a="1"/>
  <c r="AP63" i="2" a="1"/>
  <c r="AP136" i="2" a="1"/>
  <c r="AQ400" i="2" a="1"/>
  <c r="AO170" i="2" a="1"/>
  <c r="AQ318" i="2" a="1"/>
  <c r="AO17" i="2" a="1"/>
  <c r="AQ146" i="2" a="1"/>
  <c r="AO310" i="2" a="1"/>
  <c r="AO582" i="2" a="1"/>
  <c r="AO103" i="2" a="1"/>
  <c r="AP474" i="2" a="1"/>
  <c r="AP495" i="2" a="1"/>
  <c r="AP69" i="2" a="1"/>
  <c r="AP193" i="2" a="1"/>
  <c r="AP521" i="2" a="1"/>
  <c r="AQ347" i="2" a="1"/>
  <c r="AP71" i="2" a="1"/>
  <c r="AP209" i="2" a="1"/>
  <c r="AQ432" i="2" a="1"/>
  <c r="AO76" i="2" a="1"/>
  <c r="AQ382" i="2" a="1"/>
  <c r="AO25" i="2" a="1"/>
  <c r="AQ344" i="2" a="1"/>
  <c r="AO318" i="2" a="1"/>
  <c r="AO417" i="2" a="1"/>
  <c r="AO98" i="2" a="1"/>
  <c r="AP360" i="2" a="1"/>
  <c r="AQ427" i="2" a="1"/>
  <c r="AO158" i="2" a="1"/>
  <c r="AO358" i="2" a="1"/>
  <c r="AO480" i="2" a="1"/>
  <c r="AQ143" i="2" a="1"/>
  <c r="AO139" i="2" a="1"/>
  <c r="AQ430" i="2" a="1"/>
  <c r="AO191" i="2" a="1"/>
  <c r="AO471" i="2" a="1"/>
  <c r="AL378" i="2" a="1"/>
  <c r="AL178" i="2" a="1"/>
  <c r="D36" i="2" a="1"/>
  <c r="D286" i="2" a="1"/>
  <c r="D295" i="2" a="1"/>
  <c r="AP381" i="2" a="1"/>
  <c r="AP384" i="2" a="1"/>
  <c r="AO97" i="2" a="1"/>
  <c r="AO251" i="2" a="1"/>
  <c r="AO515" i="2" a="1"/>
  <c r="AO13" i="2" a="1"/>
  <c r="AO410" i="2" a="1"/>
  <c r="AO47" i="2" a="1"/>
  <c r="AO428" i="2" a="1"/>
  <c r="AL491" i="2" a="1"/>
  <c r="AL308" i="2" a="1"/>
  <c r="AL368" i="2" a="1"/>
  <c r="D371" i="2" a="1"/>
  <c r="D3" i="2" a="1"/>
  <c r="AL11" i="2" a="1"/>
  <c r="AL6" i="2" a="1"/>
  <c r="AP427" i="2" a="1"/>
  <c r="AP372" i="2" a="1"/>
  <c r="AO238" i="2" a="1"/>
  <c r="AO233" i="2" a="1"/>
  <c r="AO429" i="2" a="1"/>
  <c r="AO93" i="2" a="1"/>
  <c r="AO450" i="2" a="1"/>
  <c r="AO114" i="2" a="1"/>
  <c r="AO468" i="2" a="1"/>
  <c r="AL49" i="2" a="1"/>
  <c r="AL342" i="2" a="1"/>
  <c r="AL521" i="2" a="1"/>
  <c r="D342" i="2" a="1"/>
  <c r="D373" i="2" a="1"/>
  <c r="AL353" i="2" a="1"/>
  <c r="AL569" i="2" a="1"/>
  <c r="AQ538" i="2" a="1"/>
  <c r="AO22" i="2" a="1"/>
  <c r="AL215" i="2" a="1"/>
  <c r="AL528" i="2" a="1"/>
  <c r="AL443" i="2" a="1"/>
  <c r="D393" i="2" a="1"/>
  <c r="D61" i="2" a="1"/>
  <c r="D344" i="2" a="1"/>
  <c r="AP65" i="2" a="1"/>
  <c r="AP165" i="2" a="1"/>
  <c r="AP505" i="2" a="1"/>
  <c r="AQ339" i="2" a="1"/>
  <c r="AP75" i="2" a="1"/>
  <c r="AP241" i="2" a="1"/>
  <c r="AP541" i="2" a="1"/>
  <c r="AQ358" i="2" a="1"/>
  <c r="AP73" i="2" a="1"/>
  <c r="AP225" i="2" a="1"/>
  <c r="AP537" i="2" a="1"/>
  <c r="AQ355" i="2" a="1"/>
  <c r="AP83" i="2" a="1"/>
  <c r="AP260" i="2" a="1"/>
  <c r="AP557" i="2" a="1"/>
  <c r="AQ374" i="2" a="1"/>
  <c r="AP113" i="2" a="1"/>
  <c r="AP325" i="2" a="1"/>
  <c r="AQ12" i="2" a="1"/>
  <c r="AQ435" i="2" a="1"/>
  <c r="AP64" i="2" a="1"/>
  <c r="AP344" i="2" a="1"/>
  <c r="AQ22" i="2" a="1"/>
  <c r="AQ62" i="2" a="1"/>
  <c r="AP347" i="2" a="1"/>
  <c r="AP390" i="2" a="1"/>
  <c r="AP116" i="2" a="1"/>
  <c r="AP397" i="2" a="1"/>
  <c r="AQ48" i="2" a="1"/>
  <c r="AQ165" i="2" a="1"/>
  <c r="AP120" i="2" a="1"/>
  <c r="AP400" i="2" a="1"/>
  <c r="AQ306" i="2" a="1"/>
  <c r="AO211" i="2" a="1"/>
  <c r="AQ284" i="2" a="1"/>
  <c r="AO105" i="2" a="1"/>
  <c r="AO60" i="2" a="1"/>
  <c r="AO398" i="2" a="1"/>
  <c r="AO435" i="2" a="1"/>
  <c r="AO279" i="2" a="1"/>
  <c r="AP233" i="2" a="1"/>
  <c r="AP307" i="2" a="1"/>
  <c r="AP148" i="2" a="1"/>
  <c r="AP488" i="2" a="1"/>
  <c r="AQ39" i="2" a="1"/>
  <c r="AQ369" i="2" a="1"/>
  <c r="AP151" i="2" a="1"/>
  <c r="AP496" i="2" a="1"/>
  <c r="AQ468" i="2" a="1"/>
  <c r="AP94" i="2" a="1"/>
  <c r="AQ357" i="2" a="1"/>
  <c r="AO149" i="2" a="1"/>
  <c r="AO69" i="2" a="1"/>
  <c r="AO438" i="2" a="1"/>
  <c r="AO542" i="2" a="1"/>
  <c r="AO327" i="2" a="1"/>
  <c r="AP398" i="2" a="1"/>
  <c r="AP435" i="2" a="1"/>
  <c r="AP164" i="2" a="1"/>
  <c r="AP520" i="2" a="1"/>
  <c r="AQ47" i="2" a="1"/>
  <c r="AQ385" i="2" a="1"/>
  <c r="AP167" i="2" a="1"/>
  <c r="AP528" i="2" a="1"/>
  <c r="AQ500" i="2" a="1"/>
  <c r="AP278" i="2" a="1"/>
  <c r="AQ389" i="2" a="1"/>
  <c r="AO165" i="2" a="1"/>
  <c r="AO85" i="2" a="1"/>
  <c r="AO446" i="2" a="1"/>
  <c r="AO590" i="2" a="1"/>
  <c r="AO335" i="2" a="1"/>
  <c r="AP109" i="2" a="1"/>
  <c r="AP111" i="2" a="1"/>
  <c r="AQ467" i="2" a="1"/>
  <c r="AO513" i="2" a="1"/>
  <c r="AO581" i="2" a="1"/>
  <c r="AQ343" i="2" a="1"/>
  <c r="AO274" i="2" a="1"/>
  <c r="AQ484" i="2" a="1"/>
  <c r="AO292" i="2" a="1"/>
  <c r="AO546" i="2" a="1"/>
  <c r="AL286" i="2" a="1"/>
  <c r="AL376" i="2" a="1"/>
  <c r="D589" i="2" a="1"/>
  <c r="D359" i="2" a="1"/>
  <c r="AP86" i="2" a="1"/>
  <c r="AQ40" i="2" a="1"/>
  <c r="AQ272" i="2" a="1"/>
  <c r="AO44" i="2" a="1"/>
  <c r="AO360" i="2" a="1"/>
  <c r="AO591" i="2" a="1"/>
  <c r="AO262" i="2" a="1"/>
  <c r="AO543" i="2" a="1"/>
  <c r="AO295" i="2" a="1"/>
  <c r="AO522" i="2" a="1"/>
  <c r="AL410" i="2" a="1"/>
  <c r="AL26" i="2" a="1"/>
  <c r="AL189" i="2" a="1"/>
  <c r="D133" i="2" a="1"/>
  <c r="D246" i="2" a="1"/>
  <c r="AL238" i="2" a="1"/>
  <c r="AQ247" i="2" a="1"/>
  <c r="AQ171" i="2" a="1"/>
  <c r="AQ554" i="2" a="1"/>
  <c r="AO287" i="2" a="1"/>
  <c r="AO400" i="2" a="1"/>
  <c r="AO592" i="2" a="1"/>
  <c r="AO321" i="2" a="1"/>
  <c r="AO445" i="2" a="1"/>
  <c r="AO339" i="2" a="1"/>
  <c r="AO569" i="2" a="1"/>
  <c r="AL181" i="2" a="1"/>
  <c r="AL281" i="2" a="1"/>
  <c r="D181" i="2" a="1"/>
  <c r="D243" i="2" a="1"/>
  <c r="D555" i="2" a="1"/>
  <c r="AL466" i="2" a="1"/>
  <c r="AP450" i="2" a="1"/>
  <c r="AO512" i="2" a="1"/>
  <c r="AO380" i="2" a="1"/>
  <c r="D299" i="2" a="1"/>
  <c r="AL163" i="2" a="1"/>
  <c r="AL129" i="2" a="1"/>
  <c r="D101" i="2" a="1"/>
  <c r="D52" i="2" a="1"/>
  <c r="AL277" i="2" a="1"/>
  <c r="AP156" i="2" a="1"/>
  <c r="AP501" i="2" a="1"/>
  <c r="AQ43" i="2" a="1"/>
  <c r="AQ377" i="2" a="1"/>
  <c r="AP174" i="2" a="1"/>
  <c r="AP542" i="2" a="1"/>
  <c r="AQ53" i="2" a="1"/>
  <c r="AQ396" i="2" a="1"/>
  <c r="AP172" i="2" a="1"/>
  <c r="AP538" i="2" a="1"/>
  <c r="AQ51" i="2" a="1"/>
  <c r="AQ393" i="2" a="1"/>
  <c r="AP182" i="2" a="1"/>
  <c r="AP558" i="2" a="1"/>
  <c r="AQ61" i="2" a="1"/>
  <c r="AQ412" i="2" a="1"/>
  <c r="AP212" i="2" a="1"/>
  <c r="AP146" i="2" a="1"/>
  <c r="AQ91" i="2" a="1"/>
  <c r="AQ461" i="2" a="1"/>
  <c r="AP222" i="2" a="1"/>
  <c r="AP154" i="2" a="1"/>
  <c r="AQ101" i="2" a="1"/>
  <c r="AQ471" i="2" a="1"/>
  <c r="AQ131" i="2" a="1"/>
  <c r="AQ152" i="2" a="1"/>
  <c r="AP139" i="2" a="1"/>
  <c r="AP331" i="2" a="1"/>
  <c r="AQ127" i="2" a="1"/>
  <c r="AQ497" i="2" a="1"/>
  <c r="AP144" i="2" a="1"/>
  <c r="AP291" i="2" a="1"/>
  <c r="AQ458" i="2" a="1"/>
  <c r="AP532" i="2" a="1"/>
  <c r="AQ264" i="2" a="1"/>
  <c r="AO190" i="2" a="1"/>
  <c r="AO214" i="2" a="1"/>
  <c r="AO168" i="2" a="1"/>
  <c r="AQ366" i="2" a="1"/>
  <c r="AO183" i="2" a="1"/>
  <c r="AQ84" i="2" a="1"/>
  <c r="AQ104" i="2" a="1"/>
  <c r="AP235" i="2" a="1"/>
  <c r="AP491" i="2" a="1"/>
  <c r="AQ187" i="2" a="1"/>
  <c r="AQ537" i="2" a="1"/>
  <c r="AP239" i="2" a="1"/>
  <c r="AP581" i="2" a="1"/>
  <c r="AQ456" i="2" a="1"/>
  <c r="AP380" i="2" a="1"/>
  <c r="AQ423" i="2" a="1"/>
  <c r="AO270" i="2" a="1"/>
  <c r="AO309" i="2" a="1"/>
  <c r="AO539" i="2" a="1"/>
  <c r="AQ252" i="2" a="1"/>
  <c r="AO265" i="2" a="1"/>
  <c r="AQ150" i="2" a="1"/>
  <c r="AQ169" i="2" a="1"/>
  <c r="AP251" i="2" a="1"/>
  <c r="AP523" i="2" a="1"/>
  <c r="AQ195" i="2" a="1"/>
  <c r="AQ545" i="2" a="1"/>
  <c r="AP254" i="2" a="1"/>
  <c r="AQ26" i="2" a="1"/>
  <c r="AQ496" i="2" a="1"/>
  <c r="AP508" i="2" a="1"/>
  <c r="AQ460" i="2" a="1"/>
  <c r="AO281" i="2" a="1"/>
  <c r="AO317" i="2" a="1"/>
  <c r="AO547" i="2" a="1"/>
  <c r="AQ82" i="2" a="1"/>
  <c r="AO119" i="2" a="1"/>
  <c r="AP317" i="2" a="1"/>
  <c r="AP320" i="2" a="1"/>
  <c r="AO65" i="2" a="1"/>
  <c r="AO150" i="2" a="1"/>
  <c r="AO453" i="2" a="1"/>
  <c r="AO68" i="2" a="1"/>
  <c r="AO402" i="2" a="1"/>
  <c r="AO31" i="2" a="1"/>
  <c r="AO420" i="2" a="1"/>
  <c r="AO540" i="2" a="1"/>
  <c r="AL338" i="2" a="1"/>
  <c r="AL77" i="2" a="1"/>
  <c r="D272" i="2" a="1"/>
  <c r="D577" i="2" a="1"/>
  <c r="AP264" i="2" a="1"/>
  <c r="AQ133" i="2" a="1"/>
  <c r="AO194" i="2" a="1"/>
  <c r="AO390" i="2" a="1"/>
  <c r="AO488" i="2" a="1"/>
  <c r="AQ286" i="2" a="1"/>
  <c r="AO171" i="2" a="1"/>
  <c r="AQ340" i="2" a="1"/>
  <c r="AO209" i="2" a="1"/>
  <c r="AO487" i="2" a="1"/>
  <c r="AL320" i="2" a="1"/>
  <c r="AL190" i="2" a="1"/>
  <c r="D37" i="2" a="1"/>
  <c r="D132" i="2" a="1"/>
  <c r="D575" i="2" a="1"/>
  <c r="AL207" i="2" a="1"/>
  <c r="AQ257" i="2" a="1"/>
  <c r="AQ521" i="2" a="1"/>
  <c r="AP438" i="2" a="1"/>
  <c r="AO511" i="2" a="1"/>
  <c r="AO185" i="2" a="1"/>
  <c r="AQ579" i="2" a="1"/>
  <c r="AO252" i="2" a="1"/>
  <c r="AQ141" i="2" a="1"/>
  <c r="AO135" i="2" a="1"/>
  <c r="AO568" i="2" a="1"/>
  <c r="AL307" i="2" a="1"/>
  <c r="AL21" i="2" a="1"/>
  <c r="D499" i="2" a="1"/>
  <c r="D487" i="2" a="1"/>
  <c r="D282" i="2" a="1"/>
  <c r="AL183" i="2" a="1"/>
  <c r="AP455" i="2" a="1"/>
  <c r="AQ536" i="2" a="1"/>
  <c r="AO533" i="2" a="1"/>
  <c r="D166" i="2" a="1"/>
  <c r="AL142" i="2" a="1"/>
  <c r="D72" i="2" a="1"/>
  <c r="D60" i="2" a="1"/>
  <c r="D49" i="2" a="1"/>
  <c r="AL251" i="2" a="1"/>
  <c r="AQ191" i="2" a="1"/>
  <c r="AQ201" i="2" a="1"/>
  <c r="AQ199" i="2" a="1"/>
  <c r="AQ209" i="2" a="1"/>
  <c r="AQ239" i="2" a="1"/>
  <c r="AQ249" i="2" a="1"/>
  <c r="AP338" i="2" a="1"/>
  <c r="AP343" i="2" a="1"/>
  <c r="AQ424" i="2" a="1"/>
  <c r="AQ452" i="2" a="1"/>
  <c r="AP418" i="2" a="1"/>
  <c r="AP423" i="2" a="1"/>
  <c r="AQ578" i="2" a="1"/>
  <c r="AQ413" i="2" a="1"/>
  <c r="AP434" i="2" a="1"/>
  <c r="AP439" i="2" a="1"/>
  <c r="AQ442" i="2" a="1"/>
  <c r="AQ474" i="2" a="1"/>
  <c r="AQ504" i="2" a="1"/>
  <c r="AO519" i="2" a="1"/>
  <c r="AL30" i="2" a="1"/>
  <c r="AP100" i="2" a="1"/>
  <c r="AO589" i="2" a="1"/>
  <c r="AO300" i="2" a="1"/>
  <c r="D430" i="2" a="1"/>
  <c r="AP203" i="2" a="1"/>
  <c r="AO431" i="2" a="1"/>
  <c r="AO340" i="2" a="1"/>
  <c r="D252" i="2" a="1"/>
  <c r="AQ488" i="2" a="1"/>
  <c r="AL469" i="2" a="1"/>
  <c r="AL107" i="2" a="1"/>
  <c r="AL524" i="2" a="1"/>
  <c r="D454" i="2" a="1"/>
  <c r="D477" i="2" a="1"/>
  <c r="AQ462" i="2" a="1"/>
  <c r="AO198" i="2" a="1"/>
  <c r="AL402" i="2" a="1"/>
  <c r="D355" i="2" a="1"/>
  <c r="AL475" i="2" a="1"/>
  <c r="D268" i="2" a="1"/>
  <c r="D306" i="2" a="1"/>
  <c r="D453" i="2" a="1"/>
  <c r="AP546" i="2" a="1"/>
  <c r="AO425" i="2" a="1"/>
  <c r="AO444" i="2" a="1"/>
  <c r="D513" i="2" a="1"/>
  <c r="AL318" i="2" a="1"/>
  <c r="AL416" i="2" a="1"/>
  <c r="D551" i="2" a="1"/>
  <c r="D14" i="2" a="1"/>
  <c r="AL288" i="2" a="1"/>
  <c r="AL467" i="2" a="1"/>
  <c r="AL289" i="2" a="1"/>
  <c r="D403" i="2" a="1"/>
  <c r="D321" i="2" a="1"/>
  <c r="AL327" i="2" a="1"/>
  <c r="AL543" i="2" a="1"/>
  <c r="D155" i="2" a="1"/>
  <c r="D220" i="2" a="1"/>
  <c r="AQ528" i="2" a="1"/>
  <c r="AO329" i="2" a="1"/>
  <c r="AL352" i="2" a="1"/>
  <c r="AL303" i="2" a="1"/>
  <c r="D253" i="2" a="1"/>
  <c r="D196" i="2" a="1"/>
  <c r="AL360" i="2" a="1"/>
  <c r="D103" i="2" a="1"/>
  <c r="AL369" i="2" a="1"/>
  <c r="AL32" i="2" a="1"/>
  <c r="D571" i="2" a="1"/>
  <c r="AL452" i="2" a="1"/>
  <c r="AQ214" i="2" a="1"/>
  <c r="AL482" i="2" a="1"/>
  <c r="D490" i="2" a="1"/>
  <c r="AL456" i="2" a="1"/>
  <c r="D549" i="2" a="1"/>
  <c r="AL20" i="2" a="1"/>
  <c r="D326" i="2" a="1"/>
  <c r="AL559" i="2" a="1"/>
  <c r="AL302" i="2" a="1"/>
  <c r="D485" i="2" a="1"/>
  <c r="D187" i="2" a="1"/>
  <c r="D467" i="2" a="1"/>
  <c r="D535" i="2" a="1"/>
  <c r="D91" i="2" a="1"/>
  <c r="D250" i="2" a="1"/>
  <c r="AL552" i="2" a="1"/>
  <c r="D414" i="2" a="1"/>
  <c r="D33" i="2" a="1"/>
  <c r="AL522" i="2" a="1"/>
  <c r="AL3" i="2" a="1"/>
  <c r="D508" i="2" a="1"/>
  <c r="AP196" i="2" a="1"/>
  <c r="AP590" i="2" a="1"/>
  <c r="AQ75" i="2" a="1"/>
  <c r="AQ441" i="2" a="1"/>
  <c r="AP206" i="2" a="1"/>
  <c r="AP125" i="2" a="1"/>
  <c r="AQ85" i="2" a="1"/>
  <c r="AQ455" i="2" a="1"/>
  <c r="AP204" i="2" a="1"/>
  <c r="AP114" i="2" a="1"/>
  <c r="AQ83" i="2" a="1"/>
  <c r="AQ453" i="2" a="1"/>
  <c r="AP214" i="2" a="1"/>
  <c r="AP152" i="2" a="1"/>
  <c r="AQ93" i="2" a="1"/>
  <c r="AQ463" i="2" a="1"/>
  <c r="AP123" i="2" a="1"/>
  <c r="AP315" i="2" a="1"/>
  <c r="AQ123" i="2" a="1"/>
  <c r="AQ493" i="2" a="1"/>
  <c r="AP160" i="2" a="1"/>
  <c r="AP358" i="2" a="1"/>
  <c r="AQ136" i="2" a="1"/>
  <c r="AQ503" i="2" a="1"/>
  <c r="AQ279" i="2" a="1"/>
  <c r="AQ289" i="2" a="1"/>
  <c r="AP219" i="2" a="1"/>
  <c r="AP459" i="2" a="1"/>
  <c r="AQ179" i="2" a="1"/>
  <c r="AQ529" i="2" a="1"/>
  <c r="AP223" i="2" a="1"/>
  <c r="AP500" i="2" a="1"/>
  <c r="AQ586" i="2" a="1"/>
  <c r="AP247" i="2" a="1"/>
  <c r="AQ541" i="2" a="1"/>
  <c r="AQ551" i="2" a="1"/>
  <c r="AQ549" i="2" a="1"/>
  <c r="AQ559" i="2" a="1"/>
  <c r="AQ589" i="2" a="1"/>
  <c r="AQ172" i="2" a="1"/>
  <c r="AP529" i="2" a="1"/>
  <c r="AQ96" i="2" a="1"/>
  <c r="AQ112" i="2" a="1"/>
  <c r="AO288" i="2" a="1"/>
  <c r="AP286" i="2" a="1"/>
  <c r="AQ398" i="2" a="1"/>
  <c r="AQ483" i="2" a="1"/>
  <c r="AP20" i="2" a="1"/>
  <c r="AP318" i="2" a="1"/>
  <c r="AQ78" i="2" a="1"/>
  <c r="AQ547" i="2" a="1"/>
  <c r="AP341" i="2" a="1"/>
  <c r="AO352" i="2" a="1"/>
  <c r="AO285" i="2" a="1"/>
  <c r="AL217" i="2" a="1"/>
  <c r="AP104" i="2" a="1"/>
  <c r="AQ407" i="2" a="1"/>
  <c r="AO562" i="2" a="1"/>
  <c r="D347" i="2" a="1"/>
  <c r="AP207" i="2" a="1"/>
  <c r="AQ376" i="2" a="1"/>
  <c r="AO552" i="2" a="1"/>
  <c r="D559" i="2" a="1"/>
  <c r="AO362" i="2" a="1"/>
  <c r="D6" i="2" a="1"/>
  <c r="AL81" i="2" a="1"/>
  <c r="AL250" i="2" a="1"/>
  <c r="D98" i="2" a="1"/>
  <c r="D194" i="2" a="1"/>
  <c r="AQ408" i="2" a="1"/>
  <c r="AO503" i="2" a="1"/>
  <c r="AL18" i="2" a="1"/>
  <c r="AL76" i="2" a="1"/>
  <c r="AL27" i="2" a="1"/>
  <c r="D587" i="2" a="1"/>
  <c r="D560" i="2" a="1"/>
  <c r="D238" i="2" a="1"/>
  <c r="AP550" i="2" a="1"/>
  <c r="AO45" i="2" a="1"/>
  <c r="AL501" i="2" a="1"/>
  <c r="D435" i="2" a="1"/>
  <c r="AL105" i="2" a="1"/>
  <c r="D179" i="2" a="1"/>
  <c r="D244" i="2" a="1"/>
  <c r="D55" i="2" a="1"/>
  <c r="AL446" i="2" a="1"/>
  <c r="AL17" i="2" a="1"/>
  <c r="D151" i="2" a="1"/>
  <c r="D241" i="2" a="1"/>
  <c r="D142" i="2" a="1"/>
  <c r="AL204" i="2" a="1"/>
  <c r="AL554" i="2" a="1"/>
  <c r="D539" i="2" a="1"/>
  <c r="D441" i="2" a="1"/>
  <c r="AO325" i="2" a="1"/>
  <c r="AO524" i="2" a="1"/>
  <c r="AL529" i="2" a="1"/>
  <c r="AL573" i="2" a="1"/>
  <c r="D158" i="2" a="1"/>
  <c r="AL279" i="2" a="1"/>
  <c r="AL436" i="2" a="1"/>
  <c r="D188" i="2" a="1"/>
  <c r="AL396" i="2" a="1"/>
  <c r="AL166" i="2" a="1"/>
  <c r="D389" i="2" a="1"/>
  <c r="AL546" i="2" a="1"/>
  <c r="D148" i="2" a="1"/>
  <c r="D111" i="2" a="1"/>
  <c r="D269" i="2" a="1"/>
  <c r="D497" i="2" a="1"/>
  <c r="D491" i="2" a="1"/>
  <c r="AL395" i="2" a="1"/>
  <c r="D87" i="2" a="1"/>
  <c r="AL12" i="2" a="1"/>
  <c r="AL419" i="2" a="1"/>
  <c r="AL373" i="2" a="1"/>
  <c r="D182" i="2" a="1"/>
  <c r="AL434" i="2" a="1"/>
  <c r="D227" i="2" a="1"/>
  <c r="D541" i="2" a="1"/>
  <c r="D128" i="2" a="1"/>
  <c r="D289" i="2" a="1"/>
  <c r="D64" i="2" a="1"/>
  <c r="D203" i="2" a="1"/>
  <c r="D324" i="2" a="1"/>
  <c r="D301" i="2" a="1"/>
  <c r="D400" i="2" a="1"/>
  <c r="AP170" i="2" a="1"/>
  <c r="AP321" i="2" a="1"/>
  <c r="AQ223" i="2" a="1"/>
  <c r="AQ573" i="2" a="1"/>
  <c r="AP248" i="2" a="1"/>
  <c r="AP364" i="2" a="1"/>
  <c r="AQ233" i="2" a="1"/>
  <c r="AQ583" i="2" a="1"/>
  <c r="AP229" i="2" a="1"/>
  <c r="AP353" i="2" a="1"/>
  <c r="AQ231" i="2" a="1"/>
  <c r="AQ581" i="2" a="1"/>
  <c r="AP269" i="2" a="1"/>
  <c r="AP396" i="2" a="1"/>
  <c r="AQ241" i="2" a="1"/>
  <c r="AQ591" i="2" a="1"/>
  <c r="AP330" i="2" a="1"/>
  <c r="AP513" i="2" a="1"/>
  <c r="AQ271" i="2" a="1"/>
  <c r="AQ260" i="2" a="1"/>
  <c r="AP351" i="2" a="1"/>
  <c r="AP547" i="2" a="1"/>
  <c r="AQ281" i="2" a="1"/>
  <c r="AQ298" i="2" a="1"/>
  <c r="AQ292" i="2" a="1"/>
  <c r="AQ330" i="2" a="1"/>
  <c r="AP402" i="2" a="1"/>
  <c r="AP141" i="2" a="1"/>
  <c r="AQ76" i="2" a="1"/>
  <c r="AQ399" i="2" a="1"/>
  <c r="AP243" i="2" a="1"/>
  <c r="AP262" i="2" a="1"/>
  <c r="AP259" i="2" a="1"/>
  <c r="AP66" i="2" a="1"/>
  <c r="AP266" i="2" a="1"/>
  <c r="AP287" i="2" a="1"/>
  <c r="AQ501" i="2" a="1"/>
  <c r="AQ275" i="2" a="1"/>
  <c r="AO58" i="2" a="1"/>
  <c r="AO123" i="2" a="1"/>
  <c r="AQ426" i="2" a="1"/>
  <c r="AQ92" i="2" a="1"/>
  <c r="AO27" i="2" a="1"/>
  <c r="AO228" i="2" a="1"/>
  <c r="AP30" i="2" a="1"/>
  <c r="AQ108" i="2" a="1"/>
  <c r="AO35" i="2" a="1"/>
  <c r="AO244" i="2" a="1"/>
  <c r="AQ8" i="2" a="1"/>
  <c r="AO567" i="2" a="1"/>
  <c r="AO506" i="2" a="1"/>
  <c r="D375" i="2" a="1"/>
  <c r="AQ140" i="2" a="1"/>
  <c r="AO282" i="2" a="1"/>
  <c r="AL282" i="2" a="1"/>
  <c r="D212" i="2" a="1"/>
  <c r="AQ359" i="2" a="1"/>
  <c r="AO322" i="2" a="1"/>
  <c r="AL372" i="2" a="1"/>
  <c r="D360" i="2" a="1"/>
  <c r="AL226" i="2" a="1"/>
  <c r="D338" i="2" a="1"/>
  <c r="AL445" i="2" a="1"/>
  <c r="AL525" i="2" a="1"/>
  <c r="D218" i="2" a="1"/>
  <c r="AP469" i="2" a="1"/>
  <c r="AO344" i="2" a="1"/>
  <c r="AO267" i="2" a="1"/>
  <c r="AL305" i="2" a="1"/>
  <c r="AL253" i="2" a="1"/>
  <c r="AL572" i="2" a="1"/>
  <c r="D22" i="2" a="1"/>
  <c r="D411" i="2" a="1"/>
  <c r="AL269" i="2" a="1"/>
  <c r="AO115" i="2" a="1"/>
  <c r="AO426" i="2" a="1"/>
  <c r="AL329" i="2" a="1"/>
  <c r="AL429" i="2" a="1"/>
  <c r="AL480" i="2" a="1"/>
  <c r="D161" i="2" a="1"/>
  <c r="D58" i="2" a="1"/>
  <c r="D593" i="2" a="1"/>
  <c r="AL117" i="2" a="1"/>
  <c r="AL83" i="2" a="1"/>
  <c r="D217" i="2" a="1"/>
  <c r="D11" i="2" a="1"/>
  <c r="D46" i="2" a="1"/>
  <c r="AL156" i="2" a="1"/>
  <c r="AL230" i="2" a="1"/>
  <c r="D283" i="2" a="1"/>
  <c r="D222" i="2" a="1"/>
  <c r="AO408" i="2" a="1"/>
  <c r="AO347" i="2" a="1"/>
  <c r="D221" i="2" a="1"/>
  <c r="AL530" i="2" a="1"/>
  <c r="D318" i="2" a="1"/>
  <c r="AL219" i="2" a="1"/>
  <c r="AL84" i="2" a="1"/>
  <c r="D25" i="2" a="1"/>
  <c r="AL182" i="2" a="1"/>
  <c r="D557" i="2" a="1"/>
  <c r="D146" i="2" a="1"/>
  <c r="AL179" i="2" a="1"/>
  <c r="AL121" i="2" a="1"/>
  <c r="D162" i="2" a="1"/>
  <c r="AL235" i="2" a="1"/>
  <c r="D174" i="2" a="1"/>
  <c r="AL39" i="2" a="1"/>
  <c r="D558" i="2" a="1"/>
  <c r="AL233" i="2" a="1"/>
  <c r="AL48" i="2" a="1"/>
  <c r="D433" i="2" a="1"/>
  <c r="AL8" i="2" a="1"/>
  <c r="AL388" i="2" a="1"/>
  <c r="AL5" i="2" a="1"/>
  <c r="AL188" i="2" a="1"/>
  <c r="D588" i="2" a="1"/>
  <c r="D362" i="2" a="1"/>
  <c r="D409" i="2" a="1"/>
  <c r="AL578" i="2" a="1"/>
  <c r="AL519" i="2" a="1"/>
  <c r="AL216" i="2" a="1"/>
  <c r="D258" i="2" a="1"/>
  <c r="AP28" i="2" a="1"/>
  <c r="AP490" i="2" a="1"/>
  <c r="AP430" i="2" a="1"/>
  <c r="AQ166" i="2" a="1"/>
  <c r="AP38" i="2" a="1"/>
  <c r="AP511" i="2" a="1"/>
  <c r="AP467" i="2" a="1"/>
  <c r="AQ159" i="2" a="1"/>
  <c r="AP36" i="2" a="1"/>
  <c r="AP506" i="2" a="1"/>
  <c r="AP462" i="2" a="1"/>
  <c r="AQ148" i="2" a="1"/>
  <c r="AP46" i="2" a="1"/>
  <c r="AP527" i="2" a="1"/>
  <c r="AP499" i="2" a="1"/>
  <c r="AQ182" i="2" a="1"/>
  <c r="AP17" i="2" a="1"/>
  <c r="AP548" i="2" a="1"/>
  <c r="AP313" i="2" a="1"/>
  <c r="AQ242" i="2" a="1"/>
  <c r="AP27" i="2" a="1"/>
  <c r="AP566" i="2" a="1"/>
  <c r="AP356" i="2" a="1"/>
  <c r="AQ262" i="2" a="1"/>
  <c r="AP346" i="2" a="1"/>
  <c r="AP367" i="2" a="1"/>
  <c r="AP53" i="2" a="1"/>
  <c r="AP70" i="2" a="1"/>
  <c r="AP457" i="2" a="1"/>
  <c r="AQ315" i="2" a="1"/>
  <c r="AP55" i="2" a="1"/>
  <c r="AP90" i="2" a="1"/>
  <c r="AQ368" i="2" a="1"/>
  <c r="AO154" i="2" a="1"/>
  <c r="AP162" i="2" a="1"/>
  <c r="AP428" i="2" a="1"/>
  <c r="AO427" i="2" a="1"/>
  <c r="AO509" i="2" a="1"/>
  <c r="AO525" i="2" a="1"/>
  <c r="D422" i="2" a="1"/>
  <c r="AL571" i="2" a="1"/>
  <c r="AL306" i="2" a="1"/>
  <c r="D489" i="2" a="1"/>
  <c r="AO490" i="2" a="1"/>
  <c r="D189" i="2" a="1"/>
  <c r="AO79" i="2" a="1"/>
  <c r="D83" i="2" a="1"/>
  <c r="AL407" i="2" a="1"/>
  <c r="AL591" i="2" a="1"/>
  <c r="AO272" i="2" a="1"/>
  <c r="D67" i="2" a="1"/>
  <c r="AL227" i="2" a="1"/>
  <c r="AL143" i="2" a="1"/>
  <c r="AL165" i="2" a="1"/>
  <c r="AL169" i="2" a="1"/>
  <c r="AL558" i="2" a="1"/>
  <c r="D537" i="2" a="1"/>
  <c r="AP97" i="2" a="1"/>
  <c r="AP107" i="2" a="1"/>
  <c r="AP105" i="2" a="1"/>
  <c r="AP115" i="2" a="1"/>
  <c r="AP108" i="2" a="1"/>
  <c r="AP129" i="2" a="1"/>
  <c r="AP543" i="2" a="1"/>
  <c r="AQ31" i="2" a="1"/>
  <c r="AP464" i="2" a="1"/>
  <c r="AO275" i="2" a="1"/>
  <c r="AQ391" i="2" a="1"/>
  <c r="AO254" i="2" a="1"/>
  <c r="AO299" i="2" a="1"/>
  <c r="AO527" i="2" a="1"/>
  <c r="AQ555" i="2" a="1"/>
  <c r="AO249" i="2" a="1"/>
  <c r="AQ323" i="2" a="1"/>
  <c r="AQ342" i="2" a="1"/>
  <c r="AP157" i="2" a="1"/>
  <c r="AP305" i="2" a="1"/>
  <c r="AQ219" i="2" a="1"/>
  <c r="AQ569" i="2" a="1"/>
  <c r="AP163" i="2" a="1"/>
  <c r="AQ73" i="2" a="1"/>
  <c r="AO2" i="2" a="1"/>
  <c r="AP483" i="2" a="1"/>
  <c r="AQ556" i="2" a="1"/>
  <c r="AO305" i="2" a="1"/>
  <c r="AO341" i="2" a="1"/>
  <c r="AO571" i="2" a="1"/>
  <c r="AQ448" i="2" a="1"/>
  <c r="AO192" i="2" a="1"/>
  <c r="AQ387" i="2" a="1"/>
  <c r="AQ406" i="2" a="1"/>
  <c r="AP197" i="2" a="1"/>
  <c r="AP337" i="2" a="1"/>
  <c r="AQ227" i="2" a="1"/>
  <c r="AQ577" i="2" a="1"/>
  <c r="AP213" i="2" a="1"/>
  <c r="AQ105" i="2" a="1"/>
  <c r="AO10" i="2" a="1"/>
  <c r="AP308" i="2" a="1"/>
  <c r="AQ588" i="2" a="1"/>
  <c r="AP436" i="2" a="1"/>
  <c r="AO349" i="2" a="1"/>
  <c r="AO579" i="2" a="1"/>
  <c r="AQ510" i="2" a="1"/>
  <c r="AO207" i="2" a="1"/>
  <c r="AP131" i="2" a="1"/>
  <c r="AP374" i="2" a="1"/>
  <c r="AO137" i="2" a="1"/>
  <c r="AO375" i="2" a="1"/>
  <c r="AO489" i="2" a="1"/>
  <c r="AO61" i="2" a="1"/>
  <c r="AO434" i="2" a="1"/>
  <c r="AO95" i="2" a="1"/>
  <c r="AO452" i="2" a="1"/>
  <c r="AL271" i="2" a="1"/>
  <c r="AL249" i="2" a="1"/>
  <c r="AL247" i="2" a="1"/>
  <c r="D526" i="2" a="1"/>
  <c r="D334" i="2" a="1"/>
  <c r="AQ109" i="2" a="1"/>
  <c r="AQ489" i="2" a="1"/>
  <c r="AP404" i="2" a="1"/>
  <c r="AO197" i="2" a="1"/>
  <c r="AO208" i="2" a="1"/>
  <c r="AQ515" i="2" a="1"/>
  <c r="AO236" i="2" a="1"/>
  <c r="AQ378" i="2" a="1"/>
  <c r="AO273" i="2" a="1"/>
  <c r="AO481" i="2" a="1"/>
  <c r="AL148" i="2" a="1"/>
  <c r="AL390" i="2" a="1"/>
  <c r="D446" i="2" a="1"/>
  <c r="D115" i="2" a="1"/>
  <c r="D303" i="2" a="1"/>
  <c r="AL167" i="2" a="1"/>
  <c r="AQ204" i="2" a="1"/>
  <c r="AQ367" i="2" a="1"/>
  <c r="AP515" i="2" a="1"/>
  <c r="AO475" i="2" a="1"/>
  <c r="AO530" i="2" a="1"/>
  <c r="AQ405" i="2" a="1"/>
  <c r="AO180" i="2" a="1"/>
  <c r="AQ542" i="2" a="1"/>
  <c r="AO215" i="2" a="1"/>
  <c r="AO261" i="2" a="1"/>
  <c r="AL139" i="2" a="1"/>
  <c r="AL125" i="2" a="1"/>
  <c r="D474" i="2" a="1"/>
  <c r="D345" i="2" a="1"/>
  <c r="D264" i="2" a="1"/>
  <c r="AL59" i="2" a="1"/>
  <c r="AQ308" i="2" a="1"/>
  <c r="AO96" i="2" a="1"/>
  <c r="AL150" i="2" a="1"/>
  <c r="D579" i="2" a="1"/>
  <c r="AL102" i="2" a="1"/>
  <c r="D384" i="2" a="1"/>
  <c r="D346" i="2" a="1"/>
  <c r="D160" i="2" a="1"/>
  <c r="AL364" i="2" a="1"/>
  <c r="AL41" i="2" a="1"/>
  <c r="AP133" i="2" a="1"/>
  <c r="AQ511" i="2" a="1"/>
  <c r="AQ394" i="2" a="1"/>
  <c r="AQ447" i="2" a="1"/>
  <c r="AQ590" i="2" a="1"/>
  <c r="AO245" i="2" a="1"/>
  <c r="AQ491" i="2" a="1"/>
  <c r="D28" i="2" a="1"/>
  <c r="D2" i="2" a="1"/>
  <c r="D495" i="2" a="1"/>
  <c r="D416" i="2" a="1"/>
  <c r="AL275" i="2" a="1"/>
  <c r="D437" i="2" a="1"/>
  <c r="D522" i="2" a="1"/>
  <c r="AL589" i="2" a="1"/>
  <c r="AO421" i="2" a="1"/>
  <c r="AL220" i="2" a="1"/>
  <c r="D320" i="2" a="1"/>
  <c r="D445" i="2" a="1"/>
  <c r="D163" i="2" a="1"/>
  <c r="D388" i="2" a="1"/>
  <c r="AL205" i="2" a="1"/>
  <c r="D207" i="2" a="1"/>
  <c r="AP293" i="2" a="1"/>
  <c r="AP312" i="2" a="1"/>
  <c r="AP309" i="2" a="1"/>
  <c r="AP328" i="2" a="1"/>
  <c r="AP389" i="2" a="1"/>
  <c r="AP408" i="2" a="1"/>
  <c r="AP563" i="2" a="1"/>
  <c r="AQ353" i="2" a="1"/>
  <c r="AQ334" i="2" a="1"/>
  <c r="AP340" i="2" a="1"/>
  <c r="AQ546" i="2" a="1"/>
  <c r="AQ388" i="2" a="1"/>
  <c r="AO212" i="2" a="1"/>
  <c r="AO493" i="2" a="1"/>
  <c r="AQ349" i="2" a="1"/>
  <c r="AP57" i="2" a="1"/>
  <c r="AP67" i="2" a="1"/>
  <c r="AP24" i="2" a="1"/>
  <c r="AP482" i="2" a="1"/>
  <c r="AP414" i="2" a="1"/>
  <c r="AQ158" i="2" a="1"/>
  <c r="AP26" i="2" a="1"/>
  <c r="AP487" i="2" a="1"/>
  <c r="AQ436" i="2" a="1"/>
  <c r="AO59" i="2" a="1"/>
  <c r="AQ33" i="2" a="1"/>
  <c r="AQ552" i="2" a="1"/>
  <c r="AQ309" i="2" a="1"/>
  <c r="AO140" i="2" a="1"/>
  <c r="AO576" i="2" a="1"/>
  <c r="AQ512" i="2" a="1"/>
  <c r="AP89" i="2" a="1"/>
  <c r="AP99" i="2" a="1"/>
  <c r="AP32" i="2" a="1"/>
  <c r="AP498" i="2" a="1"/>
  <c r="AP446" i="2" a="1"/>
  <c r="AQ132" i="2" a="1"/>
  <c r="AP34" i="2" a="1"/>
  <c r="AP503" i="2" a="1"/>
  <c r="AQ475" i="2" a="1"/>
  <c r="AO67" i="2" a="1"/>
  <c r="AQ65" i="2" a="1"/>
  <c r="AQ592" i="2" a="1"/>
  <c r="AQ373" i="2" a="1"/>
  <c r="AO172" i="2" a="1"/>
  <c r="AO437" i="2" a="1"/>
  <c r="AQ576" i="2" a="1"/>
  <c r="AQ20" i="2" a="1"/>
  <c r="AQ87" i="2" a="1"/>
  <c r="AQ301" i="2" a="1"/>
  <c r="AO80" i="2" a="1"/>
  <c r="AO384" i="2" a="1"/>
  <c r="AO517" i="2" a="1"/>
  <c r="AO303" i="2" a="1"/>
  <c r="AP265" i="2" a="1"/>
  <c r="AQ276" i="2" a="1"/>
  <c r="AQ472" i="2" a="1"/>
  <c r="AP2" i="2" a="1"/>
  <c r="AO230" i="2" a="1"/>
  <c r="AQ548" i="2" a="1"/>
  <c r="AQ506" i="2" a="1"/>
  <c r="D455" i="2" a="1"/>
  <c r="AP545" i="2" a="1"/>
  <c r="AL401" i="2" a="1"/>
  <c r="AL367" i="2" a="1"/>
  <c r="AL88" i="2" a="1"/>
  <c r="AL574" i="2" a="1"/>
  <c r="D59" i="2" a="1"/>
  <c r="D94" i="2" a="1"/>
  <c r="D219" i="2" a="1"/>
  <c r="D529" i="2" a="1"/>
  <c r="AL483" i="2" a="1"/>
  <c r="AL187" i="2" a="1"/>
  <c r="AL24" i="2" a="1"/>
  <c r="AL374" i="2" a="1"/>
  <c r="AL31" i="2" a="1"/>
  <c r="D436" i="2" a="1"/>
  <c r="AP585" i="2" a="1"/>
  <c r="AQ6" i="2" a="1"/>
  <c r="AQ4" i="2" a="1"/>
  <c r="AQ14" i="2" a="1"/>
  <c r="AQ44" i="2" a="1"/>
  <c r="AQ5" i="2" a="1"/>
  <c r="AP132" i="2" a="1"/>
  <c r="AP135" i="2" a="1"/>
  <c r="AQ434" i="2" a="1"/>
  <c r="AQ254" i="2" a="1"/>
  <c r="AO9" i="2" a="1"/>
  <c r="AQ572" i="2" a="1"/>
  <c r="AO302" i="2" a="1"/>
  <c r="AO566" i="2" a="1"/>
  <c r="AO87" i="2" a="1"/>
  <c r="AP102" i="2" a="1"/>
  <c r="AP177" i="2" a="1"/>
  <c r="AP93" i="2" a="1"/>
  <c r="AP285" i="2" a="1"/>
  <c r="AP577" i="2" a="1"/>
  <c r="AQ395" i="2" a="1"/>
  <c r="AP95" i="2" a="1"/>
  <c r="AP288" i="2" a="1"/>
  <c r="AQ526" i="2" a="1"/>
  <c r="AO126" i="2" a="1"/>
  <c r="AQ356" i="2" a="1"/>
  <c r="AO49" i="2" a="1"/>
  <c r="AQ530" i="2" a="1"/>
  <c r="AO342" i="2" a="1"/>
  <c r="AO560" i="2" a="1"/>
  <c r="AO84" i="2" a="1"/>
  <c r="AP277" i="2" a="1"/>
  <c r="AP296" i="2" a="1"/>
  <c r="AP101" i="2" a="1"/>
  <c r="AP301" i="2" a="1"/>
  <c r="AP593" i="2" a="1"/>
  <c r="AQ411" i="2" a="1"/>
  <c r="AP103" i="2" a="1"/>
  <c r="AP507" i="2" a="1"/>
  <c r="AP565" i="2" a="1"/>
  <c r="AL392" i="2" a="1"/>
  <c r="AL534" i="2" a="1"/>
  <c r="AL470" i="2" a="1"/>
  <c r="D304" i="2" a="1"/>
  <c r="AQ403" i="2" a="1"/>
  <c r="AQ149" i="2" a="1"/>
  <c r="AO19" i="2" a="1"/>
  <c r="AO430" i="2" a="1"/>
  <c r="AP516" i="2" a="1"/>
  <c r="AQ433" i="2" a="1"/>
  <c r="AP348" i="2" a="1"/>
  <c r="AO470" i="2" a="1"/>
  <c r="AP589" i="2" a="1"/>
  <c r="AQ449" i="2" a="1"/>
  <c r="AQ558" i="2" a="1"/>
  <c r="AQ420" i="2" a="1"/>
  <c r="AQ410" i="2" a="1"/>
  <c r="AO570" i="2" a="1"/>
  <c r="AQ30" i="2" a="1"/>
  <c r="AP571" i="2" a="1"/>
  <c r="AO120" i="2" a="1"/>
  <c r="AO220" i="2" a="1"/>
  <c r="AQ381" i="2" a="1"/>
  <c r="AO553" i="2" a="1"/>
  <c r="AL214" i="2" a="1"/>
  <c r="AL393" i="2" a="1"/>
  <c r="D382" i="2" a="1"/>
  <c r="D120" i="2" a="1"/>
  <c r="AQ119" i="2" a="1"/>
  <c r="AQ232" i="2" a="1"/>
  <c r="AO160" i="2" a="1"/>
  <c r="AO556" i="2" a="1"/>
  <c r="AO314" i="2" a="1"/>
  <c r="AO82" i="2" a="1"/>
  <c r="AO561" i="2" a="1"/>
  <c r="AL479" i="2" a="1"/>
  <c r="AL66" i="2" a="1"/>
  <c r="D123" i="2" a="1"/>
  <c r="D329" i="2" a="1"/>
  <c r="AL553" i="2" a="1"/>
  <c r="AQ60" i="2" a="1"/>
  <c r="AQ514" i="2" a="1"/>
  <c r="AO304" i="2" a="1"/>
  <c r="AQ2" i="2" a="1"/>
  <c r="AO354" i="2" a="1"/>
  <c r="AO134" i="2" a="1"/>
  <c r="AO189" i="2" a="1"/>
  <c r="AL453" i="2" a="1"/>
  <c r="AL19" i="2" a="1"/>
  <c r="D314" i="2" a="1"/>
  <c r="AL68" i="2" a="1"/>
  <c r="AP52" i="2" a="1"/>
  <c r="AO433" i="2" a="1"/>
  <c r="AL246" i="2" a="1"/>
  <c r="AL65" i="2" a="1"/>
  <c r="AL411" i="2" a="1"/>
  <c r="D567" i="2" a="1"/>
  <c r="AL422" i="2" a="1"/>
  <c r="AL119" i="2" a="1"/>
  <c r="D157" i="2" a="1"/>
  <c r="D451" i="2" a="1"/>
  <c r="AQ363" i="2" a="1"/>
  <c r="AQ293" i="2" a="1"/>
  <c r="AO455" i="2" a="1"/>
  <c r="D288" i="2" a="1"/>
  <c r="AL389" i="2" a="1"/>
  <c r="AL428" i="2" a="1"/>
  <c r="D75" i="2" a="1"/>
  <c r="D405" i="2" a="1"/>
  <c r="AP526" i="2" a="1"/>
  <c r="AO376" i="2" a="1"/>
  <c r="AO315" i="2" a="1"/>
  <c r="AL516" i="2" a="1"/>
  <c r="AL297" i="2" a="1"/>
  <c r="AL498" i="2" a="1"/>
  <c r="D76" i="2" a="1"/>
  <c r="D226" i="2" a="1"/>
  <c r="AL237" i="2" a="1"/>
  <c r="AL60" i="2" a="1"/>
  <c r="AL122" i="2" a="1"/>
  <c r="D506" i="2" a="1"/>
  <c r="D566" i="2" a="1"/>
  <c r="AL557" i="2" a="1"/>
  <c r="AL423" i="2" a="1"/>
  <c r="AL195" i="2" a="1"/>
  <c r="D193" i="2" a="1"/>
  <c r="AQ553" i="2" a="1"/>
  <c r="AQ346" i="2" a="1"/>
  <c r="AO163" i="2" a="1"/>
  <c r="D84" i="2" a="1"/>
  <c r="AL37" i="2" a="1"/>
  <c r="D509" i="2" a="1"/>
  <c r="AL440" i="2" a="1"/>
  <c r="D310" i="2" a="1"/>
  <c r="D534" i="2" a="1"/>
  <c r="AL114" i="2" a="1"/>
  <c r="D311" i="2" a="1"/>
  <c r="AL417" i="2" a="1"/>
  <c r="D195" i="2" a="1"/>
  <c r="AL371" i="2" a="1"/>
  <c r="D4" i="2" a="1"/>
  <c r="AL67" i="2" a="1"/>
  <c r="D88" i="2" a="1"/>
  <c r="AL585" i="2" a="1"/>
  <c r="D24" i="2" a="1"/>
  <c r="AL145" i="2" a="1"/>
  <c r="D442" i="2" a="1"/>
  <c r="AL38" i="2" a="1"/>
  <c r="D267" i="2" a="1"/>
  <c r="AL321" i="2" a="1"/>
  <c r="D275" i="2" a="1"/>
  <c r="D315" i="2" a="1"/>
  <c r="D530" i="2" a="1"/>
  <c r="AP76" i="2" a="1"/>
  <c r="AP357" i="2" a="1"/>
  <c r="AQ28" i="2" a="1"/>
  <c r="AQ86" i="2" a="1"/>
  <c r="AP96" i="2" a="1"/>
  <c r="AP376" i="2" a="1"/>
  <c r="AQ38" i="2" a="1"/>
  <c r="AQ126" i="2" a="1"/>
  <c r="AP92" i="2" a="1"/>
  <c r="AP373" i="2" a="1"/>
  <c r="AQ36" i="2" a="1"/>
  <c r="AQ118" i="2" a="1"/>
  <c r="AP112" i="2" a="1"/>
  <c r="AP392" i="2" a="1"/>
  <c r="AQ46" i="2" a="1"/>
  <c r="AQ154" i="2" a="1"/>
  <c r="AP124" i="2" a="1"/>
  <c r="AP453" i="2" a="1"/>
  <c r="AQ27" i="2" a="1"/>
  <c r="AQ345" i="2" a="1"/>
  <c r="AP143" i="2" a="1"/>
  <c r="AP477" i="2" a="1"/>
  <c r="AQ37" i="2" a="1"/>
  <c r="AQ364" i="2" a="1"/>
  <c r="AP345" i="2" a="1"/>
  <c r="AP388" i="2" a="1"/>
  <c r="AP184" i="2" a="1"/>
  <c r="AP564" i="2" a="1"/>
  <c r="AQ63" i="2" a="1"/>
  <c r="AQ417" i="2" a="1"/>
  <c r="AP186" i="2" a="1"/>
  <c r="AP568" i="2" a="1"/>
  <c r="AQ564" i="2" a="1"/>
  <c r="AP534" i="2" a="1"/>
  <c r="AQ454" i="2" a="1"/>
  <c r="AO88" i="2" a="1"/>
  <c r="AO94" i="2" a="1"/>
  <c r="AO462" i="2" a="1"/>
  <c r="AP549" i="2" a="1"/>
  <c r="AO351" i="2" a="1"/>
  <c r="AQ35" i="2" a="1"/>
  <c r="AQ45" i="2" a="1"/>
  <c r="AP224" i="2" a="1"/>
  <c r="AP201" i="2" a="1"/>
  <c r="AQ103" i="2" a="1"/>
  <c r="AQ473" i="2" a="1"/>
  <c r="AP226" i="2" a="1"/>
  <c r="AP316" i="2" a="1"/>
  <c r="AP385" i="2" a="1"/>
  <c r="AL414" i="2" a="1"/>
  <c r="AO551" i="2" a="1"/>
  <c r="AL225" i="2" a="1"/>
  <c r="D276" i="2" a="1"/>
  <c r="D332" i="2" a="1"/>
  <c r="AQ422" i="2" a="1"/>
  <c r="AQ300" i="2" a="1"/>
  <c r="AQ325" i="2" a="1"/>
  <c r="AO500" i="2" a="1"/>
  <c r="AP192" i="2" a="1"/>
  <c r="AP194" i="2" a="1"/>
  <c r="AQ486" i="2" a="1"/>
  <c r="AQ42" i="2" a="1"/>
  <c r="AP200" i="2" a="1"/>
  <c r="AP202" i="2" a="1"/>
  <c r="AQ122" i="2" a="1"/>
  <c r="AQ518" i="2" a="1"/>
  <c r="AO157" i="2" a="1"/>
  <c r="AQ57" i="2" a="1"/>
  <c r="AP208" i="2" a="1"/>
  <c r="AQ550" i="2" a="1"/>
  <c r="AO399" i="2" a="1"/>
  <c r="AO306" i="2" a="1"/>
  <c r="AO323" i="2" a="1"/>
  <c r="AO491" i="2" a="1"/>
  <c r="AL455" i="2" a="1"/>
  <c r="AL335" i="2" a="1"/>
  <c r="D356" i="2" a="1"/>
  <c r="AQ99" i="2" a="1"/>
  <c r="AP242" i="2" a="1"/>
  <c r="AO174" i="2" a="1"/>
  <c r="AO392" i="2" a="1"/>
  <c r="AQ312" i="2" a="1"/>
  <c r="AO442" i="2" a="1"/>
  <c r="AO331" i="2" a="1"/>
  <c r="AO529" i="2" a="1"/>
  <c r="AL490" i="2" a="1"/>
  <c r="D7" i="2" a="1"/>
  <c r="D116" i="2" a="1"/>
  <c r="AL337" i="2" a="1"/>
  <c r="AQ151" i="2" a="1"/>
  <c r="AP391" i="2" a="1"/>
  <c r="AQ110" i="2" a="1"/>
  <c r="AO432" i="2" a="1"/>
  <c r="AQ464" i="2" a="1"/>
  <c r="AO482" i="2" a="1"/>
  <c r="AO371" i="2" a="1"/>
  <c r="AO483" i="2" a="1"/>
  <c r="AL541" i="2" a="1"/>
  <c r="D66" i="2" a="1"/>
  <c r="D468" i="2" a="1"/>
  <c r="AL328" i="2" a="1"/>
  <c r="AP350" i="2" a="1"/>
  <c r="AO136" i="2" a="1"/>
  <c r="AL141" i="2" a="1"/>
  <c r="AL343" i="2" a="1"/>
  <c r="D377" i="2" a="1"/>
  <c r="D351" i="2" a="1"/>
  <c r="AL93" i="2" a="1"/>
  <c r="AL116" i="2" a="1"/>
  <c r="D129" i="2" a="1"/>
  <c r="D370" i="2" a="1"/>
  <c r="AO92" i="2" a="1"/>
  <c r="AO393" i="2" a="1"/>
  <c r="AL382" i="2" a="1"/>
  <c r="D69" i="2" a="1"/>
  <c r="AL50" i="2" a="1"/>
  <c r="D261" i="2" a="1"/>
  <c r="D126" i="2" a="1"/>
  <c r="D95" i="2" a="1"/>
  <c r="AQ55" i="2" a="1"/>
  <c r="AO451" i="2" a="1"/>
  <c r="AO545" i="2" a="1"/>
  <c r="D280" i="2" a="1"/>
  <c r="AL170" i="2" a="1"/>
  <c r="AL472" i="2" a="1"/>
  <c r="D462" i="2" a="1"/>
  <c r="D331" i="2" a="1"/>
  <c r="AL322" i="2" a="1"/>
  <c r="AL458" i="2" a="1"/>
  <c r="D547" i="2" a="1"/>
  <c r="D249" i="2" a="1"/>
  <c r="D525" i="2" a="1"/>
  <c r="AL115" i="2" a="1"/>
  <c r="AL28" i="2" a="1"/>
  <c r="D398" i="2" a="1"/>
  <c r="D127" i="2" a="1"/>
  <c r="AP587" i="2" a="1"/>
  <c r="AO268" i="2" a="1"/>
  <c r="AL85" i="2" a="1"/>
  <c r="AL120" i="2" a="1"/>
  <c r="D561" i="2" a="1"/>
  <c r="D294" i="2" a="1"/>
  <c r="AL211" i="2" a="1"/>
  <c r="D205" i="2" a="1"/>
  <c r="AL473" i="2" a="1"/>
  <c r="AL514" i="2" a="1"/>
  <c r="D114" i="2" a="1"/>
  <c r="AL44" i="2" a="1"/>
  <c r="AO577" i="2" a="1"/>
  <c r="D378" i="2" a="1"/>
  <c r="D107" i="2" a="1"/>
  <c r="AL301" i="2" a="1"/>
  <c r="D316" i="2" a="1"/>
  <c r="AL202" i="2" a="1"/>
  <c r="D278" i="2" a="1"/>
  <c r="AL517" i="2" a="1"/>
  <c r="AL266" i="2" a="1"/>
  <c r="D281" i="2" a="1"/>
  <c r="D74" i="2" a="1"/>
  <c r="D122" i="2" a="1"/>
  <c r="AL161" i="2" a="1"/>
  <c r="D190" i="2" a="1"/>
  <c r="AL464" i="2" a="1"/>
  <c r="AP228" i="2" a="1"/>
  <c r="AP257" i="2" a="1"/>
  <c r="AQ107" i="2" a="1"/>
  <c r="AQ477" i="2" a="1"/>
  <c r="AP238" i="2" a="1"/>
  <c r="AP294" i="2" a="1"/>
  <c r="AQ117" i="2" a="1"/>
  <c r="AQ487" i="2" a="1"/>
  <c r="AP236" i="2" a="1"/>
  <c r="AP283" i="2" a="1"/>
  <c r="AQ115" i="2" a="1"/>
  <c r="AQ485" i="2" a="1"/>
  <c r="AP128" i="2" a="1"/>
  <c r="AP326" i="2" a="1"/>
  <c r="AQ125" i="2" a="1"/>
  <c r="AQ495" i="2" a="1"/>
  <c r="AP211" i="2" a="1"/>
  <c r="AP443" i="2" a="1"/>
  <c r="AQ175" i="2" a="1"/>
  <c r="AQ525" i="2" a="1"/>
  <c r="AP231" i="2" a="1"/>
  <c r="AP486" i="2" a="1"/>
  <c r="AQ185" i="2" a="1"/>
  <c r="AQ535" i="2" a="1"/>
  <c r="AQ258" i="2" a="1"/>
  <c r="AQ278" i="2" a="1"/>
  <c r="AP78" i="2" a="1"/>
  <c r="AP272" i="2" a="1"/>
  <c r="AQ211" i="2" a="1"/>
  <c r="AQ561" i="2" a="1"/>
  <c r="AP98" i="2" a="1"/>
  <c r="AQ41" i="2" a="1"/>
  <c r="AQ560" i="2" a="1"/>
  <c r="AP355" i="2" a="1"/>
  <c r="AQ524" i="2" a="1"/>
  <c r="AO297" i="2" a="1"/>
  <c r="AO333" i="2" a="1"/>
  <c r="AO563" i="2" a="1"/>
  <c r="AQ384" i="2" a="1"/>
  <c r="AO176" i="2" a="1"/>
  <c r="AQ361" i="2" a="1"/>
  <c r="AQ380" i="2" a="1"/>
  <c r="AP290" i="2" a="1"/>
  <c r="AP433" i="2" a="1"/>
  <c r="AQ251" i="2" a="1"/>
  <c r="AQ180" i="2" a="1"/>
  <c r="AP295" i="2" a="1"/>
  <c r="AQ221" i="2" a="1"/>
  <c r="AO34" i="2" a="1"/>
  <c r="AP470" i="2" a="1"/>
  <c r="AQ328" i="2" a="1"/>
  <c r="AQ113" i="2" a="1"/>
  <c r="AO373" i="2" a="1"/>
  <c r="AO213" i="2" a="1"/>
  <c r="AQ256" i="2" a="1"/>
  <c r="AO255" i="2" a="1"/>
  <c r="AQ425" i="2" a="1"/>
  <c r="AQ444" i="2" a="1"/>
  <c r="AP306" i="2" a="1"/>
  <c r="AP465" i="2" a="1"/>
  <c r="AQ259" i="2" a="1"/>
  <c r="AQ212" i="2" a="1"/>
  <c r="AP311" i="2" a="1"/>
  <c r="AQ253" i="2" a="1"/>
  <c r="AO42" i="2" a="1"/>
  <c r="AP284" i="2" a="1"/>
  <c r="AQ360" i="2" a="1"/>
  <c r="AQ197" i="2" a="1"/>
  <c r="AO381" i="2" a="1"/>
  <c r="AO395" i="2" a="1"/>
  <c r="AQ322" i="2" a="1"/>
  <c r="AO271" i="2" a="1"/>
  <c r="AP369" i="2" a="1"/>
  <c r="AQ144" i="2" a="1"/>
  <c r="AQ34" i="2" a="1"/>
  <c r="AO223" i="2" a="1"/>
  <c r="AO538" i="2" a="1"/>
  <c r="AO109" i="2" a="1"/>
  <c r="AO466" i="2" a="1"/>
  <c r="AO112" i="2" a="1"/>
  <c r="AO484" i="2" a="1"/>
  <c r="AL299" i="2" a="1"/>
  <c r="AL499" i="2" a="1"/>
  <c r="AL213" i="2" a="1"/>
  <c r="D285" i="2" a="1"/>
  <c r="D553" i="2" a="1"/>
  <c r="AQ479" i="2" a="1"/>
  <c r="AQ244" i="2" a="1"/>
  <c r="AP412" i="2" a="1"/>
  <c r="AO411" i="2" a="1"/>
  <c r="AO514" i="2" a="1"/>
  <c r="AQ341" i="2" a="1"/>
  <c r="AO156" i="2" a="1"/>
  <c r="AQ478" i="2" a="1"/>
  <c r="AO199" i="2" a="1"/>
  <c r="AO548" i="2" a="1"/>
  <c r="AL144" i="2" a="1"/>
  <c r="AL540" i="2" a="1"/>
  <c r="D527" i="2" a="1"/>
  <c r="D152" i="2" a="1"/>
  <c r="D450" i="2" a="1"/>
  <c r="AL515" i="2" a="1"/>
  <c r="AP45" i="2" a="1"/>
  <c r="AP47" i="2" a="1"/>
  <c r="AQ190" i="2" a="1"/>
  <c r="AO550" i="2" a="1"/>
  <c r="AO565" i="2" a="1"/>
  <c r="AQ216" i="2" a="1"/>
  <c r="AO242" i="2" a="1"/>
  <c r="AQ354" i="2" a="1"/>
  <c r="AO276" i="2" a="1"/>
  <c r="AO461" i="2" a="1"/>
  <c r="AL450" i="2" a="1"/>
  <c r="AL325" i="2" a="1"/>
  <c r="D81" i="2" a="1"/>
  <c r="D463" i="2" a="1"/>
  <c r="D504" i="2" a="1"/>
  <c r="AL212" i="2" a="1"/>
  <c r="AO43" i="2" a="1"/>
  <c r="AO361" i="2" a="1"/>
  <c r="AL579" i="2" a="1"/>
  <c r="D32" i="2" a="1"/>
  <c r="AL527" i="2" a="1"/>
  <c r="D545" i="2" a="1"/>
  <c r="D395" i="2" a="1"/>
  <c r="D273" i="2" a="1"/>
  <c r="AL290" i="2" a="1"/>
  <c r="AL387" i="2" a="1"/>
  <c r="D50" i="2" a="1"/>
  <c r="D16" i="2" a="1"/>
  <c r="AP79" i="2" a="1"/>
  <c r="AQ280" i="2" a="1"/>
  <c r="AO523" i="2" a="1"/>
  <c r="D380" i="2" a="1"/>
  <c r="AL192" i="2" a="1"/>
  <c r="AL449" i="2" a="1"/>
  <c r="D494" i="2" a="1"/>
  <c r="D100" i="2" a="1"/>
  <c r="AP217" i="2" a="1"/>
  <c r="AO269" i="2" a="1"/>
  <c r="AL365" i="2" a="1"/>
  <c r="AL375" i="2" a="1"/>
  <c r="D136" i="2" a="1"/>
  <c r="AP461" i="2" a="1"/>
  <c r="AO319" i="2" a="1"/>
  <c r="AP584" i="2" a="1"/>
  <c r="AO359" i="2" a="1"/>
  <c r="AP304" i="2" a="1"/>
  <c r="AO57" i="2" a="1"/>
  <c r="AO118" i="2" a="1"/>
  <c r="AO486" i="2" a="1"/>
  <c r="AO467" i="2" a="1"/>
  <c r="AO465" i="2" a="1"/>
  <c r="D260" i="2" a="1"/>
  <c r="AP240" i="2" a="1"/>
  <c r="AO182" i="2" a="1"/>
  <c r="AO77" i="2" a="1"/>
  <c r="AO332" i="2" a="1"/>
  <c r="AL326" i="2" a="1"/>
  <c r="D492" i="2" a="1"/>
  <c r="AP386" i="2" a="1"/>
  <c r="AO195" i="2" a="1"/>
  <c r="AO107" i="2" a="1"/>
  <c r="AO372" i="2" a="1"/>
  <c r="AL385" i="2" a="1"/>
  <c r="D284" i="2" a="1"/>
  <c r="AQ220" i="2" a="1"/>
  <c r="D364" i="2" a="1"/>
  <c r="D374" i="2" a="1"/>
  <c r="AL98" i="2" a="1"/>
  <c r="D501" i="2" a="1"/>
  <c r="AO326" i="2" a="1"/>
  <c r="AL592" i="2" a="1"/>
  <c r="AL538" i="2" a="1"/>
  <c r="D164" i="2" a="1"/>
  <c r="AQ532" i="2" a="1"/>
  <c r="AL582" i="2" a="1"/>
  <c r="AL431" i="2" a="1"/>
  <c r="D481" i="2" a="1"/>
  <c r="AL495" i="2" a="1"/>
  <c r="D192" i="2" a="1"/>
  <c r="D191" i="2" a="1"/>
  <c r="AL484" i="2" a="1"/>
  <c r="D353" i="2" a="1"/>
  <c r="AQ352" i="2" a="1"/>
  <c r="AL432" i="2" a="1"/>
  <c r="AL86" i="2" a="1"/>
  <c r="D230" i="2" a="1"/>
  <c r="AL89" i="2" a="1"/>
  <c r="AL448" i="2" a="1"/>
  <c r="D35" i="2" a="1"/>
  <c r="D30" i="2" a="1"/>
  <c r="D564" i="2" a="1"/>
  <c r="AL319" i="2" a="1"/>
  <c r="AL284" i="2" a="1"/>
  <c r="AL123" i="2" a="1"/>
  <c r="AL468" i="2" a="1"/>
  <c r="AP298" i="2" a="1"/>
  <c r="AQ255" i="2" a="1"/>
  <c r="AP319" i="2" a="1"/>
  <c r="AQ265" i="2" a="1"/>
  <c r="AP314" i="2" a="1"/>
  <c r="AQ263" i="2" a="1"/>
  <c r="AP335" i="2" a="1"/>
  <c r="AQ273" i="2" a="1"/>
  <c r="AP394" i="2" a="1"/>
  <c r="AQ68" i="2" a="1"/>
  <c r="AP415" i="2" a="1"/>
  <c r="AQ88" i="2" a="1"/>
  <c r="AP35" i="2" a="1"/>
  <c r="AP466" i="2" a="1"/>
  <c r="AQ142" i="2" a="1"/>
  <c r="AP471" i="2" a="1"/>
  <c r="AO51" i="2" a="1"/>
  <c r="AQ520" i="2" a="1"/>
  <c r="AO111" i="2" a="1"/>
  <c r="AQ431" i="2" a="1"/>
  <c r="AP159" i="2" a="1"/>
  <c r="AP485" i="2" a="1"/>
  <c r="AQ202" i="2" a="1"/>
  <c r="AP493" i="2" a="1"/>
  <c r="AQ365" i="2" a="1"/>
  <c r="AQ181" i="2" a="1"/>
  <c r="AO81" i="2" a="1"/>
  <c r="AO145" i="2" a="1"/>
  <c r="AO409" i="2" a="1"/>
  <c r="AO186" i="2" a="1"/>
  <c r="AQ67" i="2" a="1"/>
  <c r="AP5" i="2" a="1"/>
  <c r="AP365" i="2" a="1"/>
  <c r="AQ111" i="2" a="1"/>
  <c r="AP7" i="2" a="1"/>
  <c r="AP368" i="2" a="1"/>
  <c r="AQ397" i="2" a="1"/>
  <c r="AQ213" i="2" a="1"/>
  <c r="AO89" i="2" a="1"/>
  <c r="AO127" i="2" a="1"/>
  <c r="AO473" i="2" a="1"/>
  <c r="AO219" i="2" a="1"/>
  <c r="AP252" i="2" a="1"/>
  <c r="AO18" i="2" a="1"/>
  <c r="AO587" i="2" a="1"/>
  <c r="AO463" i="2" a="1"/>
  <c r="AO337" i="2" a="1"/>
  <c r="AQ416" i="2" a="1"/>
  <c r="AO356" i="2" a="1"/>
  <c r="AL272" i="2" a="1"/>
  <c r="AL545" i="2" a="1"/>
  <c r="D201" i="2" a="1"/>
  <c r="D413" i="2" a="1"/>
  <c r="AP497" i="2" a="1"/>
  <c r="AO50" i="2" a="1"/>
  <c r="AQ386" i="2" a="1"/>
  <c r="AO554" i="2" a="1"/>
  <c r="AO345" i="2" a="1"/>
  <c r="AQ544" i="2" a="1"/>
  <c r="AO177" i="2" a="1"/>
  <c r="AL267" i="2" a="1"/>
  <c r="AL51" i="2" a="1"/>
  <c r="D465" i="2" a="1"/>
  <c r="D475" i="2" a="1"/>
  <c r="AL304" i="2" a="1"/>
  <c r="AP425" i="2" a="1"/>
  <c r="AO138" i="2" a="1"/>
  <c r="AO71" i="2" a="1"/>
  <c r="AO535" i="2" a="1"/>
  <c r="AO385" i="2" a="1"/>
  <c r="AO70" i="2" a="1"/>
  <c r="AO221" i="2" a="1"/>
  <c r="AL370" i="2" a="1"/>
  <c r="AL259" i="2" a="1"/>
  <c r="D139" i="2" a="1"/>
  <c r="D149" i="2" a="1"/>
  <c r="AL174" i="2" a="1"/>
  <c r="AO440" i="2" a="1"/>
  <c r="AO256" i="2" a="1"/>
  <c r="AL173" i="2" a="1"/>
  <c r="AL506" i="2" a="1"/>
  <c r="D366" i="2" a="1"/>
  <c r="D248" i="2" a="1"/>
  <c r="AL34" i="2" a="1"/>
  <c r="D507" i="2" a="1"/>
  <c r="D277" i="2" a="1"/>
  <c r="AO505" i="2" a="1"/>
  <c r="AO284" i="2" a="1"/>
  <c r="D546" i="2" a="1"/>
  <c r="AL346" i="2" a="1"/>
  <c r="D417" i="2" a="1"/>
  <c r="D93" i="2" a="1"/>
  <c r="AP406" i="2" a="1"/>
  <c r="AQ523" i="2" a="1"/>
  <c r="AL63" i="2" a="1"/>
  <c r="AL348" i="2" a="1"/>
  <c r="AL294" i="2" a="1"/>
  <c r="D112" i="2" a="1"/>
  <c r="D517" i="2" a="1"/>
  <c r="D572" i="2" a="1"/>
  <c r="AL57" i="2" a="1"/>
  <c r="AL243" i="2" a="1"/>
  <c r="D399" i="2" a="1"/>
  <c r="D408" i="2" a="1"/>
  <c r="AL551" i="2" a="1"/>
  <c r="AL149" i="2" a="1"/>
  <c r="AL471" i="2" a="1"/>
  <c r="D48" i="2" a="1"/>
  <c r="AP267" i="2" a="1"/>
  <c r="AO447" i="2" a="1"/>
  <c r="AO348" i="2" a="1"/>
  <c r="D502" i="2" a="1"/>
  <c r="AL510" i="2" a="1"/>
  <c r="D574" i="2" a="1"/>
  <c r="AL258" i="2" a="1"/>
  <c r="D19" i="2" a="1"/>
  <c r="D439" i="2" a="1"/>
  <c r="AL433" i="2" a="1"/>
  <c r="D63" i="2" a="1"/>
  <c r="AL345" i="2" a="1"/>
  <c r="AL33" i="2" a="1"/>
  <c r="AL130" i="2" a="1"/>
  <c r="D473" i="2" a="1"/>
  <c r="AL539" i="2" a="1"/>
  <c r="D15" i="2" a="1"/>
  <c r="AL199" i="2" a="1"/>
  <c r="D429" i="2" a="1"/>
  <c r="AL316" i="2" a="1"/>
  <c r="D512" i="2" a="1"/>
  <c r="D186" i="2" a="1"/>
  <c r="AL206" i="2" a="1"/>
  <c r="AL87" i="2" a="1"/>
  <c r="AL580" i="2" a="1"/>
  <c r="AL575" i="2" a="1"/>
  <c r="AL210" i="2" a="1"/>
  <c r="D328" i="2" a="1"/>
  <c r="D469" i="2" a="1"/>
  <c r="AL135" i="2" a="1"/>
  <c r="AP142" i="2" a="1"/>
  <c r="AP421" i="2" a="1"/>
  <c r="AQ11" i="2" a="1"/>
  <c r="AQ313" i="2" a="1"/>
  <c r="AP161" i="2" a="1"/>
  <c r="AP440" i="2" a="1"/>
  <c r="AQ21" i="2" a="1"/>
  <c r="AQ332" i="2" a="1"/>
  <c r="AP158" i="2" a="1"/>
  <c r="AP437" i="2" a="1"/>
  <c r="AQ19" i="2" a="1"/>
  <c r="AQ329" i="2" a="1"/>
  <c r="AP127" i="2" a="1"/>
  <c r="AP456" i="2" a="1"/>
  <c r="AQ29" i="2" a="1"/>
  <c r="AQ348" i="2" a="1"/>
  <c r="AP180" i="2" a="1"/>
  <c r="AP554" i="2" a="1"/>
  <c r="AQ59" i="2" a="1"/>
  <c r="AQ409" i="2" a="1"/>
  <c r="AP190" i="2" a="1"/>
  <c r="AP576" i="2" a="1"/>
  <c r="AQ69" i="2" a="1"/>
  <c r="AQ428" i="2" a="1"/>
  <c r="AQ3" i="2" a="1"/>
  <c r="AQ13" i="2" a="1"/>
  <c r="AP216" i="2" a="1"/>
  <c r="AP173" i="2" a="1"/>
  <c r="AQ95" i="2" a="1"/>
  <c r="AQ465" i="2" a="1"/>
  <c r="AP218" i="2" a="1"/>
  <c r="AP502" i="2" a="1"/>
  <c r="AQ333" i="2" a="1"/>
  <c r="AP323" i="2" a="1"/>
  <c r="AQ582" i="2" a="1"/>
  <c r="AO153" i="2" a="1"/>
  <c r="AO113" i="2" a="1"/>
  <c r="AO193" i="2" a="1"/>
  <c r="AQ205" i="2" a="1"/>
  <c r="AO383" i="2" a="1"/>
  <c r="AQ183" i="2" a="1"/>
  <c r="AQ193" i="2" a="1"/>
  <c r="AP171" i="2" a="1"/>
  <c r="AP363" i="2" a="1"/>
  <c r="AQ139" i="2" a="1"/>
  <c r="AQ505" i="2" a="1"/>
  <c r="AP175" i="2" a="1"/>
  <c r="AP419" i="2" a="1"/>
  <c r="AQ490" i="2" a="1"/>
  <c r="AP138" i="2" a="1"/>
  <c r="AQ295" i="2" a="1"/>
  <c r="AO206" i="2" a="1"/>
  <c r="AO246" i="2" a="1"/>
  <c r="AO232" i="2" a="1"/>
  <c r="AQ138" i="2" a="1"/>
  <c r="AO201" i="2" a="1"/>
  <c r="AQ215" i="2" a="1"/>
  <c r="AQ225" i="2" a="1"/>
  <c r="AP187" i="2" a="1"/>
  <c r="AP395" i="2" a="1"/>
  <c r="AL487" i="2" a="1"/>
  <c r="AQ203" i="2" a="1"/>
  <c r="AL23" i="2" a="1"/>
  <c r="AP407" i="2" a="1"/>
  <c r="AP473" i="2" a="1"/>
  <c r="AQ58" i="2" a="1"/>
  <c r="AP569" i="2" a="1"/>
  <c r="AP244" i="2" a="1"/>
  <c r="AO121" i="2" a="1"/>
  <c r="AO367" i="2" a="1"/>
  <c r="AQ121" i="2" a="1"/>
  <c r="AQ587" i="2" a="1"/>
  <c r="AL349" i="2" a="1"/>
  <c r="D97" i="2" a="1"/>
  <c r="AP299" i="2" a="1"/>
  <c r="AQ238" i="2" a="1"/>
  <c r="AO313" i="2" a="1"/>
  <c r="AO460" i="2" a="1"/>
  <c r="AL334" i="2" a="1"/>
  <c r="D172" i="2" a="1"/>
  <c r="AP583" i="2" a="1"/>
  <c r="AQ157" i="2" a="1"/>
  <c r="AO353" i="2" a="1"/>
  <c r="AO237" i="2" a="1"/>
  <c r="AL312" i="2" a="1"/>
  <c r="D242" i="2" a="1"/>
  <c r="AO312" i="2" a="1"/>
  <c r="AL460" i="2" a="1"/>
  <c r="D17" i="2" a="1"/>
  <c r="AL56" i="2" a="1"/>
  <c r="D177" i="2" a="1"/>
  <c r="AO472" i="2" a="1"/>
  <c r="D538" i="2" a="1"/>
  <c r="AL159" i="2" a="1"/>
  <c r="D550" i="2" a="1"/>
  <c r="AO101" i="2" a="1"/>
  <c r="AL153" i="2" a="1"/>
  <c r="AL441" i="2" a="1"/>
  <c r="D578" i="2" a="1"/>
  <c r="AL512" i="2" a="1"/>
  <c r="D65" i="2" a="1"/>
  <c r="D568" i="2" a="1"/>
  <c r="AL241" i="2" a="1"/>
  <c r="AQ194" i="2" a="1"/>
  <c r="AO167" i="2" a="1"/>
  <c r="AL427" i="2" a="1"/>
  <c r="AL152" i="2" a="1"/>
  <c r="D313" i="2" a="1"/>
  <c r="D57" i="2" a="1"/>
  <c r="AL136" i="2" a="1"/>
  <c r="D56" i="2" a="1"/>
  <c r="D197" i="2" a="1"/>
  <c r="D86" i="2" a="1"/>
  <c r="AL397" i="2" a="1"/>
  <c r="AL533" i="2" a="1"/>
  <c r="D237" i="2" a="1"/>
  <c r="D569" i="2" a="1"/>
  <c r="AP504" i="2" a="1"/>
  <c r="AQ210" i="2" a="1"/>
  <c r="AP536" i="2" a="1"/>
  <c r="AQ230" i="2" a="1"/>
  <c r="AP533" i="2" a="1"/>
  <c r="AQ226" i="2" a="1"/>
  <c r="AP552" i="2" a="1"/>
  <c r="AQ246" i="2" a="1"/>
  <c r="AP250" i="2" a="1"/>
  <c r="AQ307" i="2" a="1"/>
  <c r="AP122" i="2" a="1"/>
  <c r="AQ326" i="2" a="1"/>
  <c r="AP582" i="2" a="1"/>
  <c r="AP263" i="2" a="1"/>
  <c r="AQ379" i="2" a="1"/>
  <c r="AP274" i="2" a="1"/>
  <c r="AO110" i="2" a="1"/>
  <c r="AO41" i="2" a="1"/>
  <c r="AO334" i="2" a="1"/>
  <c r="AO162" i="2" a="1"/>
  <c r="AP509" i="2" a="1"/>
  <c r="AP349" i="2" a="1"/>
  <c r="AQ70" i="2" a="1"/>
  <c r="AP352" i="2" a="1"/>
  <c r="AO91" i="2" a="1"/>
  <c r="AQ531" i="2" a="1"/>
  <c r="AO169" i="2" a="1"/>
  <c r="AO218" i="2" a="1"/>
  <c r="AO200" i="2" a="1"/>
  <c r="AO391" i="2" a="1"/>
  <c r="AP198" i="2" a="1"/>
  <c r="AP84" i="2" a="1"/>
  <c r="AP271" i="2" a="1"/>
  <c r="AQ218" i="2" a="1"/>
  <c r="AP88" i="2" a="1"/>
  <c r="AP444" i="2" a="1"/>
  <c r="AO99" i="2" a="1"/>
  <c r="AQ563" i="2" a="1"/>
  <c r="AO143" i="2" a="1"/>
  <c r="AO234" i="2" a="1"/>
  <c r="AO575" i="2" a="1"/>
  <c r="AO128" i="2" a="1"/>
  <c r="AQ235" i="2" a="1"/>
  <c r="AP189" i="2" a="1"/>
  <c r="AQ574" i="2" a="1"/>
  <c r="AO558" i="2" a="1"/>
  <c r="AO124" i="2" a="1"/>
  <c r="AQ480" i="2" a="1"/>
  <c r="AO585" i="2" a="1"/>
  <c r="AL128" i="2" a="1"/>
  <c r="AL497" i="2" a="1"/>
  <c r="D229" i="2" a="1"/>
  <c r="D247" i="2" a="1"/>
  <c r="AQ267" i="2" a="1"/>
  <c r="AQ392" i="2" a="1"/>
  <c r="AO280" i="2" a="1"/>
  <c r="AO449" i="2" a="1"/>
  <c r="AO346" i="2" a="1"/>
  <c r="AO100" i="2" a="1"/>
  <c r="AO593" i="2" a="1"/>
  <c r="AL96" i="2" a="1"/>
  <c r="AL476" i="2" a="1"/>
  <c r="D456" i="2" a="1"/>
  <c r="AL451" i="2" a="1"/>
  <c r="AP282" i="2" a="1"/>
  <c r="AQ299" i="2" a="1"/>
  <c r="AO72" i="2" a="1"/>
  <c r="AO336" i="2" a="1"/>
  <c r="AQ229" i="2" a="1"/>
  <c r="AO386" i="2" a="1"/>
  <c r="AO235" i="2" a="1"/>
  <c r="AO439" i="2" a="1"/>
  <c r="AL242" i="2" a="1"/>
  <c r="AL99" i="2" a="1"/>
  <c r="D292" i="2" a="1"/>
  <c r="AL55" i="2" a="1"/>
  <c r="AP3" i="2" a="1"/>
  <c r="AQ17" i="2" a="1"/>
  <c r="AL248" i="2" a="1"/>
  <c r="AL350" i="2" a="1"/>
  <c r="AL245" i="2" a="1"/>
  <c r="D141" i="2" a="1"/>
  <c r="AL418" i="2" a="1"/>
  <c r="AL14" i="2" a="1"/>
  <c r="D144" i="2" a="1"/>
  <c r="D38" i="2" a="1"/>
  <c r="AO573" i="2" a="1"/>
  <c r="AL274" i="2" a="1"/>
  <c r="AL75" i="2" a="1"/>
  <c r="AL509" i="2" a="1"/>
  <c r="D426" i="2" a="1"/>
  <c r="D224" i="2" a="1"/>
  <c r="AO454" i="2" a="1"/>
  <c r="AO241" i="2" a="1"/>
  <c r="D402" i="2" a="1"/>
  <c r="AL177" i="2" a="1"/>
  <c r="AL80" i="2" a="1"/>
  <c r="D554" i="2" a="1"/>
  <c r="D167" i="2" a="1"/>
  <c r="AL426" i="2" a="1"/>
  <c r="AL42" i="2" a="1"/>
  <c r="AL280" i="2" a="1"/>
  <c r="D516" i="2" a="1"/>
  <c r="D556" i="2" a="1"/>
  <c r="AL47" i="2" a="1"/>
  <c r="AL154" i="2" a="1"/>
  <c r="AL454" i="2" a="1"/>
  <c r="D448" i="2" a="1"/>
  <c r="AP270" i="2" a="1"/>
  <c r="AQ440" i="2" a="1"/>
  <c r="AL583" i="2" a="1"/>
  <c r="D341" i="2" a="1"/>
  <c r="D376" i="2" a="1"/>
  <c r="D584" i="2" a="1"/>
  <c r="AL118" i="2" a="1"/>
  <c r="D383" i="2" a="1"/>
  <c r="D92" i="2" a="1"/>
  <c r="AL240" i="2" a="1"/>
  <c r="D573" i="2" a="1"/>
  <c r="AL356" i="2" a="1"/>
  <c r="D134" i="2" a="1"/>
  <c r="AL54" i="2" a="1"/>
  <c r="D317" i="2" a="1"/>
  <c r="AL2" i="2" a="1"/>
  <c r="D396" i="2" a="1"/>
  <c r="AL276" i="2" a="1"/>
  <c r="D424" i="2" a="1"/>
  <c r="AL137" i="2" a="1"/>
  <c r="D349" i="2" a="1"/>
  <c r="D592" i="2" a="1"/>
  <c r="D392" i="2" a="1"/>
  <c r="AL194" i="2" a="1"/>
  <c r="D343" i="2" a="1"/>
  <c r="AL72" i="2" a="1"/>
  <c r="AL132" i="2" a="1"/>
  <c r="AL496" i="2" a="1"/>
  <c r="AL560" i="2" a="1"/>
  <c r="D319" i="2" a="1"/>
  <c r="AP179" i="2" a="1"/>
  <c r="AP379" i="2" a="1"/>
  <c r="AQ147" i="2" a="1"/>
  <c r="AQ509" i="2" a="1"/>
  <c r="AP199" i="2" a="1"/>
  <c r="AP422" i="2" a="1"/>
  <c r="AQ168" i="2" a="1"/>
  <c r="AQ519" i="2" a="1"/>
  <c r="AP195" i="2" a="1"/>
  <c r="AP411" i="2" a="1"/>
  <c r="AQ163" i="2" a="1"/>
  <c r="AQ517" i="2" a="1"/>
  <c r="AP215" i="2" a="1"/>
  <c r="AP454" i="2" a="1"/>
  <c r="AQ177" i="2" a="1"/>
  <c r="AQ527" i="2" a="1"/>
  <c r="AP275" i="2" a="1"/>
  <c r="AP258" i="2" a="1"/>
  <c r="AQ207" i="2" a="1"/>
  <c r="AQ557" i="2" a="1"/>
  <c r="AP149" i="2" a="1"/>
  <c r="AP300" i="2" a="1"/>
  <c r="AQ217" i="2" a="1"/>
  <c r="AQ567" i="2" a="1"/>
  <c r="AQ297" i="2" a="1"/>
  <c r="AQ316" i="2" a="1"/>
  <c r="AP273" i="2" a="1"/>
  <c r="AP401" i="2" a="1"/>
  <c r="AQ243" i="2" a="1"/>
  <c r="AQ593" i="2" a="1"/>
  <c r="AP279" i="2" a="1"/>
  <c r="AQ189" i="2" a="1"/>
  <c r="AO26" i="2" a="1"/>
  <c r="AP342" i="2" a="1"/>
  <c r="AQ296" i="2" a="1"/>
  <c r="AQ49" i="2" a="1"/>
  <c r="AO365" i="2" a="1"/>
  <c r="AO131" i="2" a="1"/>
  <c r="AQ192" i="2" a="1"/>
  <c r="AO239" i="2" a="1"/>
  <c r="AQ533" i="2" a="1"/>
  <c r="AQ543" i="2" a="1"/>
  <c r="AP354" i="2" a="1"/>
  <c r="AP551" i="2" a="1"/>
  <c r="AQ283" i="2" a="1"/>
  <c r="AQ303" i="2" a="1"/>
  <c r="AP359" i="2" a="1"/>
  <c r="AQ161" i="2" a="1"/>
  <c r="AO66" i="2" a="1"/>
  <c r="AP168" i="2" a="1"/>
  <c r="AQ450" i="2" a="1"/>
  <c r="AQ222" i="2" a="1"/>
  <c r="AO155" i="2" a="1"/>
  <c r="AO443" i="2" a="1"/>
  <c r="AQ516" i="2" a="1"/>
  <c r="AO296" i="2" a="1"/>
  <c r="AQ565" i="2" a="1"/>
  <c r="AQ575" i="2" a="1"/>
  <c r="AP370" i="2" a="1"/>
  <c r="AP567" i="2" a="1"/>
  <c r="AQ291" i="2" a="1"/>
  <c r="AQ335" i="2" a="1"/>
  <c r="AP375" i="2" a="1"/>
  <c r="AQ206" i="2" a="1"/>
  <c r="AP539" i="2" a="1"/>
  <c r="D26" i="2" a="1"/>
  <c r="AO133" i="2" a="1"/>
  <c r="AO104" i="2" a="1"/>
  <c r="AO142" i="2" a="1"/>
  <c r="AQ457" i="2" a="1"/>
  <c r="AO257" i="2" a="1"/>
  <c r="D418" i="2" a="1"/>
  <c r="AO415" i="2" a="1"/>
  <c r="AL310" i="2" a="1"/>
  <c r="AL311" i="2" a="1"/>
  <c r="AO496" i="2" a="1"/>
  <c r="AL309" i="2" a="1"/>
  <c r="AL43" i="2" a="1"/>
  <c r="AL556" i="2" a="1"/>
  <c r="AL493" i="2" a="1"/>
  <c r="AQ302" i="2" a="1"/>
  <c r="D200" i="2" a="1"/>
  <c r="AO293" i="2" a="1"/>
  <c r="D117" i="2" a="1"/>
  <c r="AL203" i="2" a="1"/>
  <c r="AL406" i="2" a="1"/>
  <c r="AO555" i="2" a="1"/>
  <c r="D387" i="2" a="1"/>
  <c r="AL82" i="2" a="1"/>
  <c r="AL71" i="2" a="1"/>
  <c r="D505" i="2" a="1"/>
  <c r="AL323" i="2" a="1"/>
  <c r="D548" i="2" a="1"/>
  <c r="AP449" i="2" a="1"/>
  <c r="AP492" i="2" a="1"/>
  <c r="AP481" i="2" a="1"/>
  <c r="AP524" i="2" a="1"/>
  <c r="AP591" i="2" a="1"/>
  <c r="AP268" i="2" a="1"/>
  <c r="AP16" i="2" a="1"/>
  <c r="AP18" i="2" a="1"/>
  <c r="AQ50" i="2" a="1"/>
  <c r="AO536" i="2" a="1"/>
  <c r="AP56" i="2" a="1"/>
  <c r="AP58" i="2" a="1"/>
  <c r="AO148" i="2" a="1"/>
  <c r="AQ566" i="2" a="1"/>
  <c r="AQ269" i="2" a="1"/>
  <c r="AP62" i="2" a="1"/>
  <c r="AP261" i="2" a="1"/>
  <c r="AP234" i="2" a="1"/>
  <c r="AO178" i="2" a="1"/>
  <c r="AQ184" i="2" a="1"/>
  <c r="AQ128" i="2" a="1"/>
  <c r="AQ585" i="2" a="1"/>
  <c r="AO416" i="2" a="1"/>
  <c r="AO338" i="2" a="1"/>
  <c r="AO485" i="2" a="1"/>
  <c r="D206" i="2" a="1"/>
  <c r="AQ469" i="2" a="1"/>
  <c r="AQ261" i="2" a="1"/>
  <c r="AQ562" i="2" a="1"/>
  <c r="AO363" i="2" a="1"/>
  <c r="AL563" i="2" a="1"/>
  <c r="D102" i="2" a="1"/>
  <c r="AP303" i="2" a="1"/>
  <c r="AQ508" i="2" a="1"/>
  <c r="AO36" i="2" a="1"/>
  <c r="AO144" i="2" a="1"/>
  <c r="AL383" i="2" a="1"/>
  <c r="D482" i="2" a="1"/>
  <c r="AQ124" i="2" a="1"/>
  <c r="D570" i="2" a="1"/>
  <c r="D234" i="2" a="1"/>
  <c r="AL398" i="2" a="1"/>
  <c r="D119" i="2" a="1"/>
  <c r="AO258" i="2" a="1"/>
  <c r="AL262" i="2" a="1"/>
  <c r="D591" i="2" a="1"/>
  <c r="AQ324" i="2" a="1"/>
  <c r="D309" i="2" a="1"/>
  <c r="AL313" i="2" a="1"/>
  <c r="D71" i="2" a="1"/>
  <c r="AL4" i="2" a="1"/>
  <c r="D350" i="2" a="1"/>
  <c r="AL380" i="2" a="1"/>
  <c r="D233" i="2" a="1"/>
  <c r="AQ492" i="2" a="1"/>
  <c r="AL151" i="2" a="1"/>
  <c r="D199" i="2" a="1"/>
  <c r="AL508" i="2" a="1"/>
  <c r="AL78" i="2" a="1"/>
  <c r="D464" i="2" a="1"/>
  <c r="D533" i="2" a="1"/>
  <c r="D407" i="2" a="1"/>
  <c r="D266" i="2" a="1"/>
  <c r="D265" i="2" a="1"/>
  <c r="AL46" i="2" a="1"/>
  <c r="D340" i="2" a="1"/>
  <c r="D520" i="2" a="1"/>
  <c r="D80" i="2" a="1"/>
  <c r="D256" i="2" a="1"/>
  <c r="AP362" i="2" a="1"/>
  <c r="AQ287" i="2" a="1"/>
  <c r="AP383" i="2" a="1"/>
  <c r="AQ56" i="2" a="1"/>
  <c r="AP378" i="2" a="1"/>
  <c r="AQ52" i="2" a="1"/>
  <c r="AP399" i="2" a="1"/>
  <c r="AQ72" i="2" a="1"/>
  <c r="AP458" i="2" a="1"/>
  <c r="AQ134" i="2" a="1"/>
  <c r="AP479" i="2" a="1"/>
  <c r="AQ153" i="2" a="1"/>
  <c r="AP145" i="2" a="1"/>
  <c r="AP530" i="2" a="1"/>
  <c r="AQ186" i="2" a="1"/>
  <c r="AP535" i="2" a="1"/>
  <c r="AO83" i="2" a="1"/>
  <c r="AO16" i="2" a="1"/>
  <c r="AO202" i="2" a="1"/>
  <c r="AO30" i="2" a="1"/>
  <c r="AP246" i="2" a="1"/>
  <c r="AP570" i="2" a="1"/>
  <c r="AQ266" i="2" a="1"/>
  <c r="AP574" i="2" a="1"/>
  <c r="AO106" i="2" a="1"/>
  <c r="AO56" i="2" a="1"/>
  <c r="AO278" i="2" a="1"/>
  <c r="AO39" i="2" a="1"/>
  <c r="AP181" i="2" a="1"/>
  <c r="AP586" i="2" a="1"/>
  <c r="AQ155" i="2" a="1"/>
  <c r="AP39" i="2" a="1"/>
  <c r="AP432" i="2" a="1"/>
  <c r="AQ522" i="2" a="1"/>
  <c r="AP310" i="2" a="1"/>
  <c r="AQ327" i="2" a="1"/>
  <c r="AO222" i="2" a="1"/>
  <c r="AO277" i="2" a="1"/>
  <c r="AO495" i="2" a="1"/>
  <c r="AQ404" i="2" a="1"/>
  <c r="AO217" i="2" a="1"/>
  <c r="AP514" i="2" a="1"/>
  <c r="AP519" i="2" a="1"/>
  <c r="AO8" i="2" a="1"/>
  <c r="AO14" i="2" a="1"/>
  <c r="AO528" i="2" a="1"/>
  <c r="AO4" i="2" a="1"/>
  <c r="AO370" i="2" a="1"/>
  <c r="AO38" i="2" a="1"/>
  <c r="AO388" i="2" a="1"/>
  <c r="AO469" i="2" a="1"/>
  <c r="AL363" i="2" a="1"/>
  <c r="AL581" i="2" a="1"/>
  <c r="D175" i="2" a="1"/>
  <c r="D62" i="2" a="1"/>
  <c r="AP230" i="2" a="1"/>
  <c r="AQ234" i="2" a="1"/>
  <c r="AO74" i="2" a="1"/>
  <c r="AO250" i="2" a="1"/>
  <c r="AO456" i="2" a="1"/>
  <c r="AQ160" i="2" a="1"/>
  <c r="AO377" i="2" a="1"/>
  <c r="AQ64" i="2" a="1"/>
  <c r="AO108" i="2" a="1"/>
  <c r="AO423" i="2" a="1"/>
  <c r="AL231" i="2" a="1"/>
  <c r="AL330" i="2" a="1"/>
  <c r="D585" i="2" a="1"/>
  <c r="D518" i="2" a="1"/>
  <c r="D488" i="2" a="1"/>
  <c r="AL292" i="2" a="1"/>
  <c r="AP460" i="2" a="1"/>
  <c r="AQ337" i="2" a="1"/>
  <c r="AO259" i="2" a="1"/>
  <c r="AO422" i="2" a="1"/>
  <c r="AO205" i="2" a="1"/>
  <c r="AQ414" i="2" a="1"/>
  <c r="AO187" i="2" a="1"/>
  <c r="AQ459" i="2" a="1"/>
  <c r="AO225" i="2" a="1"/>
  <c r="AO504" i="2" a="1"/>
  <c r="AL336" i="2" a="1"/>
  <c r="AL186" i="2" a="1"/>
  <c r="D576" i="2" a="1"/>
  <c r="D171" i="2" a="1"/>
  <c r="D296" i="2" a="1"/>
  <c r="AL110" i="2" a="1"/>
  <c r="AP10" i="2" a="1"/>
  <c r="AQ470" i="2" a="1"/>
  <c r="AO457" i="2" a="1"/>
  <c r="D42" i="2" a="1"/>
  <c r="AL103" i="2" a="1"/>
  <c r="AL462" i="2" a="1"/>
  <c r="D208" i="2" a="1"/>
  <c r="D515" i="2" a="1"/>
  <c r="AL565" i="2" a="1"/>
  <c r="AL261" i="2" a="1"/>
  <c r="D369" i="2" a="1"/>
  <c r="D259" i="2" a="1"/>
  <c r="AP245" i="2" a="1"/>
  <c r="AO588" i="2" a="1"/>
  <c r="AO412" i="2" a="1"/>
  <c r="D169" i="2" a="1"/>
  <c r="AL124" i="2" a="1"/>
  <c r="AL127" i="2" a="1"/>
  <c r="D254" i="2" a="1"/>
  <c r="D425" i="2" a="1"/>
  <c r="AL293" i="2" a="1"/>
  <c r="AO584" i="2" a="1"/>
  <c r="AQ317" i="2" a="1"/>
  <c r="AL53" i="2" a="1"/>
  <c r="AL7" i="2" a="1"/>
  <c r="AL412" i="2" a="1"/>
  <c r="D145" i="2" a="1"/>
  <c r="D461" i="2" a="1"/>
  <c r="D214" i="2" a="1"/>
  <c r="AL486" i="2" a="1"/>
  <c r="AL465" i="2" a="1"/>
  <c r="D41" i="2" a="1"/>
  <c r="D77" i="2" a="1"/>
  <c r="AL25" i="2" a="1"/>
  <c r="AL273" i="2" a="1"/>
  <c r="AL268" i="2" a="1"/>
  <c r="D452" i="2" a="1"/>
  <c r="AP185" i="2" a="1"/>
  <c r="AO492" i="2" a="1"/>
  <c r="AO476" i="2" a="1"/>
  <c r="D552" i="2" a="1"/>
  <c r="AL381" i="2" a="1"/>
  <c r="D147" i="2" a="1"/>
  <c r="AL69" i="2" a="1"/>
  <c r="D532" i="2" a="1"/>
  <c r="D401" i="2" a="1"/>
  <c r="AL341" i="2" a="1"/>
  <c r="D511" i="2" a="1"/>
  <c r="AL232" i="2" a="1"/>
  <c r="D202" i="2" a="1"/>
  <c r="AL58" i="2" a="1"/>
  <c r="D213" i="2" a="1"/>
  <c r="AL492" i="2" a="1"/>
  <c r="D239" i="2" a="1"/>
  <c r="AL531" i="2" a="1"/>
  <c r="D279" i="2" a="1"/>
  <c r="AL391" i="2" a="1"/>
  <c r="D109" i="2" a="1"/>
  <c r="AL547" i="2" a="1"/>
  <c r="AL208" i="2" a="1"/>
  <c r="AL224" i="2" a="1"/>
  <c r="AL420" i="2" a="1"/>
  <c r="AL548" i="2" a="1"/>
  <c r="AL35" i="2" a="1"/>
  <c r="AL413" i="2" a="1"/>
  <c r="D180" i="2" a="1"/>
  <c r="D472" i="2" a="1"/>
  <c r="D135" i="2" a="1"/>
  <c r="D421" i="2" a="1"/>
  <c r="D459" i="2" a="1"/>
  <c r="AL384" i="2" a="1"/>
  <c r="D590" i="2" a="1"/>
  <c r="D43" i="2" a="1"/>
  <c r="D427" i="2" a="1"/>
  <c r="AQ438" i="2" a="1"/>
  <c r="AQ79" i="2" a="1"/>
  <c r="AQ74" i="2" a="1"/>
  <c r="AL70" i="2" a="1"/>
  <c r="D443" i="2" a="1"/>
  <c r="D500" i="2" a="1"/>
  <c r="D29" i="2" a="1"/>
  <c r="AL79" i="2" a="1"/>
  <c r="D523" i="2" a="1"/>
  <c r="AL561" i="2" a="1"/>
  <c r="AL366" i="2" a="1"/>
  <c r="AP11" i="2" a="1"/>
  <c r="AP19" i="2" a="1"/>
  <c r="AP59" i="2" a="1"/>
  <c r="AP561" i="2" a="1"/>
  <c r="AQ466" i="2" a="1"/>
  <c r="AQ24" i="2" a="1"/>
  <c r="AO24" i="2" a="1"/>
  <c r="AP572" i="2" a="1"/>
  <c r="AQ481" i="2" a="1"/>
  <c r="AO32" i="2" a="1"/>
  <c r="AQ94" i="2" a="1"/>
  <c r="AQ498" i="2" a="1"/>
  <c r="AL435" i="2" a="1"/>
  <c r="AQ285" i="2" a="1"/>
  <c r="AO479" i="2" a="1"/>
  <c r="AL315" i="2" a="1"/>
  <c r="AL109" i="2" a="1"/>
  <c r="AQ174" i="2" a="1"/>
  <c r="D140" i="2" a="1"/>
  <c r="AO379" i="2" a="1"/>
  <c r="D68" i="2" a="1"/>
  <c r="D291" i="2" a="1"/>
  <c r="AQ401" i="2" a="1"/>
  <c r="AL62" i="2" a="1"/>
  <c r="AL298" i="2" a="1"/>
  <c r="D223" i="2" a="1"/>
  <c r="AQ570" i="2" a="1"/>
  <c r="D106" i="2" a="1"/>
  <c r="D562" i="2" a="1"/>
  <c r="AL300" i="2" a="1"/>
  <c r="D121" i="2" a="1"/>
  <c r="AP377" i="2" a="1"/>
  <c r="AP41" i="2" a="1"/>
  <c r="AP452" i="2" a="1"/>
  <c r="AP553" i="2" a="1"/>
  <c r="AP405" i="2" a="1"/>
  <c r="AQ16" i="2" a="1"/>
  <c r="AQ499" i="2" a="1"/>
  <c r="AP475" i="2" a="1"/>
  <c r="AP137" i="2" a="1"/>
  <c r="AP468" i="2" a="1"/>
  <c r="D335" i="2" a="1"/>
  <c r="AO53" i="2" a="1"/>
  <c r="AO125" i="2" a="1"/>
  <c r="AP476" i="2" a="1"/>
  <c r="AP210" i="2" a="1"/>
  <c r="AO324" i="2" a="1"/>
  <c r="D521" i="2" a="1"/>
  <c r="AO532" i="2" a="1"/>
  <c r="AL92" i="2" a="1"/>
  <c r="AL140" i="2" a="1"/>
  <c r="AO586" i="2" a="1"/>
  <c r="AL513" i="2" a="1"/>
  <c r="AL198" i="2" a="1"/>
  <c r="AL155" i="2" a="1"/>
  <c r="AL74" i="2" a="1"/>
  <c r="AO175" i="2" a="1"/>
  <c r="D580" i="2" a="1"/>
  <c r="AO173" i="2" a="1"/>
  <c r="D263" i="2" a="1"/>
  <c r="AL399" i="2" a="1"/>
  <c r="AL236" i="2" a="1"/>
  <c r="AO253" i="2" a="1"/>
  <c r="D323" i="2" a="1"/>
  <c r="AL91" i="2" a="1"/>
  <c r="AL447" i="2" a="1"/>
  <c r="AL566" i="2" a="1"/>
  <c r="D257" i="2" a="1"/>
  <c r="AL228" i="2" a="1"/>
  <c r="AP147" i="2" a="1"/>
  <c r="AP292" i="2" a="1"/>
  <c r="AP281" i="2" a="1"/>
  <c r="AP324" i="2" a="1"/>
  <c r="AP441" i="2" a="1"/>
  <c r="AP484" i="2" a="1"/>
  <c r="AP85" i="2" a="1"/>
  <c r="AP87" i="2" a="1"/>
  <c r="AQ170" i="2" a="1"/>
  <c r="AO508" i="2" a="1"/>
  <c r="AP68" i="2" a="1"/>
  <c r="AP72" i="2" a="1"/>
  <c r="AP451" i="2" a="1"/>
  <c r="AO12" i="2" a="1"/>
  <c r="AO46" i="2" a="1"/>
  <c r="AQ77" i="2" a="1"/>
  <c r="AQ32" i="2" a="1"/>
  <c r="AP525" i="2" a="1"/>
  <c r="AP276" i="2" a="1"/>
  <c r="AO28" i="2" a="1"/>
  <c r="AO62" i="2" a="1"/>
  <c r="AP255" i="2" a="1"/>
  <c r="AO498" i="2" a="1"/>
  <c r="AQ10" i="2" a="1"/>
  <c r="AO583" i="2" a="1"/>
  <c r="D240" i="2" a="1"/>
  <c r="AP322" i="2" a="1"/>
  <c r="AO389" i="2" a="1"/>
  <c r="AO141" i="2" a="1"/>
  <c r="AO364" i="2" a="1"/>
  <c r="AL424" i="2" a="1"/>
  <c r="D325" i="2" a="1"/>
  <c r="AP221" i="2" a="1"/>
  <c r="AO294" i="2" a="1"/>
  <c r="AO159" i="2" a="1"/>
  <c r="AO404" i="2" a="1"/>
  <c r="AL576" i="2" a="1"/>
  <c r="D34" i="2" a="1"/>
  <c r="AO260" i="2" a="1"/>
  <c r="D150" i="2" a="1"/>
  <c r="D108" i="2" a="1"/>
  <c r="AL270" i="2" a="1"/>
  <c r="D582" i="2" a="1"/>
  <c r="AQ418" i="2" a="1"/>
  <c r="AL239" i="2" a="1"/>
  <c r="D270" i="2" a="1"/>
  <c r="AO204" i="2" a="1"/>
  <c r="D228" i="2" a="1"/>
  <c r="D104" i="2" a="1"/>
  <c r="D21" i="2" a="1"/>
  <c r="AL408" i="2" a="1"/>
  <c r="D308" i="2" a="1"/>
  <c r="AL255" i="2" a="1"/>
  <c r="D251" i="2" a="1"/>
  <c r="AQ320" i="2" a="1"/>
  <c r="AL184" i="2" a="1"/>
  <c r="D110" i="2" a="1"/>
  <c r="AL520" i="2" a="1"/>
  <c r="AL197" i="2" a="1"/>
  <c r="D235" i="2" a="1"/>
  <c r="AL463" i="2" a="1"/>
  <c r="AL523" i="2" a="1"/>
  <c r="D337" i="2" a="1"/>
  <c r="D480" i="2" a="1"/>
  <c r="D390" i="2" a="1"/>
  <c r="AL168" i="2" a="1"/>
  <c r="AL359" i="2" a="1"/>
  <c r="D54" i="2" a="1"/>
  <c r="AL223" i="2" a="1"/>
  <c r="AP578" i="2" a="1"/>
  <c r="AQ274" i="2" a="1"/>
  <c r="AP205" i="2" a="1"/>
  <c r="AQ294" i="2" a="1"/>
  <c r="AP592" i="2" a="1"/>
  <c r="AQ290" i="2" a="1"/>
  <c r="AP253" i="2" a="1"/>
  <c r="AQ310" i="2" a="1"/>
  <c r="AP256" i="2" a="1"/>
  <c r="AQ371" i="2" a="1"/>
  <c r="AP280" i="2" a="1"/>
  <c r="AQ390" i="2" a="1"/>
  <c r="AP424" i="2" a="1"/>
  <c r="AP333" i="2" a="1"/>
  <c r="AQ443" i="2" a="1"/>
  <c r="AP336" i="2" a="1"/>
  <c r="AO116" i="2" a="1"/>
  <c r="AO73" i="2" a="1"/>
  <c r="AO366" i="2" a="1"/>
  <c r="AO132" i="2" a="1"/>
  <c r="AP518" i="2" a="1"/>
  <c r="AP413" i="2" a="1"/>
  <c r="AQ305" i="2" a="1"/>
  <c r="AP416" i="2" a="1"/>
  <c r="AO227" i="2" a="1"/>
  <c r="AO86" i="2" a="1"/>
  <c r="AO406" i="2" a="1"/>
  <c r="AO291" i="2" a="1"/>
  <c r="AP332" i="2" a="1"/>
  <c r="AP429" i="2" a="1"/>
  <c r="AQ282" i="2" a="1"/>
  <c r="AP153" i="2" a="1"/>
  <c r="AP118" i="2" a="1"/>
  <c r="AO3" i="2" a="1"/>
  <c r="AP387" i="2" a="1"/>
  <c r="AQ482" i="2" a="1"/>
  <c r="AQ350" i="2" a="1"/>
  <c r="AO179" i="2" a="1"/>
  <c r="AO459" i="2" a="1"/>
  <c r="AQ580" i="2" a="1"/>
  <c r="AP121" i="2" a="1"/>
  <c r="AP478" i="2" a="1"/>
  <c r="AQ507" i="2" a="1"/>
  <c r="AQ437" i="2" a="1"/>
  <c r="AO320" i="2" a="1"/>
  <c r="AO526" i="2" a="1"/>
  <c r="AO129" i="2" a="1"/>
  <c r="AO216" i="2" a="1"/>
  <c r="AO164" i="2" a="1"/>
  <c r="AO181" i="2" a="1"/>
  <c r="AL264" i="2" a="1"/>
  <c r="AL400" i="2" a="1"/>
  <c r="AL175" i="2" a="1"/>
  <c r="D431" i="2" a="1"/>
  <c r="D78" i="2" a="1"/>
  <c r="AP13" i="2" a="1"/>
  <c r="AP15" i="2" a="1"/>
  <c r="AQ245" i="2" a="1"/>
  <c r="AO521" i="2" a="1"/>
  <c r="AO557" i="2" a="1"/>
  <c r="AQ135" i="2" a="1"/>
  <c r="AO226" i="2" a="1"/>
  <c r="AQ288" i="2" a="1"/>
  <c r="AO263" i="2" a="1"/>
  <c r="AO397" i="2" a="1"/>
  <c r="AL185" i="2" a="1"/>
  <c r="AL550" i="2" a="1"/>
  <c r="D394" i="2" a="1"/>
  <c r="D322" i="2" a="1"/>
  <c r="D8" i="2" a="1"/>
  <c r="AL180" i="2" a="1"/>
  <c r="AP166" i="2" a="1"/>
  <c r="AP169" i="2" a="1"/>
  <c r="AQ162" i="2" a="1"/>
  <c r="AO531" i="2" a="1"/>
  <c r="AO152" i="2" a="1"/>
  <c r="AQ476" i="2" a="1"/>
  <c r="AO290" i="2" a="1"/>
  <c r="AQ90" i="2" a="1"/>
  <c r="AO308" i="2" a="1"/>
  <c r="AO578" i="2" a="1"/>
  <c r="AL133" i="2" a="1"/>
  <c r="AL296" i="2" a="1"/>
  <c r="D457" i="2" a="1"/>
  <c r="D336" i="2" a="1"/>
  <c r="D438" i="2" a="1"/>
  <c r="AL379" i="2" a="1"/>
  <c r="AQ18" i="2" a="1"/>
  <c r="AO196" i="2" a="1"/>
  <c r="AL22" i="2" a="1"/>
  <c r="D483" i="2" a="1"/>
  <c r="AL73" i="2" a="1"/>
  <c r="D118" i="2" a="1"/>
  <c r="D300" i="2" a="1"/>
  <c r="D13" i="2" a="1"/>
  <c r="AL134" i="2" a="1"/>
  <c r="AL489" i="2" a="1"/>
  <c r="D113" i="2" a="1"/>
  <c r="D391" i="2" a="1"/>
  <c r="AP249" i="2" a="1"/>
  <c r="AO52" i="2" a="1"/>
  <c r="AO574" i="2" a="1"/>
  <c r="D79" i="2" a="1"/>
  <c r="AL138" i="2" a="1"/>
  <c r="D209" i="2" a="1"/>
  <c r="D381" i="2" a="1"/>
  <c r="D216" i="2" a="1"/>
  <c r="AP176" i="2" a="1"/>
  <c r="AO224" i="2" a="1"/>
  <c r="AO316" i="2" a="1"/>
  <c r="D302" i="2" a="1"/>
  <c r="AL201" i="2" a="1"/>
  <c r="AL191" i="2" a="1"/>
  <c r="D540" i="2" a="1"/>
  <c r="D307" i="2" a="1"/>
  <c r="AL474" i="2" a="1"/>
  <c r="AL404" i="2" a="1"/>
  <c r="AL586" i="2" a="1"/>
  <c r="D478" i="2" a="1"/>
  <c r="D447" i="2" a="1"/>
  <c r="AL222" i="2" a="1"/>
  <c r="AL535" i="2" a="1"/>
  <c r="D96" i="2" a="1"/>
  <c r="D365" i="2" a="1"/>
  <c r="AQ9" i="2" a="1"/>
  <c r="AO78" i="2" a="1"/>
  <c r="AL256" i="2" a="1"/>
  <c r="AL461" i="2" a="1"/>
  <c r="D99" i="2" a="1"/>
  <c r="D105" i="2" a="1"/>
  <c r="AL111" i="2" a="1"/>
  <c r="D449" i="2" a="1"/>
  <c r="AL567" i="2" a="1"/>
  <c r="AL358" i="2" a="1"/>
  <c r="D210" i="2" a="1"/>
  <c r="AL164" i="2" a="1"/>
  <c r="D367" i="2" a="1"/>
  <c r="AL229" i="2" a="1"/>
  <c r="D510" i="2" a="1"/>
  <c r="AL13" i="2" a="1"/>
  <c r="D486" i="2" a="1"/>
  <c r="AL355" i="2" a="1"/>
  <c r="D138" i="2" a="1"/>
  <c r="AL160" i="2" a="1"/>
  <c r="AL394" i="2" a="1"/>
  <c r="D372" i="2" a="1"/>
  <c r="D51" i="2" a="1"/>
  <c r="AL112" i="2" a="1"/>
  <c r="D10" i="2" a="1"/>
  <c r="D432" i="2" a="1"/>
  <c r="AL9" i="2" a="1"/>
  <c r="AL555" i="2" a="1"/>
  <c r="D298" i="2" a="1"/>
  <c r="D159" i="2" a="1"/>
  <c r="AL409" i="2" a="1"/>
  <c r="D524" i="2" a="1"/>
  <c r="AL200" i="2" a="1"/>
  <c r="AL587" i="2" a="1"/>
  <c r="D184" i="2" a="1"/>
  <c r="D563" i="2" a="1"/>
  <c r="D124" i="2" a="1"/>
  <c r="AL106" i="2" a="1"/>
  <c r="AO343" i="2" a="1"/>
  <c r="AQ71" i="2" a="1"/>
  <c r="AO478" i="2" a="1"/>
  <c r="AQ429" i="2" a="1"/>
  <c r="AO11" i="2" a="1"/>
  <c r="AO6" i="2" a="1"/>
  <c r="AO499" i="2" a="1"/>
  <c r="AP512" i="2" a="1"/>
  <c r="AL430" i="2" a="1"/>
  <c r="D565" i="2" a="1"/>
  <c r="D215" i="2" a="1"/>
  <c r="AL64" i="2" a="1"/>
  <c r="AP60" i="2" a="1"/>
  <c r="AP9" i="2" a="1"/>
  <c r="AP49" i="2" a="1"/>
  <c r="AP562" i="2" a="1"/>
  <c r="AQ494" i="2" a="1"/>
  <c r="AP472" i="2" a="1"/>
  <c r="AQ208" i="2" a="1"/>
  <c r="AO248" i="2" a="1"/>
  <c r="AP517" i="2" a="1"/>
  <c r="AQ240" i="2" a="1"/>
  <c r="AO510" i="2" a="1"/>
  <c r="AO357" i="2" a="1"/>
  <c r="AO184" i="2" a="1"/>
  <c r="D73" i="2" a="1"/>
  <c r="AQ25" i="2" a="1"/>
  <c r="D131" i="2" a="1"/>
  <c r="AQ336" i="2" a="1"/>
  <c r="AL104" i="2" a="1"/>
  <c r="AL265" i="2" a="1"/>
  <c r="AL542" i="2" a="1"/>
  <c r="AL347" i="2" a="1"/>
  <c r="AQ446" i="2" a="1"/>
  <c r="D168" i="2" a="1"/>
  <c r="D423" i="2" a="1"/>
  <c r="D173" i="2" a="1"/>
  <c r="D586" i="2" a="1"/>
  <c r="AL518" i="2" a="1"/>
  <c r="D170" i="2" a="1"/>
  <c r="D40" i="2" a="1"/>
  <c r="AL415" i="2" a="1"/>
  <c r="D581" i="2" a="1"/>
  <c r="AP43" i="2" a="1"/>
  <c r="AP420" i="2" a="1"/>
  <c r="AP51" i="2" a="1"/>
  <c r="AP91" i="2" a="1"/>
  <c r="AP117" i="2" a="1"/>
  <c r="AQ176" i="2" a="1"/>
  <c r="AO572" i="2" a="1"/>
  <c r="AQ7" i="2" a="1"/>
  <c r="AQ338" i="2" a="1"/>
  <c r="AL593" i="2" a="1"/>
  <c r="AQ419" i="2" a="1"/>
  <c r="AP580" i="2" a="1"/>
  <c r="AP82" i="2" a="1"/>
  <c r="AO350" i="2" a="1"/>
  <c r="AQ451" i="2" a="1"/>
  <c r="AL377" i="2" a="1"/>
  <c r="AP555" i="2" a="1"/>
  <c r="AO405" i="2" a="1"/>
  <c r="D410" i="2" a="1"/>
  <c r="AQ270" i="2" a="1"/>
  <c r="AQ89" i="2" a="1"/>
  <c r="D352" i="2" a="1"/>
  <c r="AO166" i="2" a="1"/>
  <c r="D543" i="2" a="1"/>
  <c r="D354" i="2" a="1"/>
  <c r="AL588" i="2" a="1"/>
  <c r="D476" i="2" a="1"/>
  <c r="D176" i="2" a="1"/>
  <c r="D458" i="2" a="1"/>
  <c r="D542" i="2" a="1"/>
  <c r="D333" i="2" a="1"/>
  <c r="AL503" i="2" a="1"/>
  <c r="AL457" i="2" a="1"/>
  <c r="D231" i="2" a="1"/>
  <c r="AL361" i="2" a="1"/>
  <c r="D143" i="2" a="1"/>
  <c r="D493" i="2" a="1"/>
  <c r="D185" i="2" a="1"/>
  <c r="AQ196" i="2" a="1"/>
  <c r="AQ236" i="2" a="1"/>
  <c r="AQ228" i="2" a="1"/>
  <c r="AQ268" i="2" a="1"/>
  <c r="AQ383" i="2" a="1"/>
  <c r="AP25" i="2" a="1"/>
  <c r="AP382" i="2" a="1"/>
  <c r="AQ372" i="2" a="1"/>
  <c r="AQ66" i="2" a="1"/>
  <c r="AP140" i="2" a="1"/>
  <c r="AP74" i="2" a="1"/>
  <c r="AQ571" i="2" a="1"/>
  <c r="AQ167" i="2" a="1"/>
  <c r="AO374" i="2" a="1"/>
  <c r="AP188" i="2" a="1"/>
  <c r="AP232" i="2" a="1"/>
  <c r="AQ102" i="2" a="1"/>
  <c r="AQ188" i="2" a="1"/>
  <c r="AQ200" i="2" a="1"/>
  <c r="AO382" i="2" a="1"/>
  <c r="AQ54" i="2" a="1"/>
  <c r="AQ106" i="2" a="1"/>
  <c r="AQ130" i="2" a="1"/>
  <c r="AO355" i="2" a="1"/>
  <c r="AL101" i="2" a="1"/>
  <c r="D358" i="2" a="1"/>
  <c r="AP327" i="2" a="1"/>
  <c r="AO424" i="2" a="1"/>
  <c r="AO474" i="2" a="1"/>
  <c r="AO419" i="2" a="1"/>
  <c r="D154" i="2" a="1"/>
  <c r="AL285" i="2" a="1"/>
  <c r="AP237" i="2" a="1"/>
  <c r="AO464" i="2" a="1"/>
  <c r="AO229" i="2" a="1"/>
  <c r="AO518" i="2" a="1"/>
  <c r="D379" i="2" a="1"/>
  <c r="AL15" i="2" a="1"/>
  <c r="AQ173" i="2" a="1"/>
  <c r="AL45" i="2" a="1"/>
  <c r="D290" i="2" a="1"/>
  <c r="AL333" i="2" a="1"/>
  <c r="AP77" i="2" a="1"/>
  <c r="AL344" i="2" a="1"/>
  <c r="D415" i="2" a="1"/>
  <c r="AL362" i="2" a="1"/>
  <c r="AO520" i="2" a="1"/>
  <c r="AL564" i="2" a="1"/>
  <c r="D232" i="2" a="1"/>
  <c r="AL108" i="2" a="1"/>
  <c r="D531" i="2" a="1"/>
  <c r="D363" i="2" a="1"/>
  <c r="AL584" i="2" a="1"/>
  <c r="D293" i="2" a="1"/>
  <c r="AO330" i="2" a="1"/>
  <c r="AL287" i="2" a="1"/>
  <c r="D70" i="2" a="1"/>
  <c r="D386" i="2" a="1"/>
  <c r="AL405" i="2" a="1"/>
  <c r="AL146" i="2" a="1"/>
  <c r="D305" i="2" a="1"/>
  <c r="AL481" i="2" a="1"/>
  <c r="AL221" i="2" a="1"/>
  <c r="AL532" i="2" a="1"/>
  <c r="D385" i="2" a="1"/>
  <c r="D236" i="2" a="1"/>
  <c r="D471" i="2" a="1"/>
  <c r="AL90" i="2" a="1"/>
  <c r="D420" i="2" a="1"/>
  <c r="AP559" i="2" a="1"/>
  <c r="AQ319" i="2" a="1"/>
  <c r="AP579" i="2" a="1"/>
  <c r="AQ362" i="2" a="1"/>
  <c r="AP575" i="2" a="1"/>
  <c r="AQ351" i="2" a="1"/>
  <c r="AP106" i="2" a="1"/>
  <c r="AP12" i="2" a="1"/>
  <c r="AP366" i="2" a="1"/>
  <c r="AP22" i="2" a="1"/>
  <c r="AP403" i="2" a="1"/>
  <c r="AP126" i="2" a="1"/>
  <c r="AP48" i="2" a="1"/>
  <c r="AP510" i="2" a="1"/>
  <c r="AP50" i="2" a="1"/>
  <c r="AQ539" i="2" a="1"/>
  <c r="AQ129" i="2" a="1"/>
  <c r="AQ502" i="2" a="1"/>
  <c r="AO564" i="2" a="1"/>
  <c r="AP227" i="2" a="1"/>
  <c r="AP29" i="2" a="1"/>
  <c r="AP361" i="2" a="1"/>
  <c r="AP31" i="2" a="1"/>
  <c r="AQ114" i="2" a="1"/>
  <c r="AQ80" i="2" a="1"/>
  <c r="AQ375" i="2" a="1"/>
  <c r="AO477" i="2" a="1"/>
  <c r="AP110" i="2" a="1"/>
  <c r="AP37" i="2" a="1"/>
  <c r="AP393" i="2" a="1"/>
  <c r="AQ321" i="2" a="1"/>
  <c r="AP191" i="2" a="1"/>
  <c r="AQ304" i="2" a="1"/>
  <c r="AO122" i="2" a="1"/>
  <c r="AQ145" i="2" a="1"/>
  <c r="AO64" i="2" a="1"/>
  <c r="AQ439" i="2" a="1"/>
  <c r="AO286" i="2" a="1"/>
  <c r="AO534" i="2" a="1"/>
  <c r="AO55" i="2" a="1"/>
  <c r="AP80" i="2" a="1"/>
  <c r="AQ164" i="2" a="1"/>
  <c r="AO75" i="2" a="1"/>
  <c r="AO188" i="2" a="1"/>
  <c r="AO448" i="2" a="1"/>
  <c r="AQ81" i="2" a="1"/>
  <c r="AO369" i="2" a="1"/>
  <c r="AQ237" i="2" a="1"/>
  <c r="AO387" i="2" a="1"/>
  <c r="AO407" i="2" a="1"/>
  <c r="AL252" i="2" a="1"/>
  <c r="AL425" i="2" a="1"/>
  <c r="D339" i="2" a="1"/>
  <c r="D20" i="2" a="1"/>
  <c r="D9" i="2" a="1"/>
  <c r="AP540" i="2" a="1"/>
  <c r="AP544" i="2" a="1"/>
  <c r="AO40" i="2" a="1"/>
  <c r="AO7" i="2" a="1"/>
  <c r="AO507" i="2" a="1"/>
  <c r="AO20" i="2" a="1"/>
  <c r="AO378" i="2" a="1"/>
  <c r="AO54" i="2" a="1"/>
  <c r="AO396" i="2" a="1"/>
  <c r="AO441" i="2" a="1"/>
  <c r="AL171" i="2" a="1"/>
  <c r="AL172" i="2" a="1"/>
  <c r="D528" i="2" a="1"/>
  <c r="D245" i="2" a="1"/>
  <c r="AL278" i="2" a="1"/>
  <c r="AL162" i="2" a="1"/>
  <c r="AP445" i="2" a="1"/>
  <c r="AP448" i="2" a="1"/>
  <c r="AO117" i="2" a="1"/>
  <c r="AO311" i="2" a="1"/>
  <c r="AO580" i="2" a="1"/>
  <c r="AO29" i="2" a="1"/>
  <c r="AO418" i="2" a="1"/>
  <c r="AO63" i="2" a="1"/>
  <c r="AO436" i="2" a="1"/>
  <c r="AL507" i="2" a="1"/>
  <c r="AL340" i="2" a="1"/>
  <c r="AL354" i="2" a="1"/>
  <c r="D130" i="2" a="1"/>
  <c r="D397" i="2" a="1"/>
  <c r="AL317" i="2" a="1"/>
  <c r="AL61" i="2" a="1"/>
  <c r="AO502" i="2" a="1"/>
  <c r="AQ156" i="2" a="1"/>
  <c r="AL537" i="2" a="1"/>
  <c r="AL257" i="2" a="1"/>
  <c r="AL505" i="2" a="1"/>
  <c r="D348" i="2" a="1"/>
  <c r="D90" i="2" a="1"/>
  <c r="D404" i="2" a="1"/>
  <c r="AL500" i="2" a="1"/>
  <c r="AL478" i="2" a="1"/>
  <c r="D583" i="2" a="1"/>
  <c r="D47" i="2" a="1"/>
  <c r="AO33" i="2" a="1"/>
  <c r="AO394" i="2" a="1"/>
  <c r="AL254" i="2" a="1"/>
  <c r="D125" i="2" a="1"/>
  <c r="AL485" i="2" a="1"/>
  <c r="D156" i="2" a="1"/>
  <c r="D198" i="2" a="1"/>
  <c r="D297" i="2" a="1"/>
  <c r="AP178" i="2" a="1"/>
  <c r="AQ540" i="2" a="1"/>
  <c r="AO401" i="2" a="1"/>
  <c r="D287" i="2" a="1"/>
  <c r="AL131" i="2" a="1"/>
  <c r="D327" i="2" a="1"/>
  <c r="D498" i="2" a="1"/>
  <c r="D27" i="2" a="1"/>
  <c r="AL29" i="2" a="1"/>
  <c r="AL502" i="2" a="1"/>
  <c r="D466" i="2" a="1"/>
  <c r="D178" i="2" a="1"/>
  <c r="D330" i="2" a="1"/>
  <c r="AL36" i="2" a="1"/>
  <c r="AL113" i="2" a="1"/>
  <c r="D271" i="2" a="1"/>
  <c r="D484" i="2" a="1"/>
  <c r="AO289" i="2" a="1"/>
  <c r="AO458" i="2" a="1"/>
  <c r="AL403" i="2" a="1"/>
  <c r="AL314" i="2" a="1"/>
  <c r="D45" i="2" a="1"/>
  <c r="AL570" i="2" a="1"/>
  <c r="AL488" i="2" a="1"/>
  <c r="D428" i="2" a="1"/>
  <c r="AL260" i="2" a="1"/>
  <c r="AL126" i="2" a="1"/>
  <c r="D31" i="2" a="1"/>
  <c r="AL10" i="2" a="1"/>
  <c r="D419" i="2" a="1"/>
  <c r="D434" i="2" a="1"/>
  <c r="AQ445" i="2" a="1"/>
  <c r="AL357" i="2" a="1"/>
  <c r="D255" i="2" a="1"/>
  <c r="D18" i="2" a="1"/>
  <c r="AL536" i="2" a="1"/>
  <c r="AO544" i="2" a="1"/>
  <c r="AL331" i="2" a="1"/>
  <c r="AL459" i="2" a="1"/>
  <c r="AL511" i="2" a="1"/>
  <c r="AL526" i="2" a="1"/>
  <c r="D262" i="2" a="1"/>
  <c r="AL209" i="2" a="1"/>
  <c r="AP33" i="2" a="1"/>
  <c r="AP409" i="2" a="1"/>
  <c r="AP81" i="2" a="1"/>
  <c r="AP573" i="2" a="1"/>
  <c r="AP119" i="2" a="1"/>
  <c r="AQ568" i="2" a="1"/>
  <c r="AP134" i="2" a="1"/>
  <c r="AQ415" i="2" a="1"/>
  <c r="AP150" i="2" a="1"/>
  <c r="AQ370" i="2" a="1"/>
  <c r="AO21" i="2" a="1"/>
  <c r="AP40" i="2" a="1"/>
  <c r="AO549" i="2" a="1"/>
  <c r="AO247" i="2" a="1"/>
  <c r="D85" i="2" a="1"/>
  <c r="AQ314" i="2" a="1"/>
  <c r="AO161" i="2" a="1"/>
  <c r="AL147" i="2" a="1"/>
  <c r="D412" i="2" a="1"/>
  <c r="AQ402" i="2" a="1"/>
  <c r="AO283" i="2" a="1"/>
  <c r="AL193" i="2" a="1"/>
  <c r="D514" i="2" a="1"/>
  <c r="AO231" i="2" a="1"/>
  <c r="D312" i="2" a="1"/>
  <c r="AL494" i="2" a="1"/>
  <c r="AO15" i="2" a="1"/>
  <c r="D479" i="2" a="1"/>
  <c r="AO298" i="2" a="1"/>
  <c r="D165" i="2" a="1"/>
  <c r="AL351" i="2" a="1"/>
  <c r="AL549" i="2" a="1"/>
  <c r="AO151" i="2" a="1"/>
  <c r="D496" i="2" a="1"/>
  <c r="AL244" i="2" a="1"/>
  <c r="AL438" i="2" a="1"/>
  <c r="AL40" i="2" a="1"/>
  <c r="D470" i="2" a="1"/>
  <c r="AL332" i="2" a="1"/>
  <c r="AL158" i="2" a="1"/>
  <c r="AL97" i="2" a="1"/>
  <c r="AO37" i="2" a="1"/>
  <c r="AL504" i="2" a="1"/>
  <c r="AL94" i="2" a="1"/>
  <c r="D460" i="2" a="1"/>
  <c r="D82" i="2" a="1"/>
  <c r="D5" i="2" a="1"/>
  <c r="D536" i="2" a="1"/>
  <c r="D12" i="2" a="1"/>
  <c r="AO146" i="2" a="1"/>
  <c r="D211" i="2" a="1"/>
  <c r="D503" i="2" a="1"/>
  <c r="AL157" i="2" a="1"/>
  <c r="AO501" i="2" a="1"/>
  <c r="AQ98" i="2" a="1"/>
  <c r="AO240" i="2" a="1"/>
  <c r="AO210" i="2" a="1"/>
  <c r="AP220" i="2" a="1"/>
  <c r="AO203" i="2" a="1"/>
  <c r="AP417" i="2" a="1"/>
  <c r="AO307" i="2" a="1"/>
  <c r="AP8" i="2" a="1"/>
  <c r="AL100" i="2" a="1"/>
  <c r="AL295" i="2" a="1"/>
  <c r="D406" i="2" a="1"/>
  <c r="D23" i="2" a="1"/>
  <c r="D368" i="2" a="1"/>
  <c r="AO5" i="2" a="1"/>
  <c r="AQ15" i="2" a="1"/>
  <c r="AO243" i="2" a="1"/>
  <c r="AO414" i="2" a="1"/>
  <c r="AP42" i="2" a="1"/>
  <c r="AQ534" i="2" a="1"/>
  <c r="AO516" i="2" a="1"/>
  <c r="D89" i="2" a="1"/>
  <c r="AQ248" i="2" a="1"/>
  <c r="AO494" i="2" a="1"/>
  <c r="AL568" i="2" a="1"/>
  <c r="AO559" i="2" a="1"/>
  <c r="D225" i="2" a="1"/>
  <c r="AL291" i="2" a="1"/>
  <c r="AL577" i="2" a="1"/>
  <c r="AL324" i="2" a="1"/>
  <c r="AL442" i="2" a="1"/>
  <c r="D137" i="2" a="1"/>
  <c r="D204" i="2" a="1"/>
  <c r="AQ513" i="2" a="1"/>
  <c r="AQ97" i="2" a="1"/>
  <c r="AL444" i="2" a="1"/>
  <c r="AO328" i="2" a="1"/>
  <c r="AL176" i="2" a="1"/>
  <c r="AO368" i="2" a="1"/>
  <c r="AL283" i="2" a="1"/>
  <c r="AL16" i="2" a="1"/>
  <c r="D519" i="2" a="1"/>
  <c r="AL562" i="2" a="1"/>
  <c r="D440" i="2" a="1"/>
  <c r="D39" i="2" a="1"/>
  <c r="AL544" i="2" a="1"/>
  <c r="D44" i="2" a="1"/>
  <c r="AL386" i="2" a="1"/>
  <c r="AL590" i="2" a="1"/>
  <c r="AL95" i="2" a="1"/>
  <c r="D361" i="2" a="1"/>
  <c r="AP289" i="2" a="1"/>
  <c r="AP588" i="2" a="1"/>
  <c r="AO301" i="2" a="1"/>
  <c r="AO497" i="2" a="1"/>
  <c r="AQ224" i="2" a="1"/>
  <c r="AL339" i="2" a="1"/>
  <c r="AO264" i="2" a="1"/>
  <c r="AO147" i="2" a="1"/>
  <c r="AQ23" i="2" a="1"/>
  <c r="AO403" i="2" a="1"/>
  <c r="D53" i="2" a="1"/>
  <c r="AL218" i="2" a="1"/>
  <c r="AL196" i="2" a="1"/>
  <c r="AO130" i="2" a="1"/>
  <c r="AL437" i="2" a="1"/>
  <c r="AQ421" i="2" a="1"/>
  <c r="AL439" i="2" a="1"/>
  <c r="AL263" i="2" a="1"/>
  <c r="D183" i="2" a="1"/>
  <c r="D444" i="2" a="1"/>
  <c r="AL52" i="2" a="1"/>
  <c r="D153" i="2" a="1"/>
  <c r="AL421" i="2" a="1"/>
  <c r="D274" i="2" a="1"/>
  <c r="AL234" i="2" a="1"/>
  <c r="AL477" i="2" a="1"/>
  <c r="D357" i="2" a="1"/>
  <c r="AO102" i="2" a="1"/>
  <c r="AP297" i="2" a="1"/>
  <c r="D544" i="2" a="1"/>
  <c r="AO537" i="2" a="1"/>
  <c r="AO541" i="2" a="1"/>
  <c r="AO541" i="2" l="1"/>
  <c r="AO537" i="2"/>
  <c r="D544" i="2"/>
  <c r="AP297" i="2"/>
  <c r="AO102" i="2"/>
  <c r="D357" i="2"/>
  <c r="AL477" i="2"/>
  <c r="AL234" i="2"/>
  <c r="D274" i="2"/>
  <c r="AL421" i="2"/>
  <c r="D153" i="2"/>
  <c r="AL52" i="2"/>
  <c r="D444" i="2"/>
  <c r="D183" i="2"/>
  <c r="AL263" i="2"/>
  <c r="AL439" i="2"/>
  <c r="AQ421" i="2"/>
  <c r="AL437" i="2"/>
  <c r="AO130" i="2"/>
  <c r="AL196" i="2"/>
  <c r="AL218" i="2"/>
  <c r="D53" i="2"/>
  <c r="AO403" i="2"/>
  <c r="AQ23" i="2"/>
  <c r="AO147" i="2"/>
  <c r="AO264" i="2"/>
  <c r="AL339" i="2"/>
  <c r="AQ224" i="2"/>
  <c r="AO497" i="2"/>
  <c r="AO301" i="2"/>
  <c r="AP588" i="2"/>
  <c r="AP289" i="2"/>
  <c r="D361" i="2"/>
  <c r="AL95" i="2"/>
  <c r="AL590" i="2"/>
  <c r="AL386" i="2"/>
  <c r="D44" i="2"/>
  <c r="AL544" i="2"/>
  <c r="D39" i="2"/>
  <c r="D440" i="2"/>
  <c r="AL562" i="2"/>
  <c r="D519" i="2"/>
  <c r="AL16" i="2"/>
  <c r="AL283" i="2"/>
  <c r="AO368" i="2"/>
  <c r="AL176" i="2"/>
  <c r="AO328" i="2"/>
  <c r="AL444" i="2"/>
  <c r="AQ97" i="2"/>
  <c r="AQ513" i="2"/>
  <c r="D204" i="2"/>
  <c r="D137" i="2"/>
  <c r="AL442" i="2"/>
  <c r="AL324" i="2"/>
  <c r="AL577" i="2"/>
  <c r="AL291" i="2"/>
  <c r="D225" i="2"/>
  <c r="AO559" i="2"/>
  <c r="AL568" i="2"/>
  <c r="AO494" i="2"/>
  <c r="AQ248" i="2"/>
  <c r="D89" i="2"/>
  <c r="AO516" i="2"/>
  <c r="AQ534" i="2"/>
  <c r="AP42" i="2"/>
  <c r="AO414" i="2"/>
  <c r="AO243" i="2"/>
  <c r="AQ15" i="2"/>
  <c r="AO5" i="2"/>
  <c r="D368" i="2"/>
  <c r="D23" i="2"/>
  <c r="D406" i="2"/>
  <c r="AL295" i="2"/>
  <c r="AL100" i="2"/>
  <c r="AP8" i="2"/>
  <c r="AO307" i="2"/>
  <c r="AP417" i="2"/>
  <c r="AO203" i="2"/>
  <c r="AP220" i="2"/>
  <c r="AO210" i="2"/>
  <c r="AO240" i="2"/>
  <c r="AQ98" i="2"/>
  <c r="AO501" i="2"/>
  <c r="AL157" i="2"/>
  <c r="D503" i="2"/>
  <c r="D211" i="2"/>
  <c r="AO146" i="2"/>
  <c r="D12" i="2"/>
  <c r="D536" i="2"/>
  <c r="D5" i="2"/>
  <c r="D82" i="2"/>
  <c r="D460" i="2"/>
  <c r="AL94" i="2"/>
  <c r="AL504" i="2"/>
  <c r="AO37" i="2"/>
  <c r="AL97" i="2"/>
  <c r="AL158" i="2"/>
  <c r="AL332" i="2"/>
  <c r="D470" i="2"/>
  <c r="AL40" i="2"/>
  <c r="AL438" i="2"/>
  <c r="AL244" i="2"/>
  <c r="D496" i="2"/>
  <c r="AO151" i="2"/>
  <c r="AL549" i="2"/>
  <c r="AL351" i="2"/>
  <c r="D165" i="2"/>
  <c r="AO298" i="2"/>
  <c r="D479" i="2"/>
  <c r="AO15" i="2"/>
  <c r="AL494" i="2"/>
  <c r="D312" i="2"/>
  <c r="AO231" i="2"/>
  <c r="D514" i="2"/>
  <c r="AL193" i="2"/>
  <c r="AO283" i="2"/>
  <c r="AQ402" i="2"/>
  <c r="D412" i="2"/>
  <c r="AL147" i="2"/>
  <c r="AO161" i="2"/>
  <c r="AQ314" i="2"/>
  <c r="D85" i="2"/>
  <c r="AO247" i="2"/>
  <c r="AO549" i="2"/>
  <c r="AP40" i="2"/>
  <c r="AO21" i="2"/>
  <c r="AQ370" i="2"/>
  <c r="AP150" i="2"/>
  <c r="AQ415" i="2"/>
  <c r="AP134" i="2"/>
  <c r="AQ568" i="2"/>
  <c r="AP119" i="2"/>
  <c r="AP573" i="2"/>
  <c r="AP81" i="2"/>
  <c r="AP409" i="2"/>
  <c r="AP33" i="2"/>
  <c r="AL209" i="2"/>
  <c r="D262" i="2"/>
  <c r="AL526" i="2"/>
  <c r="AL511" i="2"/>
  <c r="AL459" i="2"/>
  <c r="AL331" i="2"/>
  <c r="AO544" i="2"/>
  <c r="AL536" i="2"/>
  <c r="D18" i="2"/>
  <c r="D255" i="2"/>
  <c r="AL357" i="2"/>
  <c r="AQ445" i="2"/>
  <c r="D434" i="2"/>
  <c r="D419" i="2"/>
  <c r="AL10" i="2"/>
  <c r="D31" i="2"/>
  <c r="AL126" i="2"/>
  <c r="AL260" i="2"/>
  <c r="D428" i="2"/>
  <c r="AL488" i="2"/>
  <c r="AL570" i="2"/>
  <c r="D45" i="2"/>
  <c r="AL314" i="2"/>
  <c r="AL403" i="2"/>
  <c r="AO458" i="2"/>
  <c r="AO289" i="2"/>
  <c r="D484" i="2"/>
  <c r="D271" i="2"/>
  <c r="AL113" i="2"/>
  <c r="AL36" i="2"/>
  <c r="D330" i="2"/>
  <c r="D178" i="2"/>
  <c r="D466" i="2"/>
  <c r="AL502" i="2"/>
  <c r="AL29" i="2"/>
  <c r="D27" i="2"/>
  <c r="D498" i="2"/>
  <c r="D327" i="2"/>
  <c r="AL131" i="2"/>
  <c r="D287" i="2"/>
  <c r="AO401" i="2"/>
  <c r="AQ540" i="2"/>
  <c r="AP178" i="2"/>
  <c r="D297" i="2"/>
  <c r="D198" i="2"/>
  <c r="D156" i="2"/>
  <c r="AL485" i="2"/>
  <c r="D125" i="2"/>
  <c r="AL254" i="2"/>
  <c r="AO394" i="2"/>
  <c r="AO33" i="2"/>
  <c r="D47" i="2"/>
  <c r="D583" i="2"/>
  <c r="AL478" i="2"/>
  <c r="AL500" i="2"/>
  <c r="D404" i="2"/>
  <c r="D90" i="2"/>
  <c r="D348" i="2"/>
  <c r="AL505" i="2"/>
  <c r="AL257" i="2"/>
  <c r="AL537" i="2"/>
  <c r="AQ156" i="2"/>
  <c r="AO502" i="2"/>
  <c r="AL61" i="2"/>
  <c r="AL317" i="2"/>
  <c r="D397" i="2"/>
  <c r="D130" i="2"/>
  <c r="AL354" i="2"/>
  <c r="AL340" i="2"/>
  <c r="AL507" i="2"/>
  <c r="AO436" i="2"/>
  <c r="AO63" i="2"/>
  <c r="AO418" i="2"/>
  <c r="AO29" i="2"/>
  <c r="AO580" i="2"/>
  <c r="AO311" i="2"/>
  <c r="AO117" i="2"/>
  <c r="AP448" i="2"/>
  <c r="AP445" i="2"/>
  <c r="AL162" i="2"/>
  <c r="AL278" i="2"/>
  <c r="D245" i="2"/>
  <c r="D528" i="2"/>
  <c r="AL172" i="2"/>
  <c r="AL171" i="2"/>
  <c r="AO441" i="2"/>
  <c r="AO396" i="2"/>
  <c r="AO54" i="2"/>
  <c r="AO378" i="2"/>
  <c r="AO20" i="2"/>
  <c r="AO507" i="2"/>
  <c r="AO7" i="2"/>
  <c r="AO40" i="2"/>
  <c r="AP544" i="2"/>
  <c r="AP540" i="2"/>
  <c r="D9" i="2"/>
  <c r="D20" i="2"/>
  <c r="D339" i="2"/>
  <c r="U339" i="2" s="1" a="1"/>
  <c r="U339" i="2" s="1"/>
  <c r="AL425" i="2"/>
  <c r="AL252" i="2"/>
  <c r="AO407" i="2"/>
  <c r="AO387" i="2"/>
  <c r="AQ237" i="2"/>
  <c r="AO369" i="2"/>
  <c r="AQ81" i="2"/>
  <c r="AO448" i="2"/>
  <c r="AO188" i="2"/>
  <c r="AO75" i="2"/>
  <c r="AQ164" i="2"/>
  <c r="AP80" i="2"/>
  <c r="AO55" i="2"/>
  <c r="AO534" i="2"/>
  <c r="AO286" i="2"/>
  <c r="AQ439" i="2"/>
  <c r="AO64" i="2"/>
  <c r="AQ145" i="2"/>
  <c r="AO122" i="2"/>
  <c r="AQ304" i="2"/>
  <c r="AP191" i="2"/>
  <c r="AQ321" i="2"/>
  <c r="AP393" i="2"/>
  <c r="AP37" i="2"/>
  <c r="AP110" i="2"/>
  <c r="AO477" i="2"/>
  <c r="AQ375" i="2"/>
  <c r="AQ80" i="2"/>
  <c r="AQ114" i="2"/>
  <c r="AP31" i="2"/>
  <c r="AP361" i="2"/>
  <c r="AP29" i="2"/>
  <c r="AP227" i="2"/>
  <c r="AO564" i="2"/>
  <c r="AQ502" i="2"/>
  <c r="AQ129" i="2"/>
  <c r="AQ539" i="2"/>
  <c r="AP50" i="2"/>
  <c r="AP510" i="2"/>
  <c r="AP48" i="2"/>
  <c r="AP126" i="2"/>
  <c r="AP403" i="2"/>
  <c r="AP22" i="2"/>
  <c r="AP366" i="2"/>
  <c r="AP12" i="2"/>
  <c r="AP106" i="2"/>
  <c r="AQ351" i="2"/>
  <c r="AP575" i="2"/>
  <c r="AQ362" i="2"/>
  <c r="AP579" i="2"/>
  <c r="AQ319" i="2"/>
  <c r="AP559" i="2"/>
  <c r="D420" i="2"/>
  <c r="U420" i="2" s="1" a="1"/>
  <c r="U420" i="2" s="1"/>
  <c r="AL90" i="2"/>
  <c r="D471" i="2"/>
  <c r="U471" i="2" s="1" a="1"/>
  <c r="U471" i="2" s="1"/>
  <c r="D236" i="2"/>
  <c r="D385" i="2"/>
  <c r="AL532" i="2"/>
  <c r="AL221" i="2"/>
  <c r="AL481" i="2"/>
  <c r="D305" i="2"/>
  <c r="AL146" i="2"/>
  <c r="AL405" i="2"/>
  <c r="D386" i="2"/>
  <c r="U386" i="2" s="1" a="1"/>
  <c r="U386" i="2" s="1"/>
  <c r="D70" i="2"/>
  <c r="U70" i="2" s="1" a="1"/>
  <c r="U70" i="2" s="1"/>
  <c r="AL287" i="2"/>
  <c r="AO330" i="2"/>
  <c r="D293" i="2"/>
  <c r="U293" i="2" s="1" a="1"/>
  <c r="U293" i="2" s="1"/>
  <c r="AL584" i="2"/>
  <c r="D363" i="2"/>
  <c r="U363" i="2" s="1" a="1"/>
  <c r="U363" i="2" s="1"/>
  <c r="D531" i="2"/>
  <c r="AL108" i="2"/>
  <c r="D232" i="2"/>
  <c r="AL564" i="2"/>
  <c r="AO520" i="2"/>
  <c r="AL362" i="2"/>
  <c r="D415" i="2"/>
  <c r="U415" i="2" s="1" a="1"/>
  <c r="U415" i="2" s="1"/>
  <c r="AL344" i="2"/>
  <c r="AP77" i="2"/>
  <c r="AL333" i="2"/>
  <c r="D290" i="2"/>
  <c r="U290" i="2" s="1" a="1"/>
  <c r="U290" i="2" s="1"/>
  <c r="AL45" i="2"/>
  <c r="AQ173" i="2"/>
  <c r="AL15" i="2"/>
  <c r="D379" i="2"/>
  <c r="U379" i="2" s="1" a="1"/>
  <c r="U379" i="2" s="1"/>
  <c r="AO518" i="2"/>
  <c r="AO229" i="2"/>
  <c r="AO464" i="2"/>
  <c r="AP237" i="2"/>
  <c r="AL285" i="2"/>
  <c r="D154" i="2"/>
  <c r="U154" i="2" s="1" a="1"/>
  <c r="U154" i="2" s="1"/>
  <c r="AO419" i="2"/>
  <c r="AO474" i="2"/>
  <c r="AO424" i="2"/>
  <c r="AP327" i="2"/>
  <c r="D358" i="2"/>
  <c r="U358" i="2" s="1" a="1"/>
  <c r="U358" i="2" s="1"/>
  <c r="AL101" i="2"/>
  <c r="AO355" i="2"/>
  <c r="AQ130" i="2"/>
  <c r="AQ106" i="2"/>
  <c r="AQ54" i="2"/>
  <c r="AO382" i="2"/>
  <c r="AQ200" i="2"/>
  <c r="AQ188" i="2"/>
  <c r="AQ102" i="2"/>
  <c r="AP232" i="2"/>
  <c r="AP188" i="2"/>
  <c r="AO374" i="2"/>
  <c r="AQ167" i="2"/>
  <c r="AQ571" i="2"/>
  <c r="AP74" i="2"/>
  <c r="AP140" i="2"/>
  <c r="AQ66" i="2"/>
  <c r="AQ372" i="2"/>
  <c r="AP382" i="2"/>
  <c r="AP25" i="2"/>
  <c r="AQ383" i="2"/>
  <c r="AQ268" i="2"/>
  <c r="AQ228" i="2"/>
  <c r="AQ236" i="2"/>
  <c r="AQ196" i="2"/>
  <c r="D185" i="2"/>
  <c r="U185" i="2" s="1" a="1"/>
  <c r="U185" i="2" s="1"/>
  <c r="D493" i="2"/>
  <c r="U493" i="2" s="1" a="1"/>
  <c r="U493" i="2" s="1"/>
  <c r="D143" i="2"/>
  <c r="U143" i="2" s="1" a="1"/>
  <c r="U143" i="2" s="1"/>
  <c r="AL361" i="2"/>
  <c r="D231" i="2"/>
  <c r="U231" i="2" s="1" a="1"/>
  <c r="U231" i="2" s="1"/>
  <c r="AL457" i="2"/>
  <c r="AL503" i="2"/>
  <c r="D333" i="2"/>
  <c r="U333" i="2" s="1" a="1"/>
  <c r="U333" i="2" s="1"/>
  <c r="D542" i="2"/>
  <c r="U542" i="2" s="1" a="1"/>
  <c r="U542" i="2" s="1"/>
  <c r="D458" i="2"/>
  <c r="U458" i="2" s="1" a="1"/>
  <c r="U458" i="2" s="1"/>
  <c r="D176" i="2"/>
  <c r="U176" i="2" s="1" a="1"/>
  <c r="U176" i="2" s="1"/>
  <c r="D476" i="2"/>
  <c r="AL588" i="2"/>
  <c r="D354" i="2"/>
  <c r="D543" i="2"/>
  <c r="AO166" i="2"/>
  <c r="D352" i="2"/>
  <c r="U352" i="2" s="1" a="1"/>
  <c r="U352" i="2" s="1"/>
  <c r="AQ89" i="2"/>
  <c r="AQ270" i="2"/>
  <c r="D410" i="2"/>
  <c r="U410" i="2" s="1" a="1"/>
  <c r="U410" i="2" s="1"/>
  <c r="AO405" i="2"/>
  <c r="AP555" i="2"/>
  <c r="AL377" i="2"/>
  <c r="AQ451" i="2"/>
  <c r="AO350" i="2"/>
  <c r="AP82" i="2"/>
  <c r="AP580" i="2"/>
  <c r="AQ419" i="2"/>
  <c r="AL593" i="2"/>
  <c r="AQ338" i="2"/>
  <c r="AQ7" i="2"/>
  <c r="AO572" i="2"/>
  <c r="AQ176" i="2"/>
  <c r="AP117" i="2"/>
  <c r="AP91" i="2"/>
  <c r="AP51" i="2"/>
  <c r="AP420" i="2"/>
  <c r="AP43" i="2"/>
  <c r="D581" i="2"/>
  <c r="U581" i="2" s="1" a="1"/>
  <c r="U581" i="2" s="1"/>
  <c r="AL415" i="2"/>
  <c r="D40" i="2"/>
  <c r="U40" i="2" s="1" a="1"/>
  <c r="U40" i="2" s="1"/>
  <c r="D170" i="2"/>
  <c r="U170" i="2" s="1" a="1"/>
  <c r="U170" i="2" s="1"/>
  <c r="AL518" i="2"/>
  <c r="D586" i="2"/>
  <c r="U586" i="2" s="1" a="1"/>
  <c r="U586" i="2" s="1"/>
  <c r="D173" i="2"/>
  <c r="D423" i="2"/>
  <c r="U423" i="2" s="1" a="1"/>
  <c r="U423" i="2" s="1"/>
  <c r="D168" i="2"/>
  <c r="U168" i="2" s="1" a="1"/>
  <c r="U168" i="2" s="1"/>
  <c r="AQ446" i="2"/>
  <c r="AL347" i="2"/>
  <c r="AL542" i="2"/>
  <c r="AL265" i="2"/>
  <c r="AL104" i="2"/>
  <c r="AQ336" i="2"/>
  <c r="D131" i="2"/>
  <c r="U131" i="2" s="1" a="1"/>
  <c r="U131" i="2" s="1"/>
  <c r="AQ25" i="2"/>
  <c r="D73" i="2"/>
  <c r="AO184" i="2"/>
  <c r="AO357" i="2"/>
  <c r="AO510" i="2"/>
  <c r="AQ240" i="2"/>
  <c r="AP517" i="2"/>
  <c r="AO248" i="2"/>
  <c r="AQ208" i="2"/>
  <c r="AP472" i="2"/>
  <c r="AQ494" i="2"/>
  <c r="AP562" i="2"/>
  <c r="AP49" i="2"/>
  <c r="AP9" i="2"/>
  <c r="AP60" i="2"/>
  <c r="AL64" i="2"/>
  <c r="D215" i="2"/>
  <c r="U215" i="2" s="1" a="1"/>
  <c r="U215" i="2" s="1"/>
  <c r="D565" i="2"/>
  <c r="AL430" i="2"/>
  <c r="AP512" i="2"/>
  <c r="AO499" i="2"/>
  <c r="AO6" i="2"/>
  <c r="AO11" i="2"/>
  <c r="AQ429" i="2"/>
  <c r="AO478" i="2"/>
  <c r="AQ71" i="2"/>
  <c r="AO343" i="2"/>
  <c r="AL106" i="2"/>
  <c r="D124" i="2"/>
  <c r="U124" i="2" s="1" a="1"/>
  <c r="U124" i="2" s="1"/>
  <c r="D563" i="2"/>
  <c r="D184" i="2"/>
  <c r="AL587" i="2"/>
  <c r="AL200" i="2"/>
  <c r="D524" i="2"/>
  <c r="U524" i="2" s="1" a="1"/>
  <c r="U524" i="2" s="1"/>
  <c r="AL409" i="2"/>
  <c r="D159" i="2"/>
  <c r="D298" i="2"/>
  <c r="U298" i="2" s="1" a="1"/>
  <c r="U298" i="2" s="1"/>
  <c r="AL555" i="2"/>
  <c r="AL9" i="2"/>
  <c r="D432" i="2"/>
  <c r="D10" i="2"/>
  <c r="U10" i="2" s="1" a="1"/>
  <c r="U10" i="2" s="1"/>
  <c r="AL112" i="2"/>
  <c r="D51" i="2"/>
  <c r="D372" i="2"/>
  <c r="U372" i="2" s="1" a="1"/>
  <c r="U372" i="2" s="1"/>
  <c r="AL394" i="2"/>
  <c r="AL160" i="2"/>
  <c r="D138" i="2"/>
  <c r="AL355" i="2"/>
  <c r="D486" i="2"/>
  <c r="U486" i="2" s="1" a="1"/>
  <c r="U486" i="2" s="1"/>
  <c r="AL13" i="2"/>
  <c r="D510" i="2"/>
  <c r="U510" i="2" s="1" a="1"/>
  <c r="U510" i="2" s="1"/>
  <c r="AL229" i="2"/>
  <c r="D367" i="2"/>
  <c r="AL164" i="2"/>
  <c r="D210" i="2"/>
  <c r="AL358" i="2"/>
  <c r="AL567" i="2"/>
  <c r="D449" i="2"/>
  <c r="U449" i="2" s="1" a="1"/>
  <c r="U449" i="2" s="1"/>
  <c r="AL111" i="2"/>
  <c r="D105" i="2"/>
  <c r="D99" i="2"/>
  <c r="U99" i="2" s="1" a="1"/>
  <c r="U99" i="2" s="1"/>
  <c r="AL461" i="2"/>
  <c r="AL256" i="2"/>
  <c r="AO78" i="2"/>
  <c r="AQ9" i="2"/>
  <c r="D365" i="2"/>
  <c r="U365" i="2" s="1" a="1"/>
  <c r="U365" i="2" s="1"/>
  <c r="D96" i="2"/>
  <c r="AL535" i="2"/>
  <c r="AL222" i="2"/>
  <c r="D447" i="2"/>
  <c r="U447" i="2" s="1" a="1"/>
  <c r="U447" i="2" s="1"/>
  <c r="D478" i="2"/>
  <c r="AL586" i="2"/>
  <c r="AL404" i="2"/>
  <c r="AL474" i="2"/>
  <c r="D307" i="2"/>
  <c r="U307" i="2" s="1" a="1"/>
  <c r="U307" i="2" s="1"/>
  <c r="D540" i="2"/>
  <c r="U540" i="2" s="1" a="1"/>
  <c r="U540" i="2" s="1"/>
  <c r="AL191" i="2"/>
  <c r="AL201" i="2"/>
  <c r="D302" i="2"/>
  <c r="U302" i="2" s="1" a="1"/>
  <c r="U302" i="2" s="1"/>
  <c r="AO316" i="2"/>
  <c r="AO224" i="2"/>
  <c r="AP176" i="2"/>
  <c r="D216" i="2"/>
  <c r="D381" i="2"/>
  <c r="U381" i="2" s="1" a="1"/>
  <c r="U381" i="2" s="1"/>
  <c r="D209" i="2"/>
  <c r="U209" i="2" s="1" a="1"/>
  <c r="U209" i="2" s="1"/>
  <c r="AL138" i="2"/>
  <c r="D79" i="2"/>
  <c r="AO574" i="2"/>
  <c r="AO52" i="2"/>
  <c r="AP249" i="2"/>
  <c r="D391" i="2"/>
  <c r="U391" i="2" s="1" a="1"/>
  <c r="U391" i="2" s="1"/>
  <c r="D113" i="2"/>
  <c r="U113" i="2" s="1" a="1"/>
  <c r="U113" i="2" s="1"/>
  <c r="AL489" i="2"/>
  <c r="AL134" i="2"/>
  <c r="D13" i="2"/>
  <c r="D300" i="2"/>
  <c r="D118" i="2"/>
  <c r="U118" i="2" s="1" a="1"/>
  <c r="U118" i="2" s="1"/>
  <c r="AL73" i="2"/>
  <c r="D483" i="2"/>
  <c r="U483" i="2" s="1" a="1"/>
  <c r="U483" i="2" s="1"/>
  <c r="AL22" i="2"/>
  <c r="AO196" i="2"/>
  <c r="AQ18" i="2"/>
  <c r="AL379" i="2"/>
  <c r="D438" i="2"/>
  <c r="D336" i="2"/>
  <c r="D457" i="2"/>
  <c r="U457" i="2" s="1" a="1"/>
  <c r="U457" i="2" s="1"/>
  <c r="AL296" i="2"/>
  <c r="AL133" i="2"/>
  <c r="AO578" i="2"/>
  <c r="AO308" i="2"/>
  <c r="AQ90" i="2"/>
  <c r="AO290" i="2"/>
  <c r="AQ476" i="2"/>
  <c r="AO152" i="2"/>
  <c r="AO531" i="2"/>
  <c r="AQ162" i="2"/>
  <c r="AP169" i="2"/>
  <c r="AP166" i="2"/>
  <c r="AL180" i="2"/>
  <c r="D8" i="2"/>
  <c r="D322" i="2"/>
  <c r="U322" i="2" s="1" a="1"/>
  <c r="U322" i="2" s="1"/>
  <c r="D394" i="2"/>
  <c r="U394" i="2" s="1" a="1"/>
  <c r="U394" i="2" s="1"/>
  <c r="AL550" i="2"/>
  <c r="AL185" i="2"/>
  <c r="AO397" i="2"/>
  <c r="AO263" i="2"/>
  <c r="AQ288" i="2"/>
  <c r="AO226" i="2"/>
  <c r="AQ135" i="2"/>
  <c r="AO557" i="2"/>
  <c r="AO521" i="2"/>
  <c r="AQ245" i="2"/>
  <c r="AP15" i="2"/>
  <c r="AP13" i="2"/>
  <c r="D78" i="2"/>
  <c r="D431" i="2"/>
  <c r="AL175" i="2"/>
  <c r="AL400" i="2"/>
  <c r="AL264" i="2"/>
  <c r="AO181" i="2"/>
  <c r="AO164" i="2"/>
  <c r="AO216" i="2"/>
  <c r="AO129" i="2"/>
  <c r="AO526" i="2"/>
  <c r="AO320" i="2"/>
  <c r="AQ437" i="2"/>
  <c r="AQ507" i="2"/>
  <c r="AP478" i="2"/>
  <c r="AP121" i="2"/>
  <c r="AQ580" i="2"/>
  <c r="AO459" i="2"/>
  <c r="AO179" i="2"/>
  <c r="AQ350" i="2"/>
  <c r="AQ482" i="2"/>
  <c r="AP387" i="2"/>
  <c r="AO3" i="2"/>
  <c r="AP118" i="2"/>
  <c r="AP153" i="2"/>
  <c r="AQ282" i="2"/>
  <c r="AP429" i="2"/>
  <c r="AP332" i="2"/>
  <c r="AO291" i="2"/>
  <c r="AO406" i="2"/>
  <c r="AO86" i="2"/>
  <c r="AO227" i="2"/>
  <c r="AP416" i="2"/>
  <c r="AQ305" i="2"/>
  <c r="AP413" i="2"/>
  <c r="AP518" i="2"/>
  <c r="AO132" i="2"/>
  <c r="AO366" i="2"/>
  <c r="AO73" i="2"/>
  <c r="AO116" i="2"/>
  <c r="AP336" i="2"/>
  <c r="AQ443" i="2"/>
  <c r="AP333" i="2"/>
  <c r="AP424" i="2"/>
  <c r="AQ390" i="2"/>
  <c r="AP280" i="2"/>
  <c r="AQ371" i="2"/>
  <c r="AP256" i="2"/>
  <c r="AQ310" i="2"/>
  <c r="AP253" i="2"/>
  <c r="AQ290" i="2"/>
  <c r="AP592" i="2"/>
  <c r="AQ294" i="2"/>
  <c r="AP205" i="2"/>
  <c r="AQ274" i="2"/>
  <c r="AP578" i="2"/>
  <c r="AL223" i="2"/>
  <c r="D54" i="2"/>
  <c r="U54" i="2" s="1" a="1"/>
  <c r="U54" i="2" s="1"/>
  <c r="AL359" i="2"/>
  <c r="AL168" i="2"/>
  <c r="D390" i="2"/>
  <c r="D480" i="2"/>
  <c r="U480" i="2" s="1" a="1"/>
  <c r="U480" i="2" s="1"/>
  <c r="D337" i="2"/>
  <c r="U337" i="2" s="1" a="1"/>
  <c r="U337" i="2" s="1"/>
  <c r="AL523" i="2"/>
  <c r="AL463" i="2"/>
  <c r="D235" i="2"/>
  <c r="U235" i="2" s="1" a="1"/>
  <c r="U235" i="2" s="1"/>
  <c r="AL197" i="2"/>
  <c r="AL520" i="2"/>
  <c r="D110" i="2"/>
  <c r="U110" i="2" s="1" a="1"/>
  <c r="U110" i="2" s="1"/>
  <c r="AL184" i="2"/>
  <c r="AQ320" i="2"/>
  <c r="D251" i="2"/>
  <c r="AL255" i="2"/>
  <c r="D308" i="2"/>
  <c r="AL408" i="2"/>
  <c r="D21" i="2"/>
  <c r="U21" i="2" s="1" a="1"/>
  <c r="U21" i="2" s="1"/>
  <c r="D104" i="2"/>
  <c r="D228" i="2"/>
  <c r="AO204" i="2"/>
  <c r="D270" i="2"/>
  <c r="U270" i="2" s="1" a="1"/>
  <c r="U270" i="2" s="1"/>
  <c r="AL239" i="2"/>
  <c r="AQ418" i="2"/>
  <c r="D582" i="2"/>
  <c r="U582" i="2" s="1" a="1"/>
  <c r="U582" i="2" s="1"/>
  <c r="AL270" i="2"/>
  <c r="D108" i="2"/>
  <c r="D150" i="2"/>
  <c r="U150" i="2" s="1" a="1"/>
  <c r="U150" i="2" s="1"/>
  <c r="AO260" i="2"/>
  <c r="D34" i="2"/>
  <c r="U34" i="2" s="1" a="1"/>
  <c r="U34" i="2" s="1"/>
  <c r="AL576" i="2"/>
  <c r="AO404" i="2"/>
  <c r="AO159" i="2"/>
  <c r="AO294" i="2"/>
  <c r="AP221" i="2"/>
  <c r="D325" i="2"/>
  <c r="U325" i="2" s="1" a="1"/>
  <c r="U325" i="2" s="1"/>
  <c r="AL424" i="2"/>
  <c r="AO364" i="2"/>
  <c r="AO141" i="2"/>
  <c r="AO389" i="2"/>
  <c r="AP322" i="2"/>
  <c r="D240" i="2"/>
  <c r="U240" i="2" s="1" a="1"/>
  <c r="U240" i="2" s="1"/>
  <c r="AO583" i="2"/>
  <c r="AQ10" i="2"/>
  <c r="AO498" i="2"/>
  <c r="AP255" i="2"/>
  <c r="AO62" i="2"/>
  <c r="AO28" i="2"/>
  <c r="AP276" i="2"/>
  <c r="AP525" i="2"/>
  <c r="AQ32" i="2"/>
  <c r="AQ77" i="2"/>
  <c r="AO46" i="2"/>
  <c r="AO12" i="2"/>
  <c r="AP451" i="2"/>
  <c r="AP72" i="2"/>
  <c r="AP68" i="2"/>
  <c r="AO508" i="2"/>
  <c r="AQ170" i="2"/>
  <c r="AP87" i="2"/>
  <c r="AP85" i="2"/>
  <c r="AP484" i="2"/>
  <c r="AP441" i="2"/>
  <c r="AP324" i="2"/>
  <c r="AP281" i="2"/>
  <c r="AP292" i="2"/>
  <c r="AP147" i="2"/>
  <c r="AL228" i="2"/>
  <c r="D257" i="2"/>
  <c r="U257" i="2" s="1" a="1"/>
  <c r="U257" i="2" s="1"/>
  <c r="AL566" i="2"/>
  <c r="AL447" i="2"/>
  <c r="AL91" i="2"/>
  <c r="D323" i="2"/>
  <c r="AO253" i="2"/>
  <c r="AL236" i="2"/>
  <c r="AL399" i="2"/>
  <c r="D263" i="2"/>
  <c r="U263" i="2" s="1" a="1"/>
  <c r="U263" i="2" s="1"/>
  <c r="AO173" i="2"/>
  <c r="D580" i="2"/>
  <c r="U580" i="2" s="1" a="1"/>
  <c r="U580" i="2" s="1"/>
  <c r="AO175" i="2"/>
  <c r="AL74" i="2"/>
  <c r="AL155" i="2"/>
  <c r="AL198" i="2"/>
  <c r="AL513" i="2"/>
  <c r="AO586" i="2"/>
  <c r="AL140" i="2"/>
  <c r="AL92" i="2"/>
  <c r="AO532" i="2"/>
  <c r="D521" i="2"/>
  <c r="AO324" i="2"/>
  <c r="AP210" i="2"/>
  <c r="AP476" i="2"/>
  <c r="AO125" i="2"/>
  <c r="AO53" i="2"/>
  <c r="D335" i="2"/>
  <c r="U335" i="2" s="1" a="1"/>
  <c r="U335" i="2" s="1"/>
  <c r="AP468" i="2"/>
  <c r="AP137" i="2"/>
  <c r="AP475" i="2"/>
  <c r="AQ499" i="2"/>
  <c r="AQ16" i="2"/>
  <c r="AP405" i="2"/>
  <c r="AP553" i="2"/>
  <c r="AP452" i="2"/>
  <c r="AP41" i="2"/>
  <c r="AP377" i="2"/>
  <c r="D121" i="2"/>
  <c r="AL300" i="2"/>
  <c r="D562" i="2"/>
  <c r="D106" i="2"/>
  <c r="AQ570" i="2"/>
  <c r="D223" i="2"/>
  <c r="U223" i="2" s="1" a="1"/>
  <c r="U223" i="2" s="1"/>
  <c r="AL298" i="2"/>
  <c r="AL62" i="2"/>
  <c r="AQ401" i="2"/>
  <c r="D291" i="2"/>
  <c r="D68" i="2"/>
  <c r="AO379" i="2"/>
  <c r="D140" i="2"/>
  <c r="U140" i="2" s="1" a="1"/>
  <c r="U140" i="2" s="1"/>
  <c r="AQ174" i="2"/>
  <c r="AL109" i="2"/>
  <c r="AL315" i="2"/>
  <c r="AO479" i="2"/>
  <c r="AQ285" i="2"/>
  <c r="AL435" i="2"/>
  <c r="AQ498" i="2"/>
  <c r="AQ94" i="2"/>
  <c r="AO32" i="2"/>
  <c r="AQ481" i="2"/>
  <c r="AP572" i="2"/>
  <c r="AO24" i="2"/>
  <c r="AQ24" i="2"/>
  <c r="AQ466" i="2"/>
  <c r="AP561" i="2"/>
  <c r="AP59" i="2"/>
  <c r="AP19" i="2"/>
  <c r="AP11" i="2"/>
  <c r="AL366" i="2"/>
  <c r="AL561" i="2"/>
  <c r="D523" i="2"/>
  <c r="U523" i="2" s="1" a="1"/>
  <c r="U523" i="2" s="1"/>
  <c r="AL79" i="2"/>
  <c r="D29" i="2"/>
  <c r="U29" i="2" s="1" a="1"/>
  <c r="U29" i="2" s="1"/>
  <c r="D500" i="2"/>
  <c r="D443" i="2"/>
  <c r="U443" i="2" s="1" a="1"/>
  <c r="U443" i="2" s="1"/>
  <c r="AL70" i="2"/>
  <c r="AQ74" i="2"/>
  <c r="AQ79" i="2"/>
  <c r="AQ438" i="2"/>
  <c r="D427" i="2"/>
  <c r="U427" i="2" s="1" a="1"/>
  <c r="U427" i="2" s="1"/>
  <c r="D43" i="2"/>
  <c r="U43" i="2" s="1" a="1"/>
  <c r="U43" i="2" s="1"/>
  <c r="D590" i="2"/>
  <c r="AL384" i="2"/>
  <c r="D459" i="2"/>
  <c r="U459" i="2" s="1" a="1"/>
  <c r="U459" i="2" s="1"/>
  <c r="D421" i="2"/>
  <c r="D135" i="2"/>
  <c r="D472" i="2"/>
  <c r="U472" i="2" s="1" a="1"/>
  <c r="U472" i="2" s="1"/>
  <c r="D180" i="2"/>
  <c r="AL413" i="2"/>
  <c r="AL35" i="2"/>
  <c r="AL548" i="2"/>
  <c r="AL420" i="2"/>
  <c r="AL224" i="2"/>
  <c r="AL208" i="2"/>
  <c r="AL547" i="2"/>
  <c r="D109" i="2"/>
  <c r="U109" i="2" s="1" a="1"/>
  <c r="U109" i="2" s="1"/>
  <c r="AL391" i="2"/>
  <c r="D279" i="2"/>
  <c r="AL531" i="2"/>
  <c r="D239" i="2"/>
  <c r="AL492" i="2"/>
  <c r="D213" i="2"/>
  <c r="U213" i="2" s="1" a="1"/>
  <c r="U213" i="2" s="1"/>
  <c r="AL58" i="2"/>
  <c r="D202" i="2"/>
  <c r="U202" i="2" s="1" a="1"/>
  <c r="U202" i="2" s="1"/>
  <c r="AL232" i="2"/>
  <c r="D511" i="2"/>
  <c r="U511" i="2" s="1" a="1"/>
  <c r="U511" i="2" s="1"/>
  <c r="AL341" i="2"/>
  <c r="D401" i="2"/>
  <c r="U401" i="2" s="1" a="1"/>
  <c r="U401" i="2" s="1"/>
  <c r="D532" i="2"/>
  <c r="U532" i="2" s="1" a="1"/>
  <c r="U532" i="2" s="1"/>
  <c r="AL69" i="2"/>
  <c r="D147" i="2"/>
  <c r="AL381" i="2"/>
  <c r="D552" i="2"/>
  <c r="U552" i="2" s="1" a="1"/>
  <c r="U552" i="2" s="1"/>
  <c r="AO476" i="2"/>
  <c r="AO492" i="2"/>
  <c r="AP185" i="2"/>
  <c r="D452" i="2"/>
  <c r="U452" i="2" s="1" a="1"/>
  <c r="U452" i="2" s="1"/>
  <c r="AL268" i="2"/>
  <c r="AL273" i="2"/>
  <c r="AL25" i="2"/>
  <c r="D77" i="2"/>
  <c r="D41" i="2"/>
  <c r="U41" i="2" s="1" a="1"/>
  <c r="U41" i="2" s="1"/>
  <c r="AL465" i="2"/>
  <c r="AL486" i="2"/>
  <c r="D214" i="2"/>
  <c r="D461" i="2"/>
  <c r="D145" i="2"/>
  <c r="AL412" i="2"/>
  <c r="AL7" i="2"/>
  <c r="AL53" i="2"/>
  <c r="AQ317" i="2"/>
  <c r="AO584" i="2"/>
  <c r="AL293" i="2"/>
  <c r="D425" i="2"/>
  <c r="D254" i="2"/>
  <c r="AL127" i="2"/>
  <c r="AL124" i="2"/>
  <c r="D169" i="2"/>
  <c r="AO412" i="2"/>
  <c r="AO588" i="2"/>
  <c r="AP245" i="2"/>
  <c r="D259" i="2"/>
  <c r="U259" i="2" s="1" a="1"/>
  <c r="U259" i="2" s="1"/>
  <c r="D369" i="2"/>
  <c r="U369" i="2" s="1" a="1"/>
  <c r="U369" i="2" s="1"/>
  <c r="AL261" i="2"/>
  <c r="AL565" i="2"/>
  <c r="D515" i="2"/>
  <c r="D208" i="2"/>
  <c r="AL462" i="2"/>
  <c r="AL103" i="2"/>
  <c r="D42" i="2"/>
  <c r="U42" i="2" s="1" a="1"/>
  <c r="U42" i="2" s="1"/>
  <c r="AO457" i="2"/>
  <c r="AQ470" i="2"/>
  <c r="AP10" i="2"/>
  <c r="AL110" i="2"/>
  <c r="D296" i="2"/>
  <c r="U296" i="2" s="1" a="1"/>
  <c r="U296" i="2" s="1"/>
  <c r="D171" i="2"/>
  <c r="D576" i="2"/>
  <c r="AL186" i="2"/>
  <c r="AL336" i="2"/>
  <c r="AO504" i="2"/>
  <c r="AO225" i="2"/>
  <c r="AQ459" i="2"/>
  <c r="AO187" i="2"/>
  <c r="AQ414" i="2"/>
  <c r="AO205" i="2"/>
  <c r="AO422" i="2"/>
  <c r="AO259" i="2"/>
  <c r="AQ337" i="2"/>
  <c r="AP460" i="2"/>
  <c r="AL292" i="2"/>
  <c r="D488" i="2"/>
  <c r="U488" i="2" s="1" a="1"/>
  <c r="U488" i="2" s="1"/>
  <c r="D518" i="2"/>
  <c r="D585" i="2"/>
  <c r="U585" i="2" s="1" a="1"/>
  <c r="U585" i="2" s="1"/>
  <c r="AL330" i="2"/>
  <c r="AL231" i="2"/>
  <c r="AO423" i="2"/>
  <c r="AO108" i="2"/>
  <c r="AQ64" i="2"/>
  <c r="AO377" i="2"/>
  <c r="AQ160" i="2"/>
  <c r="AO456" i="2"/>
  <c r="AO250" i="2"/>
  <c r="AO74" i="2"/>
  <c r="AQ234" i="2"/>
  <c r="AP230" i="2"/>
  <c r="D62" i="2"/>
  <c r="U62" i="2" s="1" a="1"/>
  <c r="U62" i="2" s="1"/>
  <c r="D175" i="2"/>
  <c r="AL581" i="2"/>
  <c r="AL363" i="2"/>
  <c r="AO469" i="2"/>
  <c r="AO388" i="2"/>
  <c r="AO38" i="2"/>
  <c r="AO370" i="2"/>
  <c r="AO4" i="2"/>
  <c r="AO528" i="2"/>
  <c r="AO14" i="2"/>
  <c r="AO8" i="2"/>
  <c r="AP519" i="2"/>
  <c r="AP514" i="2"/>
  <c r="AO217" i="2"/>
  <c r="AQ404" i="2"/>
  <c r="AO495" i="2"/>
  <c r="AO277" i="2"/>
  <c r="AO222" i="2"/>
  <c r="AQ327" i="2"/>
  <c r="AP310" i="2"/>
  <c r="AQ522" i="2"/>
  <c r="AP432" i="2"/>
  <c r="AP39" i="2"/>
  <c r="AQ155" i="2"/>
  <c r="AP586" i="2"/>
  <c r="AP181" i="2"/>
  <c r="AO39" i="2"/>
  <c r="AO278" i="2"/>
  <c r="AO56" i="2"/>
  <c r="AO106" i="2"/>
  <c r="AP574" i="2"/>
  <c r="AQ266" i="2"/>
  <c r="AP570" i="2"/>
  <c r="AP246" i="2"/>
  <c r="AO30" i="2"/>
  <c r="AO202" i="2"/>
  <c r="AO16" i="2"/>
  <c r="AO83" i="2"/>
  <c r="AP535" i="2"/>
  <c r="AQ186" i="2"/>
  <c r="AP530" i="2"/>
  <c r="AP145" i="2"/>
  <c r="AQ153" i="2"/>
  <c r="AP479" i="2"/>
  <c r="AQ134" i="2"/>
  <c r="AP458" i="2"/>
  <c r="AQ72" i="2"/>
  <c r="AP399" i="2"/>
  <c r="AQ52" i="2"/>
  <c r="AP378" i="2"/>
  <c r="AQ56" i="2"/>
  <c r="AP383" i="2"/>
  <c r="AQ287" i="2"/>
  <c r="AP362" i="2"/>
  <c r="D256" i="2"/>
  <c r="D80" i="2"/>
  <c r="D520" i="2"/>
  <c r="U520" i="2" s="1" a="1"/>
  <c r="U520" i="2" s="1"/>
  <c r="D340" i="2"/>
  <c r="AL46" i="2"/>
  <c r="D265" i="2"/>
  <c r="U265" i="2" s="1" a="1"/>
  <c r="U265" i="2" s="1"/>
  <c r="D266" i="2"/>
  <c r="D407" i="2"/>
  <c r="U407" i="2" s="1" a="1"/>
  <c r="U407" i="2" s="1"/>
  <c r="D533" i="2"/>
  <c r="U533" i="2" s="1" a="1"/>
  <c r="U533" i="2" s="1"/>
  <c r="D464" i="2"/>
  <c r="AL78" i="2"/>
  <c r="AL508" i="2"/>
  <c r="D199" i="2"/>
  <c r="U199" i="2" s="1" a="1"/>
  <c r="U199" i="2" s="1"/>
  <c r="AL151" i="2"/>
  <c r="AQ492" i="2"/>
  <c r="D233" i="2"/>
  <c r="U233" i="2" s="1" a="1"/>
  <c r="U233" i="2" s="1"/>
  <c r="AL380" i="2"/>
  <c r="D350" i="2"/>
  <c r="U350" i="2" s="1" a="1"/>
  <c r="U350" i="2" s="1"/>
  <c r="AL4" i="2"/>
  <c r="D71" i="2"/>
  <c r="U71" i="2" s="1" a="1"/>
  <c r="U71" i="2" s="1"/>
  <c r="AL313" i="2"/>
  <c r="D309" i="2"/>
  <c r="U309" i="2" s="1" a="1"/>
  <c r="U309" i="2" s="1"/>
  <c r="AQ324" i="2"/>
  <c r="D591" i="2"/>
  <c r="U591" i="2" s="1" a="1"/>
  <c r="U591" i="2" s="1"/>
  <c r="AL262" i="2"/>
  <c r="AO258" i="2"/>
  <c r="D119" i="2"/>
  <c r="AL398" i="2"/>
  <c r="D234" i="2"/>
  <c r="D570" i="2"/>
  <c r="AQ124" i="2"/>
  <c r="D482" i="2"/>
  <c r="AL383" i="2"/>
  <c r="AO144" i="2"/>
  <c r="AO36" i="2"/>
  <c r="AQ508" i="2"/>
  <c r="AP303" i="2"/>
  <c r="D102" i="2"/>
  <c r="U102" i="2" s="1" a="1"/>
  <c r="U102" i="2" s="1"/>
  <c r="AL563" i="2"/>
  <c r="AO363" i="2"/>
  <c r="AQ562" i="2"/>
  <c r="AQ261" i="2"/>
  <c r="AQ469" i="2"/>
  <c r="D206" i="2"/>
  <c r="U206" i="2" s="1" a="1"/>
  <c r="U206" i="2" s="1"/>
  <c r="AO485" i="2"/>
  <c r="AO338" i="2"/>
  <c r="AO416" i="2"/>
  <c r="AQ585" i="2"/>
  <c r="AQ128" i="2"/>
  <c r="AQ184" i="2"/>
  <c r="AO178" i="2"/>
  <c r="AP234" i="2"/>
  <c r="AP261" i="2"/>
  <c r="AP62" i="2"/>
  <c r="AQ269" i="2"/>
  <c r="AQ566" i="2"/>
  <c r="AO148" i="2"/>
  <c r="AP58" i="2"/>
  <c r="AP56" i="2"/>
  <c r="AO536" i="2"/>
  <c r="AQ50" i="2"/>
  <c r="AP18" i="2"/>
  <c r="AP16" i="2"/>
  <c r="AP268" i="2"/>
  <c r="AP591" i="2"/>
  <c r="AP524" i="2"/>
  <c r="AP481" i="2"/>
  <c r="AP492" i="2"/>
  <c r="AP449" i="2"/>
  <c r="D548" i="2"/>
  <c r="U548" i="2" s="1" a="1"/>
  <c r="U548" i="2" s="1"/>
  <c r="AL323" i="2"/>
  <c r="D505" i="2"/>
  <c r="U505" i="2" s="1" a="1"/>
  <c r="U505" i="2" s="1"/>
  <c r="AL71" i="2"/>
  <c r="AL82" i="2"/>
  <c r="D387" i="2"/>
  <c r="AO555" i="2"/>
  <c r="AL406" i="2"/>
  <c r="AL203" i="2"/>
  <c r="D117" i="2"/>
  <c r="AO293" i="2"/>
  <c r="D200" i="2"/>
  <c r="U200" i="2" s="1" a="1"/>
  <c r="U200" i="2" s="1"/>
  <c r="AQ302" i="2"/>
  <c r="AL493" i="2"/>
  <c r="AL556" i="2"/>
  <c r="AL43" i="2"/>
  <c r="AL309" i="2"/>
  <c r="AO496" i="2"/>
  <c r="AL311" i="2"/>
  <c r="AL310" i="2"/>
  <c r="AO415" i="2"/>
  <c r="D418" i="2"/>
  <c r="U418" i="2" s="1" a="1"/>
  <c r="U418" i="2" s="1"/>
  <c r="AO257" i="2"/>
  <c r="AQ457" i="2"/>
  <c r="AO142" i="2"/>
  <c r="AO104" i="2"/>
  <c r="AO133" i="2"/>
  <c r="D26" i="2"/>
  <c r="U26" i="2" s="1" a="1"/>
  <c r="U26" i="2" s="1"/>
  <c r="AP539" i="2"/>
  <c r="AQ206" i="2"/>
  <c r="AP375" i="2"/>
  <c r="AQ335" i="2"/>
  <c r="AQ291" i="2"/>
  <c r="AP567" i="2"/>
  <c r="AP370" i="2"/>
  <c r="AQ575" i="2"/>
  <c r="AQ565" i="2"/>
  <c r="AO296" i="2"/>
  <c r="AQ516" i="2"/>
  <c r="AO443" i="2"/>
  <c r="AO155" i="2"/>
  <c r="AQ222" i="2"/>
  <c r="AQ450" i="2"/>
  <c r="AP168" i="2"/>
  <c r="AO66" i="2"/>
  <c r="AQ161" i="2"/>
  <c r="AP359" i="2"/>
  <c r="AQ303" i="2"/>
  <c r="AQ283" i="2"/>
  <c r="AP551" i="2"/>
  <c r="AP354" i="2"/>
  <c r="AQ543" i="2"/>
  <c r="AQ533" i="2"/>
  <c r="AO239" i="2"/>
  <c r="AQ192" i="2"/>
  <c r="AO131" i="2"/>
  <c r="AO365" i="2"/>
  <c r="AQ49" i="2"/>
  <c r="AQ296" i="2"/>
  <c r="AP342" i="2"/>
  <c r="AO26" i="2"/>
  <c r="AQ189" i="2"/>
  <c r="AP279" i="2"/>
  <c r="AQ593" i="2"/>
  <c r="AQ243" i="2"/>
  <c r="AP401" i="2"/>
  <c r="AP273" i="2"/>
  <c r="AQ316" i="2"/>
  <c r="AQ297" i="2"/>
  <c r="AQ567" i="2"/>
  <c r="AQ217" i="2"/>
  <c r="AP300" i="2"/>
  <c r="AP149" i="2"/>
  <c r="AQ557" i="2"/>
  <c r="AQ207" i="2"/>
  <c r="AP258" i="2"/>
  <c r="AP275" i="2"/>
  <c r="AQ527" i="2"/>
  <c r="AQ177" i="2"/>
  <c r="AP454" i="2"/>
  <c r="AP215" i="2"/>
  <c r="AQ517" i="2"/>
  <c r="AQ163" i="2"/>
  <c r="AP411" i="2"/>
  <c r="AP195" i="2"/>
  <c r="AQ519" i="2"/>
  <c r="AQ168" i="2"/>
  <c r="AP422" i="2"/>
  <c r="AP199" i="2"/>
  <c r="AQ509" i="2"/>
  <c r="AQ147" i="2"/>
  <c r="AP379" i="2"/>
  <c r="AP179" i="2"/>
  <c r="D319" i="2"/>
  <c r="U319" i="2" s="1" a="1"/>
  <c r="U319" i="2" s="1"/>
  <c r="AL560" i="2"/>
  <c r="AL496" i="2"/>
  <c r="AL132" i="2"/>
  <c r="AL72" i="2"/>
  <c r="D343" i="2"/>
  <c r="U343" i="2" s="1" a="1"/>
  <c r="U343" i="2" s="1"/>
  <c r="AL194" i="2"/>
  <c r="D392" i="2"/>
  <c r="U392" i="2" s="1" a="1"/>
  <c r="U392" i="2" s="1"/>
  <c r="D592" i="2"/>
  <c r="U592" i="2" s="1" a="1"/>
  <c r="U592" i="2" s="1"/>
  <c r="D349" i="2"/>
  <c r="AL137" i="2"/>
  <c r="D424" i="2"/>
  <c r="AL276" i="2"/>
  <c r="D396" i="2"/>
  <c r="AL2" i="2"/>
  <c r="D317" i="2"/>
  <c r="U317" i="2" s="1" a="1"/>
  <c r="U317" i="2" s="1"/>
  <c r="AL54" i="2"/>
  <c r="D134" i="2"/>
  <c r="U134" i="2" s="1" a="1"/>
  <c r="U134" i="2" s="1"/>
  <c r="AL356" i="2"/>
  <c r="D573" i="2"/>
  <c r="AL240" i="2"/>
  <c r="D92" i="2"/>
  <c r="U92" i="2" s="1" a="1"/>
  <c r="U92" i="2" s="1"/>
  <c r="D383" i="2"/>
  <c r="AL118" i="2"/>
  <c r="D584" i="2"/>
  <c r="D376" i="2"/>
  <c r="U376" i="2" s="1" a="1"/>
  <c r="U376" i="2" s="1"/>
  <c r="D341" i="2"/>
  <c r="AL583" i="2"/>
  <c r="AQ440" i="2"/>
  <c r="AP270" i="2"/>
  <c r="D448" i="2"/>
  <c r="AL454" i="2"/>
  <c r="AL154" i="2"/>
  <c r="AL47" i="2"/>
  <c r="D556" i="2"/>
  <c r="U556" i="2" s="1" a="1"/>
  <c r="U556" i="2" s="1"/>
  <c r="D516" i="2"/>
  <c r="U516" i="2" s="1" a="1"/>
  <c r="U516" i="2" s="1"/>
  <c r="AL280" i="2"/>
  <c r="AL42" i="2"/>
  <c r="AL426" i="2"/>
  <c r="D167" i="2"/>
  <c r="D554" i="2"/>
  <c r="U554" i="2" s="1" a="1"/>
  <c r="U554" i="2" s="1"/>
  <c r="AL80" i="2"/>
  <c r="AL177" i="2"/>
  <c r="D402" i="2"/>
  <c r="U402" i="2" s="1" a="1"/>
  <c r="U402" i="2" s="1"/>
  <c r="AO241" i="2"/>
  <c r="AO454" i="2"/>
  <c r="D224" i="2"/>
  <c r="U224" i="2" s="1" a="1"/>
  <c r="U224" i="2" s="1"/>
  <c r="D426" i="2"/>
  <c r="AL509" i="2"/>
  <c r="AL75" i="2"/>
  <c r="AL274" i="2"/>
  <c r="AO573" i="2"/>
  <c r="D38" i="2"/>
  <c r="D144" i="2"/>
  <c r="AL14" i="2"/>
  <c r="AL418" i="2"/>
  <c r="D141" i="2"/>
  <c r="AL245" i="2"/>
  <c r="AL350" i="2"/>
  <c r="AL248" i="2"/>
  <c r="AQ17" i="2"/>
  <c r="AP3" i="2"/>
  <c r="AL55" i="2"/>
  <c r="D292" i="2"/>
  <c r="AL99" i="2"/>
  <c r="AL242" i="2"/>
  <c r="AO439" i="2"/>
  <c r="AO235" i="2"/>
  <c r="AO386" i="2"/>
  <c r="AQ229" i="2"/>
  <c r="AO336" i="2"/>
  <c r="AO72" i="2"/>
  <c r="AQ299" i="2"/>
  <c r="AP282" i="2"/>
  <c r="AL451" i="2"/>
  <c r="D456" i="2"/>
  <c r="AL476" i="2"/>
  <c r="AL96" i="2"/>
  <c r="AO593" i="2"/>
  <c r="AO100" i="2"/>
  <c r="AO346" i="2"/>
  <c r="AO449" i="2"/>
  <c r="AO280" i="2"/>
  <c r="AQ392" i="2"/>
  <c r="AQ267" i="2"/>
  <c r="D247" i="2"/>
  <c r="D229" i="2"/>
  <c r="U229" i="2" s="1" a="1"/>
  <c r="U229" i="2" s="1"/>
  <c r="AL497" i="2"/>
  <c r="AL128" i="2"/>
  <c r="AO585" i="2"/>
  <c r="AQ480" i="2"/>
  <c r="AO124" i="2"/>
  <c r="AO558" i="2"/>
  <c r="AQ574" i="2"/>
  <c r="AP189" i="2"/>
  <c r="AQ235" i="2"/>
  <c r="AO128" i="2"/>
  <c r="AO575" i="2"/>
  <c r="AO234" i="2"/>
  <c r="AO143" i="2"/>
  <c r="AQ563" i="2"/>
  <c r="AO99" i="2"/>
  <c r="AP444" i="2"/>
  <c r="AP88" i="2"/>
  <c r="AQ218" i="2"/>
  <c r="AP271" i="2"/>
  <c r="AP84" i="2"/>
  <c r="AP198" i="2"/>
  <c r="AO391" i="2"/>
  <c r="AO200" i="2"/>
  <c r="AO218" i="2"/>
  <c r="AO169" i="2"/>
  <c r="AQ531" i="2"/>
  <c r="AO91" i="2"/>
  <c r="AP352" i="2"/>
  <c r="AQ70" i="2"/>
  <c r="AP349" i="2"/>
  <c r="AP509" i="2"/>
  <c r="AO162" i="2"/>
  <c r="AO334" i="2"/>
  <c r="AO41" i="2"/>
  <c r="AO110" i="2"/>
  <c r="AP274" i="2"/>
  <c r="AQ379" i="2"/>
  <c r="AP263" i="2"/>
  <c r="AP582" i="2"/>
  <c r="AQ326" i="2"/>
  <c r="AP122" i="2"/>
  <c r="AQ307" i="2"/>
  <c r="AP250" i="2"/>
  <c r="AQ246" i="2"/>
  <c r="AP552" i="2"/>
  <c r="AQ226" i="2"/>
  <c r="AP533" i="2"/>
  <c r="AQ230" i="2"/>
  <c r="AP536" i="2"/>
  <c r="AQ210" i="2"/>
  <c r="AP504" i="2"/>
  <c r="D569" i="2"/>
  <c r="U569" i="2" s="1" a="1"/>
  <c r="U569" i="2" s="1"/>
  <c r="D237" i="2"/>
  <c r="AL533" i="2"/>
  <c r="AL397" i="2"/>
  <c r="D86" i="2"/>
  <c r="U86" i="2" s="1" a="1"/>
  <c r="U86" i="2" s="1"/>
  <c r="D197" i="2"/>
  <c r="D56" i="2"/>
  <c r="AL136" i="2"/>
  <c r="D57" i="2"/>
  <c r="U57" i="2" s="1" a="1"/>
  <c r="U57" i="2" s="1"/>
  <c r="D313" i="2"/>
  <c r="U313" i="2" s="1" a="1"/>
  <c r="U313" i="2" s="1"/>
  <c r="AL152" i="2"/>
  <c r="AL427" i="2"/>
  <c r="AO167" i="2"/>
  <c r="AQ194" i="2"/>
  <c r="AL241" i="2"/>
  <c r="D568" i="2"/>
  <c r="D65" i="2"/>
  <c r="U65" i="2" s="1" a="1"/>
  <c r="U65" i="2" s="1"/>
  <c r="AL512" i="2"/>
  <c r="D578" i="2"/>
  <c r="U578" i="2" s="1" a="1"/>
  <c r="U578" i="2" s="1"/>
  <c r="AL441" i="2"/>
  <c r="AL153" i="2"/>
  <c r="AO101" i="2"/>
  <c r="D550" i="2"/>
  <c r="U550" i="2" s="1" a="1"/>
  <c r="U550" i="2" s="1"/>
  <c r="AL159" i="2"/>
  <c r="D538" i="2"/>
  <c r="U538" i="2" s="1" a="1"/>
  <c r="U538" i="2" s="1"/>
  <c r="AO472" i="2"/>
  <c r="D177" i="2"/>
  <c r="AL56" i="2"/>
  <c r="D17" i="2"/>
  <c r="U17" i="2" s="1" a="1"/>
  <c r="U17" i="2" s="1"/>
  <c r="AL460" i="2"/>
  <c r="AO312" i="2"/>
  <c r="D242" i="2"/>
  <c r="U242" i="2" s="1" a="1"/>
  <c r="U242" i="2" s="1"/>
  <c r="AL312" i="2"/>
  <c r="AO237" i="2"/>
  <c r="AO353" i="2"/>
  <c r="AQ157" i="2"/>
  <c r="AP583" i="2"/>
  <c r="D172" i="2"/>
  <c r="U172" i="2" s="1" a="1"/>
  <c r="U172" i="2" s="1"/>
  <c r="AL334" i="2"/>
  <c r="AO460" i="2"/>
  <c r="AO313" i="2"/>
  <c r="AQ238" i="2"/>
  <c r="AP299" i="2"/>
  <c r="D97" i="2"/>
  <c r="U97" i="2" s="1" a="1"/>
  <c r="U97" i="2" s="1"/>
  <c r="AL349" i="2"/>
  <c r="AQ587" i="2"/>
  <c r="AQ121" i="2"/>
  <c r="AO367" i="2"/>
  <c r="AO121" i="2"/>
  <c r="AP244" i="2"/>
  <c r="AP569" i="2"/>
  <c r="AQ58" i="2"/>
  <c r="AP473" i="2"/>
  <c r="AP407" i="2"/>
  <c r="AL23" i="2"/>
  <c r="AQ203" i="2"/>
  <c r="AL487" i="2"/>
  <c r="AP395" i="2"/>
  <c r="AP187" i="2"/>
  <c r="AQ225" i="2"/>
  <c r="AQ215" i="2"/>
  <c r="AO201" i="2"/>
  <c r="AQ138" i="2"/>
  <c r="AO232" i="2"/>
  <c r="AO246" i="2"/>
  <c r="AO206" i="2"/>
  <c r="AQ295" i="2"/>
  <c r="AP138" i="2"/>
  <c r="AQ490" i="2"/>
  <c r="AP419" i="2"/>
  <c r="AP175" i="2"/>
  <c r="AQ505" i="2"/>
  <c r="AQ139" i="2"/>
  <c r="AP363" i="2"/>
  <c r="AP171" i="2"/>
  <c r="AQ193" i="2"/>
  <c r="AQ183" i="2"/>
  <c r="AO383" i="2"/>
  <c r="AQ205" i="2"/>
  <c r="AO193" i="2"/>
  <c r="AO113" i="2"/>
  <c r="AO153" i="2"/>
  <c r="AQ582" i="2"/>
  <c r="AP323" i="2"/>
  <c r="AQ333" i="2"/>
  <c r="AP502" i="2"/>
  <c r="AP218" i="2"/>
  <c r="AQ465" i="2"/>
  <c r="AQ95" i="2"/>
  <c r="AP173" i="2"/>
  <c r="AP216" i="2"/>
  <c r="AQ13" i="2"/>
  <c r="AQ3" i="2"/>
  <c r="AQ428" i="2"/>
  <c r="AQ69" i="2"/>
  <c r="AP576" i="2"/>
  <c r="AP190" i="2"/>
  <c r="AQ409" i="2"/>
  <c r="AQ59" i="2"/>
  <c r="AP554" i="2"/>
  <c r="AP180" i="2"/>
  <c r="AQ348" i="2"/>
  <c r="AQ29" i="2"/>
  <c r="AP456" i="2"/>
  <c r="AP127" i="2"/>
  <c r="AQ329" i="2"/>
  <c r="AQ19" i="2"/>
  <c r="AP437" i="2"/>
  <c r="AP158" i="2"/>
  <c r="AQ332" i="2"/>
  <c r="AQ21" i="2"/>
  <c r="AP440" i="2"/>
  <c r="AP161" i="2"/>
  <c r="AQ313" i="2"/>
  <c r="AQ11" i="2"/>
  <c r="AP421" i="2"/>
  <c r="AP142" i="2"/>
  <c r="AL135" i="2"/>
  <c r="D469" i="2"/>
  <c r="D328" i="2"/>
  <c r="U328" i="2" s="1" a="1"/>
  <c r="U328" i="2" s="1"/>
  <c r="AL210" i="2"/>
  <c r="AL575" i="2"/>
  <c r="AL580" i="2"/>
  <c r="AL87" i="2"/>
  <c r="AL206" i="2"/>
  <c r="D186" i="2"/>
  <c r="U186" i="2" s="1" a="1"/>
  <c r="U186" i="2" s="1"/>
  <c r="D512" i="2"/>
  <c r="U512" i="2" s="1" a="1"/>
  <c r="U512" i="2" s="1"/>
  <c r="AL316" i="2"/>
  <c r="D429" i="2"/>
  <c r="AL199" i="2"/>
  <c r="D15" i="2"/>
  <c r="AL539" i="2"/>
  <c r="D473" i="2"/>
  <c r="U473" i="2" s="1" a="1"/>
  <c r="U473" i="2" s="1"/>
  <c r="AL130" i="2"/>
  <c r="AL33" i="2"/>
  <c r="AL345" i="2"/>
  <c r="D63" i="2"/>
  <c r="U63" i="2" s="1" a="1"/>
  <c r="U63" i="2" s="1"/>
  <c r="AL433" i="2"/>
  <c r="D439" i="2"/>
  <c r="D19" i="2"/>
  <c r="U19" i="2" s="1" a="1"/>
  <c r="U19" i="2" s="1"/>
  <c r="AL258" i="2"/>
  <c r="D574" i="2"/>
  <c r="AL510" i="2"/>
  <c r="D502" i="2"/>
  <c r="AO348" i="2"/>
  <c r="AO447" i="2"/>
  <c r="AP267" i="2"/>
  <c r="D48" i="2"/>
  <c r="AL471" i="2"/>
  <c r="AL149" i="2"/>
  <c r="AL551" i="2"/>
  <c r="D408" i="2"/>
  <c r="D399" i="2"/>
  <c r="U399" i="2" s="1" a="1"/>
  <c r="U399" i="2" s="1"/>
  <c r="AL243" i="2"/>
  <c r="AL57" i="2"/>
  <c r="D572" i="2"/>
  <c r="U572" i="2" s="1" a="1"/>
  <c r="U572" i="2" s="1"/>
  <c r="D517" i="2"/>
  <c r="D112" i="2"/>
  <c r="U112" i="2" s="1" a="1"/>
  <c r="U112" i="2" s="1"/>
  <c r="AL294" i="2"/>
  <c r="AL348" i="2"/>
  <c r="AL63" i="2"/>
  <c r="AQ523" i="2"/>
  <c r="AP406" i="2"/>
  <c r="D93" i="2"/>
  <c r="D417" i="2"/>
  <c r="AL346" i="2"/>
  <c r="D546" i="2"/>
  <c r="U546" i="2" s="1" a="1"/>
  <c r="U546" i="2" s="1"/>
  <c r="AO284" i="2"/>
  <c r="AO505" i="2"/>
  <c r="D277" i="2"/>
  <c r="U277" i="2" s="1" a="1"/>
  <c r="U277" i="2" s="1"/>
  <c r="D507" i="2"/>
  <c r="U507" i="2" s="1" a="1"/>
  <c r="U507" i="2" s="1"/>
  <c r="AL34" i="2"/>
  <c r="D248" i="2"/>
  <c r="U248" i="2" s="1" a="1"/>
  <c r="U248" i="2" s="1"/>
  <c r="D366" i="2"/>
  <c r="U366" i="2" s="1" a="1"/>
  <c r="U366" i="2" s="1"/>
  <c r="AL506" i="2"/>
  <c r="AL173" i="2"/>
  <c r="AO256" i="2"/>
  <c r="AO440" i="2"/>
  <c r="AL174" i="2"/>
  <c r="D149" i="2"/>
  <c r="U149" i="2" s="1" a="1"/>
  <c r="U149" i="2" s="1"/>
  <c r="D139" i="2"/>
  <c r="U139" i="2" s="1" a="1"/>
  <c r="U139" i="2" s="1"/>
  <c r="AL259" i="2"/>
  <c r="AL370" i="2"/>
  <c r="AO221" i="2"/>
  <c r="AO70" i="2"/>
  <c r="AO385" i="2"/>
  <c r="AO535" i="2"/>
  <c r="AO71" i="2"/>
  <c r="AO138" i="2"/>
  <c r="AP425" i="2"/>
  <c r="AL304" i="2"/>
  <c r="D475" i="2"/>
  <c r="D465" i="2"/>
  <c r="AL51" i="2"/>
  <c r="AL267" i="2"/>
  <c r="AO177" i="2"/>
  <c r="AQ544" i="2"/>
  <c r="AO345" i="2"/>
  <c r="AO554" i="2"/>
  <c r="AQ386" i="2"/>
  <c r="AO50" i="2"/>
  <c r="AP497" i="2"/>
  <c r="D413" i="2"/>
  <c r="D201" i="2"/>
  <c r="AL545" i="2"/>
  <c r="AL272" i="2"/>
  <c r="AO356" i="2"/>
  <c r="AQ416" i="2"/>
  <c r="AO337" i="2"/>
  <c r="AO463" i="2"/>
  <c r="AO587" i="2"/>
  <c r="AO18" i="2"/>
  <c r="AP252" i="2"/>
  <c r="AO219" i="2"/>
  <c r="AO473" i="2"/>
  <c r="AO127" i="2"/>
  <c r="AO89" i="2"/>
  <c r="AQ213" i="2"/>
  <c r="AQ397" i="2"/>
  <c r="AP368" i="2"/>
  <c r="AP7" i="2"/>
  <c r="AQ111" i="2"/>
  <c r="AP365" i="2"/>
  <c r="AP5" i="2"/>
  <c r="AQ67" i="2"/>
  <c r="AO186" i="2"/>
  <c r="AO409" i="2"/>
  <c r="AO145" i="2"/>
  <c r="AO81" i="2"/>
  <c r="AQ181" i="2"/>
  <c r="AQ365" i="2"/>
  <c r="AP493" i="2"/>
  <c r="AQ202" i="2"/>
  <c r="AP485" i="2"/>
  <c r="AP159" i="2"/>
  <c r="AQ431" i="2"/>
  <c r="AO111" i="2"/>
  <c r="AQ520" i="2"/>
  <c r="AO51" i="2"/>
  <c r="AP471" i="2"/>
  <c r="AQ142" i="2"/>
  <c r="AP466" i="2"/>
  <c r="AP35" i="2"/>
  <c r="AQ88" i="2"/>
  <c r="AP415" i="2"/>
  <c r="AQ68" i="2"/>
  <c r="AP394" i="2"/>
  <c r="AQ273" i="2"/>
  <c r="AP335" i="2"/>
  <c r="AQ263" i="2"/>
  <c r="AP314" i="2"/>
  <c r="AQ265" i="2"/>
  <c r="AP319" i="2"/>
  <c r="AQ255" i="2"/>
  <c r="AP298" i="2"/>
  <c r="AL468" i="2"/>
  <c r="AL123" i="2"/>
  <c r="AL284" i="2"/>
  <c r="AL319" i="2"/>
  <c r="D564" i="2"/>
  <c r="U564" i="2" s="1" a="1"/>
  <c r="U564" i="2" s="1"/>
  <c r="D30" i="2"/>
  <c r="U30" i="2" s="1" a="1"/>
  <c r="U30" i="2" s="1"/>
  <c r="D35" i="2"/>
  <c r="AL448" i="2"/>
  <c r="AL89" i="2"/>
  <c r="D230" i="2"/>
  <c r="U230" i="2" s="1" a="1"/>
  <c r="U230" i="2" s="1"/>
  <c r="AL86" i="2"/>
  <c r="AL432" i="2"/>
  <c r="AQ352" i="2"/>
  <c r="D353" i="2"/>
  <c r="AL484" i="2"/>
  <c r="D191" i="2"/>
  <c r="U191" i="2" s="1" a="1"/>
  <c r="U191" i="2" s="1"/>
  <c r="D192" i="2"/>
  <c r="U192" i="2" s="1" a="1"/>
  <c r="U192" i="2" s="1"/>
  <c r="AL495" i="2"/>
  <c r="D481" i="2"/>
  <c r="U481" i="2" s="1" a="1"/>
  <c r="U481" i="2" s="1"/>
  <c r="AL431" i="2"/>
  <c r="AL582" i="2"/>
  <c r="AQ532" i="2"/>
  <c r="D164" i="2"/>
  <c r="U164" i="2" s="1" a="1"/>
  <c r="U164" i="2" s="1"/>
  <c r="AL538" i="2"/>
  <c r="AL592" i="2"/>
  <c r="AO326" i="2"/>
  <c r="D501" i="2"/>
  <c r="U501" i="2" s="1" a="1"/>
  <c r="U501" i="2" s="1"/>
  <c r="AL98" i="2"/>
  <c r="D374" i="2"/>
  <c r="U374" i="2" s="1" a="1"/>
  <c r="U374" i="2" s="1"/>
  <c r="D364" i="2"/>
  <c r="AQ220" i="2"/>
  <c r="D284" i="2"/>
  <c r="U284" i="2" s="1" a="1"/>
  <c r="U284" i="2" s="1"/>
  <c r="AL385" i="2"/>
  <c r="AO372" i="2"/>
  <c r="AO107" i="2"/>
  <c r="AO195" i="2"/>
  <c r="AP386" i="2"/>
  <c r="D492" i="2"/>
  <c r="AL326" i="2"/>
  <c r="AO332" i="2"/>
  <c r="AO77" i="2"/>
  <c r="AO182" i="2"/>
  <c r="AP240" i="2"/>
  <c r="D260" i="2"/>
  <c r="AO465" i="2"/>
  <c r="AO467" i="2"/>
  <c r="AO486" i="2"/>
  <c r="AO118" i="2"/>
  <c r="AO57" i="2"/>
  <c r="AP304" i="2"/>
  <c r="AO359" i="2"/>
  <c r="AP584" i="2"/>
  <c r="AO319" i="2"/>
  <c r="AP461" i="2"/>
  <c r="D136" i="2"/>
  <c r="AL375" i="2"/>
  <c r="AL365" i="2"/>
  <c r="AO269" i="2"/>
  <c r="AP217" i="2"/>
  <c r="D100" i="2"/>
  <c r="D494" i="2"/>
  <c r="AL449" i="2"/>
  <c r="AL192" i="2"/>
  <c r="D380" i="2"/>
  <c r="U380" i="2" s="1" a="1"/>
  <c r="U380" i="2" s="1"/>
  <c r="AO523" i="2"/>
  <c r="AQ280" i="2"/>
  <c r="AP79" i="2"/>
  <c r="D16" i="2"/>
  <c r="U16" i="2" s="1" a="1"/>
  <c r="U16" i="2" s="1"/>
  <c r="D50" i="2"/>
  <c r="U50" i="2" s="1" a="1"/>
  <c r="U50" i="2" s="1"/>
  <c r="AL387" i="2"/>
  <c r="AL290" i="2"/>
  <c r="D273" i="2"/>
  <c r="D395" i="2"/>
  <c r="U395" i="2" s="1" a="1"/>
  <c r="U395" i="2" s="1"/>
  <c r="D545" i="2"/>
  <c r="U545" i="2" s="1" a="1"/>
  <c r="U545" i="2" s="1"/>
  <c r="AL527" i="2"/>
  <c r="D32" i="2"/>
  <c r="U32" i="2" s="1" a="1"/>
  <c r="U32" i="2" s="1"/>
  <c r="AL579" i="2"/>
  <c r="AO361" i="2"/>
  <c r="AO43" i="2"/>
  <c r="AL212" i="2"/>
  <c r="D504" i="2"/>
  <c r="D463" i="2"/>
  <c r="D81" i="2"/>
  <c r="U81" i="2" s="1" a="1"/>
  <c r="U81" i="2" s="1"/>
  <c r="AL325" i="2"/>
  <c r="AL450" i="2"/>
  <c r="AO461" i="2"/>
  <c r="AO276" i="2"/>
  <c r="AQ354" i="2"/>
  <c r="AO242" i="2"/>
  <c r="AQ216" i="2"/>
  <c r="AO565" i="2"/>
  <c r="AO550" i="2"/>
  <c r="AQ190" i="2"/>
  <c r="AP47" i="2"/>
  <c r="AP45" i="2"/>
  <c r="AL515" i="2"/>
  <c r="D450" i="2"/>
  <c r="D152" i="2"/>
  <c r="U152" i="2" s="1" a="1"/>
  <c r="U152" i="2" s="1"/>
  <c r="D527" i="2"/>
  <c r="U527" i="2" s="1" a="1"/>
  <c r="U527" i="2" s="1"/>
  <c r="AL540" i="2"/>
  <c r="AL144" i="2"/>
  <c r="AO548" i="2"/>
  <c r="AO199" i="2"/>
  <c r="AQ478" i="2"/>
  <c r="AO156" i="2"/>
  <c r="AQ341" i="2"/>
  <c r="AO514" i="2"/>
  <c r="AO411" i="2"/>
  <c r="AP412" i="2"/>
  <c r="AQ244" i="2"/>
  <c r="AQ479" i="2"/>
  <c r="D553" i="2"/>
  <c r="U553" i="2" s="1" a="1"/>
  <c r="U553" i="2" s="1"/>
  <c r="D285" i="2"/>
  <c r="AL213" i="2"/>
  <c r="AL499" i="2"/>
  <c r="AL299" i="2"/>
  <c r="AO484" i="2"/>
  <c r="AO112" i="2"/>
  <c r="AO466" i="2"/>
  <c r="AO109" i="2"/>
  <c r="AO538" i="2"/>
  <c r="AO223" i="2"/>
  <c r="AQ34" i="2"/>
  <c r="AQ144" i="2"/>
  <c r="AP369" i="2"/>
  <c r="AO271" i="2"/>
  <c r="AQ322" i="2"/>
  <c r="AO395" i="2"/>
  <c r="AO381" i="2"/>
  <c r="AQ197" i="2"/>
  <c r="AQ360" i="2"/>
  <c r="AP284" i="2"/>
  <c r="AO42" i="2"/>
  <c r="AQ253" i="2"/>
  <c r="AP311" i="2"/>
  <c r="AQ212" i="2"/>
  <c r="AQ259" i="2"/>
  <c r="AP465" i="2"/>
  <c r="AP306" i="2"/>
  <c r="AQ444" i="2"/>
  <c r="AQ425" i="2"/>
  <c r="AO255" i="2"/>
  <c r="AQ256" i="2"/>
  <c r="AO213" i="2"/>
  <c r="AO373" i="2"/>
  <c r="AQ113" i="2"/>
  <c r="AQ328" i="2"/>
  <c r="AP470" i="2"/>
  <c r="AO34" i="2"/>
  <c r="AQ221" i="2"/>
  <c r="AP295" i="2"/>
  <c r="AQ180" i="2"/>
  <c r="AQ251" i="2"/>
  <c r="AP433" i="2"/>
  <c r="AP290" i="2"/>
  <c r="AQ380" i="2"/>
  <c r="AQ361" i="2"/>
  <c r="AO176" i="2"/>
  <c r="AQ384" i="2"/>
  <c r="AO563" i="2"/>
  <c r="AO333" i="2"/>
  <c r="AO297" i="2"/>
  <c r="AQ524" i="2"/>
  <c r="AP355" i="2"/>
  <c r="AQ560" i="2"/>
  <c r="AQ41" i="2"/>
  <c r="AP98" i="2"/>
  <c r="AQ561" i="2"/>
  <c r="AQ211" i="2"/>
  <c r="AP272" i="2"/>
  <c r="AP78" i="2"/>
  <c r="AQ278" i="2"/>
  <c r="AQ258" i="2"/>
  <c r="AQ535" i="2"/>
  <c r="AQ185" i="2"/>
  <c r="AP486" i="2"/>
  <c r="AP231" i="2"/>
  <c r="AQ525" i="2"/>
  <c r="AQ175" i="2"/>
  <c r="AP443" i="2"/>
  <c r="AP211" i="2"/>
  <c r="AQ495" i="2"/>
  <c r="AQ125" i="2"/>
  <c r="AP326" i="2"/>
  <c r="AP128" i="2"/>
  <c r="AQ485" i="2"/>
  <c r="AQ115" i="2"/>
  <c r="AP283" i="2"/>
  <c r="AP236" i="2"/>
  <c r="AQ487" i="2"/>
  <c r="AQ117" i="2"/>
  <c r="AP294" i="2"/>
  <c r="AP238" i="2"/>
  <c r="AQ477" i="2"/>
  <c r="AQ107" i="2"/>
  <c r="AP257" i="2"/>
  <c r="AP228" i="2"/>
  <c r="AL464" i="2"/>
  <c r="D190" i="2"/>
  <c r="AL161" i="2"/>
  <c r="D122" i="2"/>
  <c r="U122" i="2" s="1" a="1"/>
  <c r="U122" i="2" s="1"/>
  <c r="D74" i="2"/>
  <c r="U74" i="2" s="1" a="1"/>
  <c r="U74" i="2" s="1"/>
  <c r="D281" i="2"/>
  <c r="AL266" i="2"/>
  <c r="AL517" i="2"/>
  <c r="D278" i="2"/>
  <c r="AL202" i="2"/>
  <c r="D316" i="2"/>
  <c r="U316" i="2" s="1" a="1"/>
  <c r="U316" i="2" s="1"/>
  <c r="AL301" i="2"/>
  <c r="D107" i="2"/>
  <c r="U107" i="2" s="1" a="1"/>
  <c r="U107" i="2" s="1"/>
  <c r="D378" i="2"/>
  <c r="U378" i="2" s="1" a="1"/>
  <c r="U378" i="2" s="1"/>
  <c r="AO577" i="2"/>
  <c r="AL44" i="2"/>
  <c r="D114" i="2"/>
  <c r="AL514" i="2"/>
  <c r="AL473" i="2"/>
  <c r="D205" i="2"/>
  <c r="AL211" i="2"/>
  <c r="D294" i="2"/>
  <c r="U294" i="2" s="1" a="1"/>
  <c r="U294" i="2" s="1"/>
  <c r="D561" i="2"/>
  <c r="U561" i="2" s="1" a="1"/>
  <c r="U561" i="2" s="1"/>
  <c r="AL120" i="2"/>
  <c r="AL85" i="2"/>
  <c r="AO268" i="2"/>
  <c r="AP587" i="2"/>
  <c r="D127" i="2"/>
  <c r="D398" i="2"/>
  <c r="U398" i="2" s="1" a="1"/>
  <c r="U398" i="2" s="1"/>
  <c r="AL28" i="2"/>
  <c r="AL115" i="2"/>
  <c r="D525" i="2"/>
  <c r="U525" i="2" s="1" a="1"/>
  <c r="U525" i="2" s="1"/>
  <c r="D249" i="2"/>
  <c r="D547" i="2"/>
  <c r="U547" i="2" s="1" a="1"/>
  <c r="U547" i="2" s="1"/>
  <c r="AL458" i="2"/>
  <c r="AL322" i="2"/>
  <c r="D331" i="2"/>
  <c r="D462" i="2"/>
  <c r="U462" i="2" s="1" a="1"/>
  <c r="U462" i="2" s="1"/>
  <c r="AL472" i="2"/>
  <c r="AL170" i="2"/>
  <c r="D280" i="2"/>
  <c r="AO545" i="2"/>
  <c r="AO451" i="2"/>
  <c r="AQ55" i="2"/>
  <c r="D95" i="2"/>
  <c r="U95" i="2" s="1" a="1"/>
  <c r="U95" i="2" s="1"/>
  <c r="D126" i="2"/>
  <c r="U126" i="2" s="1" a="1"/>
  <c r="U126" i="2" s="1"/>
  <c r="D261" i="2"/>
  <c r="U261" i="2" s="1" a="1"/>
  <c r="U261" i="2" s="1"/>
  <c r="AL50" i="2"/>
  <c r="D69" i="2"/>
  <c r="U69" i="2" s="1" a="1"/>
  <c r="U69" i="2" s="1"/>
  <c r="AL382" i="2"/>
  <c r="AO393" i="2"/>
  <c r="AO92" i="2"/>
  <c r="D370" i="2"/>
  <c r="U370" i="2" s="1" a="1"/>
  <c r="U370" i="2" s="1"/>
  <c r="D129" i="2"/>
  <c r="U129" i="2" s="1" a="1"/>
  <c r="U129" i="2" s="1"/>
  <c r="AL116" i="2"/>
  <c r="AL93" i="2"/>
  <c r="D351" i="2"/>
  <c r="U351" i="2" s="1" a="1"/>
  <c r="U351" i="2" s="1"/>
  <c r="D377" i="2"/>
  <c r="U377" i="2" s="1" a="1"/>
  <c r="U377" i="2" s="1"/>
  <c r="AL343" i="2"/>
  <c r="AL141" i="2"/>
  <c r="AO136" i="2"/>
  <c r="AP350" i="2"/>
  <c r="AL328" i="2"/>
  <c r="D468" i="2"/>
  <c r="U468" i="2" s="1" a="1"/>
  <c r="U468" i="2" s="1"/>
  <c r="D66" i="2"/>
  <c r="U66" i="2" s="1" a="1"/>
  <c r="U66" i="2" s="1"/>
  <c r="AL541" i="2"/>
  <c r="AO483" i="2"/>
  <c r="AO371" i="2"/>
  <c r="AO482" i="2"/>
  <c r="AQ464" i="2"/>
  <c r="AO432" i="2"/>
  <c r="AQ110" i="2"/>
  <c r="AP391" i="2"/>
  <c r="AQ151" i="2"/>
  <c r="AL337" i="2"/>
  <c r="D116" i="2"/>
  <c r="U116" i="2" s="1" a="1"/>
  <c r="U116" i="2" s="1"/>
  <c r="D7" i="2"/>
  <c r="U7" i="2" s="1" a="1"/>
  <c r="U7" i="2" s="1"/>
  <c r="AL490" i="2"/>
  <c r="AO529" i="2"/>
  <c r="AO331" i="2"/>
  <c r="AO442" i="2"/>
  <c r="AQ312" i="2"/>
  <c r="AO392" i="2"/>
  <c r="AO174" i="2"/>
  <c r="AP242" i="2"/>
  <c r="AQ99" i="2"/>
  <c r="D356" i="2"/>
  <c r="U356" i="2" s="1" a="1"/>
  <c r="U356" i="2" s="1"/>
  <c r="AL335" i="2"/>
  <c r="AL455" i="2"/>
  <c r="AO491" i="2"/>
  <c r="AO323" i="2"/>
  <c r="AO306" i="2"/>
  <c r="AO399" i="2"/>
  <c r="AQ550" i="2"/>
  <c r="AP208" i="2"/>
  <c r="AQ57" i="2"/>
  <c r="AO157" i="2"/>
  <c r="AQ518" i="2"/>
  <c r="AQ122" i="2"/>
  <c r="AP202" i="2"/>
  <c r="AP200" i="2"/>
  <c r="AQ42" i="2"/>
  <c r="AQ486" i="2"/>
  <c r="AP194" i="2"/>
  <c r="AP192" i="2"/>
  <c r="AO500" i="2"/>
  <c r="AQ325" i="2"/>
  <c r="AQ300" i="2"/>
  <c r="AQ422" i="2"/>
  <c r="D332" i="2"/>
  <c r="D276" i="2"/>
  <c r="U276" i="2" s="1" a="1"/>
  <c r="U276" i="2" s="1"/>
  <c r="AL225" i="2"/>
  <c r="AO551" i="2"/>
  <c r="AL414" i="2"/>
  <c r="AP385" i="2"/>
  <c r="AP316" i="2"/>
  <c r="AP226" i="2"/>
  <c r="AQ473" i="2"/>
  <c r="AQ103" i="2"/>
  <c r="AP201" i="2"/>
  <c r="AP224" i="2"/>
  <c r="AQ45" i="2"/>
  <c r="AQ35" i="2"/>
  <c r="AO351" i="2"/>
  <c r="AP549" i="2"/>
  <c r="AO462" i="2"/>
  <c r="AO94" i="2"/>
  <c r="AO88" i="2"/>
  <c r="AQ454" i="2"/>
  <c r="AP534" i="2"/>
  <c r="AQ564" i="2"/>
  <c r="AP568" i="2"/>
  <c r="AP186" i="2"/>
  <c r="AQ417" i="2"/>
  <c r="AQ63" i="2"/>
  <c r="AP564" i="2"/>
  <c r="AP184" i="2"/>
  <c r="AP388" i="2"/>
  <c r="AP345" i="2"/>
  <c r="AQ364" i="2"/>
  <c r="AQ37" i="2"/>
  <c r="AP477" i="2"/>
  <c r="AP143" i="2"/>
  <c r="AQ345" i="2"/>
  <c r="AQ27" i="2"/>
  <c r="AP453" i="2"/>
  <c r="AP124" i="2"/>
  <c r="AQ154" i="2"/>
  <c r="AQ46" i="2"/>
  <c r="AP392" i="2"/>
  <c r="AP112" i="2"/>
  <c r="AQ118" i="2"/>
  <c r="AQ36" i="2"/>
  <c r="AP373" i="2"/>
  <c r="AP92" i="2"/>
  <c r="AQ126" i="2"/>
  <c r="AQ38" i="2"/>
  <c r="AP376" i="2"/>
  <c r="AP96" i="2"/>
  <c r="AQ86" i="2"/>
  <c r="AQ28" i="2"/>
  <c r="AP357" i="2"/>
  <c r="AP76" i="2"/>
  <c r="D530" i="2"/>
  <c r="D315" i="2"/>
  <c r="U315" i="2" s="1" a="1"/>
  <c r="U315" i="2" s="1"/>
  <c r="D275" i="2"/>
  <c r="AL321" i="2"/>
  <c r="D267" i="2"/>
  <c r="AL38" i="2"/>
  <c r="D442" i="2"/>
  <c r="U442" i="2" s="1" a="1"/>
  <c r="U442" i="2" s="1"/>
  <c r="AL145" i="2"/>
  <c r="D24" i="2"/>
  <c r="AL585" i="2"/>
  <c r="D88" i="2"/>
  <c r="AL67" i="2"/>
  <c r="D4" i="2"/>
  <c r="U4" i="2" s="1" a="1"/>
  <c r="U4" i="2" s="1"/>
  <c r="AL371" i="2"/>
  <c r="D195" i="2"/>
  <c r="U195" i="2" s="1" a="1"/>
  <c r="U195" i="2" s="1"/>
  <c r="AL417" i="2"/>
  <c r="D311" i="2"/>
  <c r="AL114" i="2"/>
  <c r="D534" i="2"/>
  <c r="U534" i="2" s="1" a="1"/>
  <c r="U534" i="2" s="1"/>
  <c r="D310" i="2"/>
  <c r="AL440" i="2"/>
  <c r="D509" i="2"/>
  <c r="U509" i="2" s="1" a="1"/>
  <c r="U509" i="2" s="1"/>
  <c r="AL37" i="2"/>
  <c r="D84" i="2"/>
  <c r="U84" i="2" s="1" a="1"/>
  <c r="U84" i="2" s="1"/>
  <c r="AO163" i="2"/>
  <c r="AQ346" i="2"/>
  <c r="AQ553" i="2"/>
  <c r="D193" i="2"/>
  <c r="U193" i="2" s="1" a="1"/>
  <c r="U193" i="2" s="1"/>
  <c r="AL195" i="2"/>
  <c r="AL423" i="2"/>
  <c r="AL557" i="2"/>
  <c r="D566" i="2"/>
  <c r="U566" i="2" s="1" a="1"/>
  <c r="U566" i="2" s="1"/>
  <c r="D506" i="2"/>
  <c r="AL122" i="2"/>
  <c r="AL60" i="2"/>
  <c r="AL237" i="2"/>
  <c r="D226" i="2"/>
  <c r="U226" i="2" s="1" a="1"/>
  <c r="U226" i="2" s="1"/>
  <c r="D76" i="2"/>
  <c r="U76" i="2" s="1" a="1"/>
  <c r="U76" i="2" s="1"/>
  <c r="AL498" i="2"/>
  <c r="AL297" i="2"/>
  <c r="AL516" i="2"/>
  <c r="AO315" i="2"/>
  <c r="AO376" i="2"/>
  <c r="AP526" i="2"/>
  <c r="D405" i="2"/>
  <c r="U405" i="2" s="1" a="1"/>
  <c r="U405" i="2" s="1"/>
  <c r="D75" i="2"/>
  <c r="AL428" i="2"/>
  <c r="AL389" i="2"/>
  <c r="D288" i="2"/>
  <c r="U288" i="2" s="1" a="1"/>
  <c r="U288" i="2" s="1"/>
  <c r="AO455" i="2"/>
  <c r="AQ293" i="2"/>
  <c r="AQ363" i="2"/>
  <c r="D451" i="2"/>
  <c r="D157" i="2"/>
  <c r="U157" i="2" s="1" a="1"/>
  <c r="U157" i="2" s="1"/>
  <c r="AL119" i="2"/>
  <c r="AL422" i="2"/>
  <c r="D567" i="2"/>
  <c r="U567" i="2" s="1" a="1"/>
  <c r="U567" i="2" s="1"/>
  <c r="AL411" i="2"/>
  <c r="AL65" i="2"/>
  <c r="AL246" i="2"/>
  <c r="AO433" i="2"/>
  <c r="AP52" i="2"/>
  <c r="AL68" i="2"/>
  <c r="D314" i="2"/>
  <c r="U314" i="2" s="1" a="1"/>
  <c r="U314" i="2" s="1"/>
  <c r="AL19" i="2"/>
  <c r="AL453" i="2"/>
  <c r="AO189" i="2"/>
  <c r="AO134" i="2"/>
  <c r="AO354" i="2"/>
  <c r="AQ2" i="2"/>
  <c r="AO304" i="2"/>
  <c r="AQ514" i="2"/>
  <c r="AQ60" i="2"/>
  <c r="AL553" i="2"/>
  <c r="D329" i="2"/>
  <c r="U329" i="2" s="1" a="1"/>
  <c r="U329" i="2" s="1"/>
  <c r="D123" i="2"/>
  <c r="AL66" i="2"/>
  <c r="AL479" i="2"/>
  <c r="AO561" i="2"/>
  <c r="AO82" i="2"/>
  <c r="AO314" i="2"/>
  <c r="AO556" i="2"/>
  <c r="AO160" i="2"/>
  <c r="AQ232" i="2"/>
  <c r="AQ119" i="2"/>
  <c r="D120" i="2"/>
  <c r="U120" i="2" s="1" a="1"/>
  <c r="U120" i="2" s="1"/>
  <c r="D382" i="2"/>
  <c r="U382" i="2" s="1" a="1"/>
  <c r="U382" i="2" s="1"/>
  <c r="AL393" i="2"/>
  <c r="AL214" i="2"/>
  <c r="AO553" i="2"/>
  <c r="AQ381" i="2"/>
  <c r="AO220" i="2"/>
  <c r="AO120" i="2"/>
  <c r="AP571" i="2"/>
  <c r="AQ30" i="2"/>
  <c r="AO570" i="2"/>
  <c r="AQ410" i="2"/>
  <c r="AQ420" i="2"/>
  <c r="AQ558" i="2"/>
  <c r="AQ449" i="2"/>
  <c r="AP589" i="2"/>
  <c r="AO470" i="2"/>
  <c r="AP348" i="2"/>
  <c r="AQ433" i="2"/>
  <c r="AP516" i="2"/>
  <c r="AO430" i="2"/>
  <c r="AO19" i="2"/>
  <c r="AQ149" i="2"/>
  <c r="AQ403" i="2"/>
  <c r="D304" i="2"/>
  <c r="U304" i="2" s="1" a="1"/>
  <c r="U304" i="2" s="1"/>
  <c r="AL470" i="2"/>
  <c r="AL534" i="2"/>
  <c r="AL392" i="2"/>
  <c r="AP565" i="2"/>
  <c r="AP507" i="2"/>
  <c r="AP103" i="2"/>
  <c r="AQ411" i="2"/>
  <c r="AP593" i="2"/>
  <c r="AP301" i="2"/>
  <c r="AP101" i="2"/>
  <c r="AP296" i="2"/>
  <c r="AP277" i="2"/>
  <c r="AO84" i="2"/>
  <c r="AO560" i="2"/>
  <c r="AO342" i="2"/>
  <c r="AQ530" i="2"/>
  <c r="AO49" i="2"/>
  <c r="AQ356" i="2"/>
  <c r="AO126" i="2"/>
  <c r="AQ526" i="2"/>
  <c r="AP288" i="2"/>
  <c r="AP95" i="2"/>
  <c r="AQ395" i="2"/>
  <c r="AP577" i="2"/>
  <c r="AP285" i="2"/>
  <c r="AP93" i="2"/>
  <c r="AP177" i="2"/>
  <c r="AP102" i="2"/>
  <c r="AO87" i="2"/>
  <c r="AO566" i="2"/>
  <c r="AO302" i="2"/>
  <c r="AQ572" i="2"/>
  <c r="AO9" i="2"/>
  <c r="AQ254" i="2"/>
  <c r="AQ434" i="2"/>
  <c r="AP135" i="2"/>
  <c r="AP132" i="2"/>
  <c r="AQ5" i="2"/>
  <c r="AQ44" i="2"/>
  <c r="AQ14" i="2"/>
  <c r="AQ4" i="2"/>
  <c r="AQ6" i="2"/>
  <c r="AP585" i="2"/>
  <c r="D436" i="2"/>
  <c r="AL31" i="2"/>
  <c r="AL374" i="2"/>
  <c r="AL24" i="2"/>
  <c r="AL187" i="2"/>
  <c r="AL483" i="2"/>
  <c r="D529" i="2"/>
  <c r="D219" i="2"/>
  <c r="U219" i="2" s="1" a="1"/>
  <c r="U219" i="2" s="1"/>
  <c r="D94" i="2"/>
  <c r="D59" i="2"/>
  <c r="U59" i="2" s="1" a="1"/>
  <c r="U59" i="2" s="1"/>
  <c r="AL574" i="2"/>
  <c r="AL88" i="2"/>
  <c r="AL367" i="2"/>
  <c r="AL401" i="2"/>
  <c r="AP545" i="2"/>
  <c r="D455" i="2"/>
  <c r="AQ506" i="2"/>
  <c r="AQ548" i="2"/>
  <c r="AO230" i="2"/>
  <c r="AP2" i="2"/>
  <c r="AQ472" i="2"/>
  <c r="AQ276" i="2"/>
  <c r="AP265" i="2"/>
  <c r="AO303" i="2"/>
  <c r="AO517" i="2"/>
  <c r="AO384" i="2"/>
  <c r="AO80" i="2"/>
  <c r="AQ301" i="2"/>
  <c r="AQ87" i="2"/>
  <c r="AQ20" i="2"/>
  <c r="AQ576" i="2"/>
  <c r="AO437" i="2"/>
  <c r="AO172" i="2"/>
  <c r="AQ373" i="2"/>
  <c r="AQ592" i="2"/>
  <c r="AQ65" i="2"/>
  <c r="AO67" i="2"/>
  <c r="AQ475" i="2"/>
  <c r="AP503" i="2"/>
  <c r="AP34" i="2"/>
  <c r="AQ132" i="2"/>
  <c r="AP446" i="2"/>
  <c r="AP498" i="2"/>
  <c r="AP32" i="2"/>
  <c r="AP99" i="2"/>
  <c r="AP89" i="2"/>
  <c r="AQ512" i="2"/>
  <c r="AO576" i="2"/>
  <c r="AO140" i="2"/>
  <c r="AQ309" i="2"/>
  <c r="AQ552" i="2"/>
  <c r="AQ33" i="2"/>
  <c r="AO59" i="2"/>
  <c r="AQ436" i="2"/>
  <c r="AP487" i="2"/>
  <c r="AP26" i="2"/>
  <c r="AQ158" i="2"/>
  <c r="AP414" i="2"/>
  <c r="AP482" i="2"/>
  <c r="AP24" i="2"/>
  <c r="AP67" i="2"/>
  <c r="AP57" i="2"/>
  <c r="AQ349" i="2"/>
  <c r="AO493" i="2"/>
  <c r="AO212" i="2"/>
  <c r="AQ388" i="2"/>
  <c r="AQ546" i="2"/>
  <c r="AP340" i="2"/>
  <c r="AQ334" i="2"/>
  <c r="AQ353" i="2"/>
  <c r="AP563" i="2"/>
  <c r="AP408" i="2"/>
  <c r="AP389" i="2"/>
  <c r="AP328" i="2"/>
  <c r="AP309" i="2"/>
  <c r="AP312" i="2"/>
  <c r="AP293" i="2"/>
  <c r="D207" i="2"/>
  <c r="U207" i="2" s="1" a="1"/>
  <c r="U207" i="2" s="1"/>
  <c r="AL205" i="2"/>
  <c r="D388" i="2"/>
  <c r="U388" i="2" s="1" a="1"/>
  <c r="U388" i="2" s="1"/>
  <c r="D163" i="2"/>
  <c r="D445" i="2"/>
  <c r="U445" i="2" s="1" a="1"/>
  <c r="U445" i="2" s="1"/>
  <c r="D320" i="2"/>
  <c r="AL220" i="2"/>
  <c r="AO421" i="2"/>
  <c r="AL589" i="2"/>
  <c r="D522" i="2"/>
  <c r="U522" i="2" s="1" a="1"/>
  <c r="U522" i="2" s="1"/>
  <c r="D437" i="2"/>
  <c r="U437" i="2" s="1" a="1"/>
  <c r="U437" i="2" s="1"/>
  <c r="AL275" i="2"/>
  <c r="D416" i="2"/>
  <c r="D495" i="2"/>
  <c r="D2" i="2"/>
  <c r="D28" i="2"/>
  <c r="U28" i="2" s="1" a="1"/>
  <c r="U28" i="2" s="1"/>
  <c r="AQ491" i="2"/>
  <c r="AO245" i="2"/>
  <c r="AQ590" i="2"/>
  <c r="AQ447" i="2"/>
  <c r="AQ394" i="2"/>
  <c r="AQ511" i="2"/>
  <c r="AP133" i="2"/>
  <c r="AL41" i="2"/>
  <c r="AL364" i="2"/>
  <c r="D160" i="2"/>
  <c r="U160" i="2" s="1" a="1"/>
  <c r="U160" i="2" s="1"/>
  <c r="D346" i="2"/>
  <c r="U346" i="2" s="1" a="1"/>
  <c r="U346" i="2" s="1"/>
  <c r="D384" i="2"/>
  <c r="AL102" i="2"/>
  <c r="D579" i="2"/>
  <c r="U579" i="2" s="1" a="1"/>
  <c r="U579" i="2" s="1"/>
  <c r="AL150" i="2"/>
  <c r="AO96" i="2"/>
  <c r="AQ308" i="2"/>
  <c r="AL59" i="2"/>
  <c r="D264" i="2"/>
  <c r="D345" i="2"/>
  <c r="U345" i="2" s="1" a="1"/>
  <c r="U345" i="2" s="1"/>
  <c r="D474" i="2"/>
  <c r="U474" i="2" s="1" a="1"/>
  <c r="U474" i="2" s="1"/>
  <c r="AL125" i="2"/>
  <c r="AL139" i="2"/>
  <c r="AO261" i="2"/>
  <c r="AO215" i="2"/>
  <c r="AQ542" i="2"/>
  <c r="AO180" i="2"/>
  <c r="AQ405" i="2"/>
  <c r="AO530" i="2"/>
  <c r="AO475" i="2"/>
  <c r="AP515" i="2"/>
  <c r="AQ367" i="2"/>
  <c r="AQ204" i="2"/>
  <c r="AL167" i="2"/>
  <c r="D303" i="2"/>
  <c r="U303" i="2" s="1" a="1"/>
  <c r="U303" i="2" s="1"/>
  <c r="D115" i="2"/>
  <c r="D446" i="2"/>
  <c r="U446" i="2" s="1" a="1"/>
  <c r="U446" i="2" s="1"/>
  <c r="AL390" i="2"/>
  <c r="AL148" i="2"/>
  <c r="AO481" i="2"/>
  <c r="AO273" i="2"/>
  <c r="AQ378" i="2"/>
  <c r="AO236" i="2"/>
  <c r="AQ515" i="2"/>
  <c r="AO208" i="2"/>
  <c r="AO197" i="2"/>
  <c r="AP404" i="2"/>
  <c r="AQ489" i="2"/>
  <c r="AQ109" i="2"/>
  <c r="D334" i="2"/>
  <c r="U334" i="2" s="1" a="1"/>
  <c r="U334" i="2" s="1"/>
  <c r="D526" i="2"/>
  <c r="U526" i="2" s="1" a="1"/>
  <c r="U526" i="2" s="1"/>
  <c r="AL247" i="2"/>
  <c r="AL249" i="2"/>
  <c r="AL271" i="2"/>
  <c r="AO452" i="2"/>
  <c r="AO95" i="2"/>
  <c r="AO434" i="2"/>
  <c r="AO61" i="2"/>
  <c r="AO489" i="2"/>
  <c r="AO375" i="2"/>
  <c r="AO137" i="2"/>
  <c r="AP374" i="2"/>
  <c r="AP131" i="2"/>
  <c r="AO207" i="2"/>
  <c r="AQ510" i="2"/>
  <c r="AO579" i="2"/>
  <c r="AO349" i="2"/>
  <c r="AP436" i="2"/>
  <c r="AQ588" i="2"/>
  <c r="AP308" i="2"/>
  <c r="AO10" i="2"/>
  <c r="AQ105" i="2"/>
  <c r="AP213" i="2"/>
  <c r="AQ577" i="2"/>
  <c r="AQ227" i="2"/>
  <c r="AP337" i="2"/>
  <c r="AP197" i="2"/>
  <c r="AQ406" i="2"/>
  <c r="AQ387" i="2"/>
  <c r="AO192" i="2"/>
  <c r="AQ448" i="2"/>
  <c r="AO571" i="2"/>
  <c r="AO341" i="2"/>
  <c r="AO305" i="2"/>
  <c r="AQ556" i="2"/>
  <c r="AP483" i="2"/>
  <c r="AO2" i="2"/>
  <c r="AQ73" i="2"/>
  <c r="AP163" i="2"/>
  <c r="AQ569" i="2"/>
  <c r="AQ219" i="2"/>
  <c r="AP305" i="2"/>
  <c r="AP157" i="2"/>
  <c r="AQ342" i="2"/>
  <c r="AQ323" i="2"/>
  <c r="AO249" i="2"/>
  <c r="AQ555" i="2"/>
  <c r="AO527" i="2"/>
  <c r="AO299" i="2"/>
  <c r="AO254" i="2"/>
  <c r="AQ391" i="2"/>
  <c r="AO275" i="2"/>
  <c r="AP464" i="2"/>
  <c r="AQ31" i="2"/>
  <c r="AP543" i="2"/>
  <c r="AP129" i="2"/>
  <c r="AP108" i="2"/>
  <c r="AP115" i="2"/>
  <c r="AP105" i="2"/>
  <c r="AP107" i="2"/>
  <c r="AP97" i="2"/>
  <c r="D537" i="2"/>
  <c r="U537" i="2" s="1" a="1"/>
  <c r="U537" i="2" s="1"/>
  <c r="AL558" i="2"/>
  <c r="AL169" i="2"/>
  <c r="AL165" i="2"/>
  <c r="AL143" i="2"/>
  <c r="AL227" i="2"/>
  <c r="D67" i="2"/>
  <c r="U67" i="2" s="1" a="1"/>
  <c r="U67" i="2" s="1"/>
  <c r="AO272" i="2"/>
  <c r="AL591" i="2"/>
  <c r="AL407" i="2"/>
  <c r="D83" i="2"/>
  <c r="AO79" i="2"/>
  <c r="D189" i="2"/>
  <c r="AO490" i="2"/>
  <c r="D489" i="2"/>
  <c r="U489" i="2" s="1" a="1"/>
  <c r="U489" i="2" s="1"/>
  <c r="AL306" i="2"/>
  <c r="AL571" i="2"/>
  <c r="D422" i="2"/>
  <c r="U422" i="2" s="1" a="1"/>
  <c r="U422" i="2" s="1"/>
  <c r="AO525" i="2"/>
  <c r="AO509" i="2"/>
  <c r="AO427" i="2"/>
  <c r="AP428" i="2"/>
  <c r="AP162" i="2"/>
  <c r="AO154" i="2"/>
  <c r="AQ368" i="2"/>
  <c r="AP90" i="2"/>
  <c r="AP55" i="2"/>
  <c r="AQ315" i="2"/>
  <c r="AP457" i="2"/>
  <c r="AP70" i="2"/>
  <c r="AP53" i="2"/>
  <c r="AP367" i="2"/>
  <c r="AP346" i="2"/>
  <c r="AQ262" i="2"/>
  <c r="AP356" i="2"/>
  <c r="AP566" i="2"/>
  <c r="AP27" i="2"/>
  <c r="AQ242" i="2"/>
  <c r="AP313" i="2"/>
  <c r="AP548" i="2"/>
  <c r="AP17" i="2"/>
  <c r="AQ182" i="2"/>
  <c r="AP499" i="2"/>
  <c r="AP527" i="2"/>
  <c r="AP46" i="2"/>
  <c r="AQ148" i="2"/>
  <c r="AP462" i="2"/>
  <c r="AP506" i="2"/>
  <c r="AP36" i="2"/>
  <c r="AQ159" i="2"/>
  <c r="AP467" i="2"/>
  <c r="AP511" i="2"/>
  <c r="AP38" i="2"/>
  <c r="AQ166" i="2"/>
  <c r="AP430" i="2"/>
  <c r="AP490" i="2"/>
  <c r="AP28" i="2"/>
  <c r="D258" i="2"/>
  <c r="U258" i="2" s="1" a="1"/>
  <c r="U258" i="2" s="1"/>
  <c r="AL216" i="2"/>
  <c r="AL519" i="2"/>
  <c r="AL578" i="2"/>
  <c r="D409" i="2"/>
  <c r="D362" i="2"/>
  <c r="U362" i="2" s="1" a="1"/>
  <c r="U362" i="2" s="1"/>
  <c r="D588" i="2"/>
  <c r="AL188" i="2"/>
  <c r="AL5" i="2"/>
  <c r="AL388" i="2"/>
  <c r="AL8" i="2"/>
  <c r="D433" i="2"/>
  <c r="AL48" i="2"/>
  <c r="AL233" i="2"/>
  <c r="D558" i="2"/>
  <c r="AL39" i="2"/>
  <c r="D174" i="2"/>
  <c r="U174" i="2" s="1" a="1"/>
  <c r="U174" i="2" s="1"/>
  <c r="AL235" i="2"/>
  <c r="D162" i="2"/>
  <c r="AL121" i="2"/>
  <c r="AL179" i="2"/>
  <c r="D146" i="2"/>
  <c r="U146" i="2" s="1" a="1"/>
  <c r="U146" i="2" s="1"/>
  <c r="D557" i="2"/>
  <c r="AL182" i="2"/>
  <c r="D25" i="2"/>
  <c r="U25" i="2" s="1" a="1"/>
  <c r="U25" i="2" s="1"/>
  <c r="AL84" i="2"/>
  <c r="AL219" i="2"/>
  <c r="D318" i="2"/>
  <c r="U318" i="2" s="1" a="1"/>
  <c r="U318" i="2" s="1"/>
  <c r="AL530" i="2"/>
  <c r="D221" i="2"/>
  <c r="AO347" i="2"/>
  <c r="AO408" i="2"/>
  <c r="D222" i="2"/>
  <c r="U222" i="2" s="1" a="1"/>
  <c r="U222" i="2" s="1"/>
  <c r="D283" i="2"/>
  <c r="U283" i="2" s="1" a="1"/>
  <c r="U283" i="2" s="1"/>
  <c r="AL230" i="2"/>
  <c r="AL156" i="2"/>
  <c r="D46" i="2"/>
  <c r="D11" i="2"/>
  <c r="D217" i="2"/>
  <c r="U217" i="2" s="1" a="1"/>
  <c r="U217" i="2" s="1"/>
  <c r="AL83" i="2"/>
  <c r="AL117" i="2"/>
  <c r="D593" i="2"/>
  <c r="D58" i="2"/>
  <c r="U58" i="2" s="1" a="1"/>
  <c r="U58" i="2" s="1"/>
  <c r="D161" i="2"/>
  <c r="U161" i="2" s="1" a="1"/>
  <c r="U161" i="2" s="1"/>
  <c r="AL480" i="2"/>
  <c r="AL429" i="2"/>
  <c r="AL329" i="2"/>
  <c r="AO426" i="2"/>
  <c r="AO115" i="2"/>
  <c r="AL269" i="2"/>
  <c r="D411" i="2"/>
  <c r="U411" i="2" s="1" a="1"/>
  <c r="U411" i="2" s="1"/>
  <c r="D22" i="2"/>
  <c r="U22" i="2" s="1" a="1"/>
  <c r="U22" i="2" s="1"/>
  <c r="AL572" i="2"/>
  <c r="AL253" i="2"/>
  <c r="AL305" i="2"/>
  <c r="AO267" i="2"/>
  <c r="AO344" i="2"/>
  <c r="AP469" i="2"/>
  <c r="D218" i="2"/>
  <c r="AL525" i="2"/>
  <c r="AL445" i="2"/>
  <c r="D338" i="2"/>
  <c r="U338" i="2" s="1" a="1"/>
  <c r="U338" i="2" s="1"/>
  <c r="AL226" i="2"/>
  <c r="D360" i="2"/>
  <c r="U360" i="2" s="1" a="1"/>
  <c r="U360" i="2" s="1"/>
  <c r="AL372" i="2"/>
  <c r="AO322" i="2"/>
  <c r="AQ359" i="2"/>
  <c r="D212" i="2"/>
  <c r="U212" i="2" s="1" a="1"/>
  <c r="U212" i="2" s="1"/>
  <c r="AL282" i="2"/>
  <c r="AO282" i="2"/>
  <c r="AQ140" i="2"/>
  <c r="D375" i="2"/>
  <c r="AO506" i="2"/>
  <c r="AO567" i="2"/>
  <c r="AQ8" i="2"/>
  <c r="AO244" i="2"/>
  <c r="AO35" i="2"/>
  <c r="AQ108" i="2"/>
  <c r="AP30" i="2"/>
  <c r="AO228" i="2"/>
  <c r="AO27" i="2"/>
  <c r="AQ92" i="2"/>
  <c r="AQ426" i="2"/>
  <c r="AO123" i="2"/>
  <c r="AO58" i="2"/>
  <c r="AQ275" i="2"/>
  <c r="AQ501" i="2"/>
  <c r="AP287" i="2"/>
  <c r="AP266" i="2"/>
  <c r="AP66" i="2"/>
  <c r="AP259" i="2"/>
  <c r="AP262" i="2"/>
  <c r="AP243" i="2"/>
  <c r="AQ399" i="2"/>
  <c r="AQ76" i="2"/>
  <c r="AP141" i="2"/>
  <c r="AP402" i="2"/>
  <c r="AQ330" i="2"/>
  <c r="AQ292" i="2"/>
  <c r="AQ298" i="2"/>
  <c r="AQ281" i="2"/>
  <c r="AP547" i="2"/>
  <c r="AP351" i="2"/>
  <c r="AQ260" i="2"/>
  <c r="AQ271" i="2"/>
  <c r="AP513" i="2"/>
  <c r="AP330" i="2"/>
  <c r="AQ591" i="2"/>
  <c r="AQ241" i="2"/>
  <c r="AP396" i="2"/>
  <c r="AP269" i="2"/>
  <c r="AQ581" i="2"/>
  <c r="AQ231" i="2"/>
  <c r="AP353" i="2"/>
  <c r="AP229" i="2"/>
  <c r="AQ583" i="2"/>
  <c r="AQ233" i="2"/>
  <c r="AP364" i="2"/>
  <c r="AP248" i="2"/>
  <c r="AQ573" i="2"/>
  <c r="AQ223" i="2"/>
  <c r="AP321" i="2"/>
  <c r="AP170" i="2"/>
  <c r="D400" i="2"/>
  <c r="D301" i="2"/>
  <c r="U301" i="2" s="1" a="1"/>
  <c r="U301" i="2" s="1"/>
  <c r="D324" i="2"/>
  <c r="U324" i="2" s="1" a="1"/>
  <c r="U324" i="2" s="1"/>
  <c r="D203" i="2"/>
  <c r="D64" i="2"/>
  <c r="U64" i="2" s="1" a="1"/>
  <c r="U64" i="2" s="1"/>
  <c r="D289" i="2"/>
  <c r="U289" i="2" s="1" a="1"/>
  <c r="U289" i="2" s="1"/>
  <c r="D128" i="2"/>
  <c r="U128" i="2" s="1" a="1"/>
  <c r="U128" i="2" s="1"/>
  <c r="D541" i="2"/>
  <c r="D227" i="2"/>
  <c r="U227" i="2" s="1" a="1"/>
  <c r="U227" i="2" s="1"/>
  <c r="AL434" i="2"/>
  <c r="D182" i="2"/>
  <c r="U182" i="2" s="1" a="1"/>
  <c r="U182" i="2" s="1"/>
  <c r="AL373" i="2"/>
  <c r="AL419" i="2"/>
  <c r="AL12" i="2"/>
  <c r="D87" i="2"/>
  <c r="AL395" i="2"/>
  <c r="D491" i="2"/>
  <c r="D497" i="2"/>
  <c r="D269" i="2"/>
  <c r="D111" i="2"/>
  <c r="D148" i="2"/>
  <c r="AL546" i="2"/>
  <c r="D389" i="2"/>
  <c r="U389" i="2" s="1" a="1"/>
  <c r="U389" i="2" s="1"/>
  <c r="AL166" i="2"/>
  <c r="AL396" i="2"/>
  <c r="D188" i="2"/>
  <c r="U188" i="2" s="1" a="1"/>
  <c r="U188" i="2" s="1"/>
  <c r="AL436" i="2"/>
  <c r="AL279" i="2"/>
  <c r="D158" i="2"/>
  <c r="AL573" i="2"/>
  <c r="AL529" i="2"/>
  <c r="AO524" i="2"/>
  <c r="AO325" i="2"/>
  <c r="D441" i="2"/>
  <c r="D539" i="2"/>
  <c r="U539" i="2" s="1" a="1"/>
  <c r="U539" i="2" s="1"/>
  <c r="AL554" i="2"/>
  <c r="AL204" i="2"/>
  <c r="D142" i="2"/>
  <c r="D241" i="2"/>
  <c r="D151" i="2"/>
  <c r="U151" i="2" s="1" a="1"/>
  <c r="U151" i="2" s="1"/>
  <c r="AL17" i="2"/>
  <c r="AL446" i="2"/>
  <c r="D55" i="2"/>
  <c r="D244" i="2"/>
  <c r="U244" i="2" s="1" a="1"/>
  <c r="U244" i="2" s="1"/>
  <c r="D179" i="2"/>
  <c r="U179" i="2" s="1" a="1"/>
  <c r="U179" i="2" s="1"/>
  <c r="AL105" i="2"/>
  <c r="D435" i="2"/>
  <c r="U435" i="2" s="1" a="1"/>
  <c r="U435" i="2" s="1"/>
  <c r="AL501" i="2"/>
  <c r="AO45" i="2"/>
  <c r="AP550" i="2"/>
  <c r="D238" i="2"/>
  <c r="D560" i="2"/>
  <c r="D587" i="2"/>
  <c r="U587" i="2" s="1" a="1"/>
  <c r="U587" i="2" s="1"/>
  <c r="AL27" i="2"/>
  <c r="AL76" i="2"/>
  <c r="AL18" i="2"/>
  <c r="AO503" i="2"/>
  <c r="AQ408" i="2"/>
  <c r="D194" i="2"/>
  <c r="U194" i="2" s="1" a="1"/>
  <c r="U194" i="2" s="1"/>
  <c r="D98" i="2"/>
  <c r="AL250" i="2"/>
  <c r="AL81" i="2"/>
  <c r="D6" i="2"/>
  <c r="U6" i="2" s="1" a="1"/>
  <c r="U6" i="2" s="1"/>
  <c r="AO362" i="2"/>
  <c r="D559" i="2"/>
  <c r="AO552" i="2"/>
  <c r="AQ376" i="2"/>
  <c r="AP207" i="2"/>
  <c r="D347" i="2"/>
  <c r="AO562" i="2"/>
  <c r="AQ407" i="2"/>
  <c r="AP104" i="2"/>
  <c r="AL217" i="2"/>
  <c r="AO285" i="2"/>
  <c r="AO352" i="2"/>
  <c r="AP341" i="2"/>
  <c r="AQ547" i="2"/>
  <c r="AQ78" i="2"/>
  <c r="AP318" i="2"/>
  <c r="AP20" i="2"/>
  <c r="AQ483" i="2"/>
  <c r="AQ398" i="2"/>
  <c r="AP286" i="2"/>
  <c r="AO288" i="2"/>
  <c r="AQ112" i="2"/>
  <c r="AQ96" i="2"/>
  <c r="AP529" i="2"/>
  <c r="AQ172" i="2"/>
  <c r="AQ589" i="2"/>
  <c r="AQ559" i="2"/>
  <c r="AQ549" i="2"/>
  <c r="AQ551" i="2"/>
  <c r="AQ541" i="2"/>
  <c r="AP247" i="2"/>
  <c r="AQ586" i="2"/>
  <c r="AP500" i="2"/>
  <c r="AP223" i="2"/>
  <c r="AQ529" i="2"/>
  <c r="AQ179" i="2"/>
  <c r="AP459" i="2"/>
  <c r="AP219" i="2"/>
  <c r="AQ289" i="2"/>
  <c r="AQ279" i="2"/>
  <c r="AQ503" i="2"/>
  <c r="AQ136" i="2"/>
  <c r="AP358" i="2"/>
  <c r="AP160" i="2"/>
  <c r="AQ493" i="2"/>
  <c r="AQ123" i="2"/>
  <c r="AP315" i="2"/>
  <c r="AP123" i="2"/>
  <c r="AQ463" i="2"/>
  <c r="AQ93" i="2"/>
  <c r="AP152" i="2"/>
  <c r="AP214" i="2"/>
  <c r="AQ453" i="2"/>
  <c r="AQ83" i="2"/>
  <c r="AP114" i="2"/>
  <c r="AP204" i="2"/>
  <c r="AQ455" i="2"/>
  <c r="AQ85" i="2"/>
  <c r="AP125" i="2"/>
  <c r="AP206" i="2"/>
  <c r="AQ441" i="2"/>
  <c r="AQ75" i="2"/>
  <c r="AP590" i="2"/>
  <c r="AP196" i="2"/>
  <c r="D508" i="2"/>
  <c r="AL3" i="2"/>
  <c r="AL522" i="2"/>
  <c r="D33" i="2"/>
  <c r="D414" i="2"/>
  <c r="AL552" i="2"/>
  <c r="D250" i="2"/>
  <c r="D91" i="2"/>
  <c r="U91" i="2" s="1" a="1"/>
  <c r="U91" i="2" s="1"/>
  <c r="D535" i="2"/>
  <c r="U535" i="2" s="1" a="1"/>
  <c r="U535" i="2" s="1"/>
  <c r="D467" i="2"/>
  <c r="D187" i="2"/>
  <c r="U187" i="2" s="1" a="1"/>
  <c r="U187" i="2" s="1"/>
  <c r="D485" i="2"/>
  <c r="AL302" i="2"/>
  <c r="AL559" i="2"/>
  <c r="D326" i="2"/>
  <c r="U326" i="2" s="1" a="1"/>
  <c r="U326" i="2" s="1"/>
  <c r="AL20" i="2"/>
  <c r="D549" i="2"/>
  <c r="U549" i="2" s="1" a="1"/>
  <c r="U549" i="2" s="1"/>
  <c r="AL456" i="2"/>
  <c r="D490" i="2"/>
  <c r="U490" i="2" s="1" a="1"/>
  <c r="U490" i="2" s="1"/>
  <c r="AL482" i="2"/>
  <c r="AQ214" i="2"/>
  <c r="AL452" i="2"/>
  <c r="D571" i="2"/>
  <c r="AL32" i="2"/>
  <c r="AL369" i="2"/>
  <c r="D103" i="2"/>
  <c r="AL360" i="2"/>
  <c r="D196" i="2"/>
  <c r="U196" i="2" s="1" a="1"/>
  <c r="U196" i="2" s="1"/>
  <c r="D253" i="2"/>
  <c r="AL303" i="2"/>
  <c r="AL352" i="2"/>
  <c r="AO329" i="2"/>
  <c r="AQ528" i="2"/>
  <c r="D220" i="2"/>
  <c r="D155" i="2"/>
  <c r="U155" i="2" s="1" a="1"/>
  <c r="U155" i="2" s="1"/>
  <c r="AL543" i="2"/>
  <c r="AL327" i="2"/>
  <c r="D321" i="2"/>
  <c r="U321" i="2" s="1" a="1"/>
  <c r="U321" i="2" s="1"/>
  <c r="D403" i="2"/>
  <c r="AL289" i="2"/>
  <c r="AL467" i="2"/>
  <c r="AL288" i="2"/>
  <c r="D14" i="2"/>
  <c r="D551" i="2"/>
  <c r="AL416" i="2"/>
  <c r="AL318" i="2"/>
  <c r="D513" i="2"/>
  <c r="AO444" i="2"/>
  <c r="AO425" i="2"/>
  <c r="AP546" i="2"/>
  <c r="D453" i="2"/>
  <c r="U453" i="2" s="1" a="1"/>
  <c r="U453" i="2" s="1"/>
  <c r="D306" i="2"/>
  <c r="D268" i="2"/>
  <c r="U268" i="2" s="1" a="1"/>
  <c r="U268" i="2" s="1"/>
  <c r="AL475" i="2"/>
  <c r="D355" i="2"/>
  <c r="AL402" i="2"/>
  <c r="AO198" i="2"/>
  <c r="AQ462" i="2"/>
  <c r="D477" i="2"/>
  <c r="U477" i="2" s="1" a="1"/>
  <c r="U477" i="2" s="1"/>
  <c r="D454" i="2"/>
  <c r="U454" i="2" s="1" a="1"/>
  <c r="U454" i="2" s="1"/>
  <c r="AL524" i="2"/>
  <c r="AL107" i="2"/>
  <c r="AL469" i="2"/>
  <c r="AQ488" i="2"/>
  <c r="D252" i="2"/>
  <c r="U252" i="2" s="1" a="1"/>
  <c r="U252" i="2" s="1"/>
  <c r="AO340" i="2"/>
  <c r="AO431" i="2"/>
  <c r="AP203" i="2"/>
  <c r="D430" i="2"/>
  <c r="AO300" i="2"/>
  <c r="AO589" i="2"/>
  <c r="AP100" i="2"/>
  <c r="AL30" i="2"/>
  <c r="AO519" i="2"/>
  <c r="AQ504" i="2"/>
  <c r="AQ474" i="2"/>
  <c r="AQ442" i="2"/>
  <c r="AP439" i="2"/>
  <c r="AP434" i="2"/>
  <c r="AQ413" i="2"/>
  <c r="AQ578" i="2"/>
  <c r="AP423" i="2"/>
  <c r="AP418" i="2"/>
  <c r="AQ452" i="2"/>
  <c r="AQ424" i="2"/>
  <c r="AP343" i="2"/>
  <c r="AP338" i="2"/>
  <c r="AQ249" i="2"/>
  <c r="AQ239" i="2"/>
  <c r="AQ209" i="2"/>
  <c r="AQ199" i="2"/>
  <c r="AQ201" i="2"/>
  <c r="AQ191" i="2"/>
  <c r="AL251" i="2"/>
  <c r="D49" i="2"/>
  <c r="D60" i="2"/>
  <c r="U60" i="2" s="1" a="1"/>
  <c r="U60" i="2" s="1"/>
  <c r="D72" i="2"/>
  <c r="U72" i="2" s="1" a="1"/>
  <c r="U72" i="2" s="1"/>
  <c r="AL142" i="2"/>
  <c r="D166" i="2"/>
  <c r="AO533" i="2"/>
  <c r="AQ536" i="2"/>
  <c r="AP455" i="2"/>
  <c r="AL183" i="2"/>
  <c r="D282" i="2"/>
  <c r="D487" i="2"/>
  <c r="D499" i="2"/>
  <c r="AL21" i="2"/>
  <c r="AL307" i="2"/>
  <c r="AO568" i="2"/>
  <c r="AO135" i="2"/>
  <c r="AQ141" i="2"/>
  <c r="AO252" i="2"/>
  <c r="AQ579" i="2"/>
  <c r="AO185" i="2"/>
  <c r="AO511" i="2"/>
  <c r="AP438" i="2"/>
  <c r="AQ521" i="2"/>
  <c r="AQ257" i="2"/>
  <c r="AL207" i="2"/>
  <c r="D575" i="2"/>
  <c r="U575" i="2" s="1" a="1"/>
  <c r="U575" i="2" s="1"/>
  <c r="D132" i="2"/>
  <c r="U132" i="2" s="1" a="1"/>
  <c r="U132" i="2" s="1"/>
  <c r="D37" i="2"/>
  <c r="AL190" i="2"/>
  <c r="AL320" i="2"/>
  <c r="AO487" i="2"/>
  <c r="AO209" i="2"/>
  <c r="AQ340" i="2"/>
  <c r="AO171" i="2"/>
  <c r="AQ286" i="2"/>
  <c r="AO488" i="2"/>
  <c r="AO390" i="2"/>
  <c r="AO194" i="2"/>
  <c r="AQ133" i="2"/>
  <c r="AP264" i="2"/>
  <c r="D577" i="2"/>
  <c r="U577" i="2" s="1" a="1"/>
  <c r="U577" i="2" s="1"/>
  <c r="D272" i="2"/>
  <c r="U272" i="2" s="1" a="1"/>
  <c r="U272" i="2" s="1"/>
  <c r="AL77" i="2"/>
  <c r="AL338" i="2"/>
  <c r="AO540" i="2"/>
  <c r="AO420" i="2"/>
  <c r="AO31" i="2"/>
  <c r="AO402" i="2"/>
  <c r="AO68" i="2"/>
  <c r="AO453" i="2"/>
  <c r="AO150" i="2"/>
  <c r="AO65" i="2"/>
  <c r="AP320" i="2"/>
  <c r="AP317" i="2"/>
  <c r="AO119" i="2"/>
  <c r="AQ82" i="2"/>
  <c r="AO547" i="2"/>
  <c r="AO317" i="2"/>
  <c r="AO281" i="2"/>
  <c r="AQ460" i="2"/>
  <c r="AP508" i="2"/>
  <c r="AQ496" i="2"/>
  <c r="AQ26" i="2"/>
  <c r="AP254" i="2"/>
  <c r="AQ545" i="2"/>
  <c r="AQ195" i="2"/>
  <c r="AP523" i="2"/>
  <c r="AP251" i="2"/>
  <c r="AQ169" i="2"/>
  <c r="AQ150" i="2"/>
  <c r="AO265" i="2"/>
  <c r="AQ252" i="2"/>
  <c r="AO539" i="2"/>
  <c r="AO309" i="2"/>
  <c r="AO270" i="2"/>
  <c r="AQ423" i="2"/>
  <c r="AP380" i="2"/>
  <c r="AQ456" i="2"/>
  <c r="AP581" i="2"/>
  <c r="AP239" i="2"/>
  <c r="AQ537" i="2"/>
  <c r="AQ187" i="2"/>
  <c r="AP491" i="2"/>
  <c r="AP235" i="2"/>
  <c r="AQ104" i="2"/>
  <c r="AQ84" i="2"/>
  <c r="AO183" i="2"/>
  <c r="AQ366" i="2"/>
  <c r="AO168" i="2"/>
  <c r="AO214" i="2"/>
  <c r="AO190" i="2"/>
  <c r="AQ264" i="2"/>
  <c r="AP532" i="2"/>
  <c r="AQ458" i="2"/>
  <c r="AP291" i="2"/>
  <c r="AP144" i="2"/>
  <c r="AQ497" i="2"/>
  <c r="AQ127" i="2"/>
  <c r="AP331" i="2"/>
  <c r="AP139" i="2"/>
  <c r="AQ152" i="2"/>
  <c r="AQ131" i="2"/>
  <c r="AQ471" i="2"/>
  <c r="AQ101" i="2"/>
  <c r="AP154" i="2"/>
  <c r="AP222" i="2"/>
  <c r="AQ461" i="2"/>
  <c r="AQ91" i="2"/>
  <c r="AP146" i="2"/>
  <c r="AP212" i="2"/>
  <c r="AQ412" i="2"/>
  <c r="AQ61" i="2"/>
  <c r="AP558" i="2"/>
  <c r="AP182" i="2"/>
  <c r="AQ393" i="2"/>
  <c r="AQ51" i="2"/>
  <c r="AP538" i="2"/>
  <c r="AP172" i="2"/>
  <c r="AQ396" i="2"/>
  <c r="AQ53" i="2"/>
  <c r="AP542" i="2"/>
  <c r="AP174" i="2"/>
  <c r="AQ377" i="2"/>
  <c r="AQ43" i="2"/>
  <c r="AP501" i="2"/>
  <c r="AP156" i="2"/>
  <c r="AL277" i="2"/>
  <c r="D52" i="2"/>
  <c r="D101" i="2"/>
  <c r="AL129" i="2"/>
  <c r="AL163" i="2"/>
  <c r="D299" i="2"/>
  <c r="AO380" i="2"/>
  <c r="AO512" i="2"/>
  <c r="AP450" i="2"/>
  <c r="AL466" i="2"/>
  <c r="D555" i="2"/>
  <c r="U555" i="2" s="1" a="1"/>
  <c r="U555" i="2" s="1"/>
  <c r="D243" i="2"/>
  <c r="U243" i="2" s="1" a="1"/>
  <c r="U243" i="2" s="1"/>
  <c r="D181" i="2"/>
  <c r="AL281" i="2"/>
  <c r="AL181" i="2"/>
  <c r="AO569" i="2"/>
  <c r="AO339" i="2"/>
  <c r="AO445" i="2"/>
  <c r="AO321" i="2"/>
  <c r="AO592" i="2"/>
  <c r="AO400" i="2"/>
  <c r="AO287" i="2"/>
  <c r="AQ554" i="2"/>
  <c r="AQ171" i="2"/>
  <c r="AQ247" i="2"/>
  <c r="AL238" i="2"/>
  <c r="D246" i="2"/>
  <c r="D133" i="2"/>
  <c r="U133" i="2" s="1" a="1"/>
  <c r="U133" i="2" s="1"/>
  <c r="AL189" i="2"/>
  <c r="AL26" i="2"/>
  <c r="AL410" i="2"/>
  <c r="AO522" i="2"/>
  <c r="AO295" i="2"/>
  <c r="AO543" i="2"/>
  <c r="AO262" i="2"/>
  <c r="AO591" i="2"/>
  <c r="AO360" i="2"/>
  <c r="AO44" i="2"/>
  <c r="AQ272" i="2"/>
  <c r="AQ40" i="2"/>
  <c r="AP86" i="2"/>
  <c r="D359" i="2"/>
  <c r="U359" i="2" s="1" a="1"/>
  <c r="U359" i="2" s="1"/>
  <c r="D589" i="2"/>
  <c r="U589" i="2" s="1" a="1"/>
  <c r="U589" i="2" s="1"/>
  <c r="AL376" i="2"/>
  <c r="AL286" i="2"/>
  <c r="AO546" i="2"/>
  <c r="AO292" i="2"/>
  <c r="AQ484" i="2"/>
  <c r="AO274" i="2"/>
  <c r="AQ343" i="2"/>
  <c r="AO581" i="2"/>
  <c r="AO513" i="2"/>
  <c r="AQ467" i="2"/>
  <c r="AP111" i="2"/>
  <c r="AP109" i="2"/>
  <c r="AO335" i="2"/>
  <c r="AO590" i="2"/>
  <c r="AO446" i="2"/>
  <c r="AO85" i="2"/>
  <c r="AO165" i="2"/>
  <c r="AQ389" i="2"/>
  <c r="AP278" i="2"/>
  <c r="AQ500" i="2"/>
  <c r="AP528" i="2"/>
  <c r="AP167" i="2"/>
  <c r="AQ385" i="2"/>
  <c r="AQ47" i="2"/>
  <c r="AP520" i="2"/>
  <c r="AP164" i="2"/>
  <c r="AP435" i="2"/>
  <c r="AP398" i="2"/>
  <c r="AO327" i="2"/>
  <c r="AO542" i="2"/>
  <c r="AO438" i="2"/>
  <c r="AO69" i="2"/>
  <c r="AO149" i="2"/>
  <c r="AQ357" i="2"/>
  <c r="AP94" i="2"/>
  <c r="AQ468" i="2"/>
  <c r="AP496" i="2"/>
  <c r="AP151" i="2"/>
  <c r="AQ369" i="2"/>
  <c r="AQ39" i="2"/>
  <c r="AP488" i="2"/>
  <c r="AP148" i="2"/>
  <c r="AP307" i="2"/>
  <c r="AP233" i="2"/>
  <c r="AO279" i="2"/>
  <c r="AO435" i="2"/>
  <c r="AO398" i="2"/>
  <c r="AO60" i="2"/>
  <c r="AO105" i="2"/>
  <c r="AQ284" i="2"/>
  <c r="AO211" i="2"/>
  <c r="AQ306" i="2"/>
  <c r="AP400" i="2"/>
  <c r="AP120" i="2"/>
  <c r="AQ165" i="2"/>
  <c r="AQ48" i="2"/>
  <c r="AP397" i="2"/>
  <c r="AP116" i="2"/>
  <c r="AP390" i="2"/>
  <c r="AP347" i="2"/>
  <c r="AQ62" i="2"/>
  <c r="AQ22" i="2"/>
  <c r="AP344" i="2"/>
  <c r="AP64" i="2"/>
  <c r="AQ435" i="2"/>
  <c r="AQ12" i="2"/>
  <c r="AP325" i="2"/>
  <c r="AP113" i="2"/>
  <c r="AQ374" i="2"/>
  <c r="AP557" i="2"/>
  <c r="AP260" i="2"/>
  <c r="AP83" i="2"/>
  <c r="AQ355" i="2"/>
  <c r="AP537" i="2"/>
  <c r="AP225" i="2"/>
  <c r="AP73" i="2"/>
  <c r="AQ358" i="2"/>
  <c r="AP541" i="2"/>
  <c r="AP241" i="2"/>
  <c r="AP75" i="2"/>
  <c r="AQ339" i="2"/>
  <c r="AP505" i="2"/>
  <c r="AP165" i="2"/>
  <c r="AP65" i="2"/>
  <c r="D344" i="2"/>
  <c r="U344" i="2" s="1" a="1"/>
  <c r="U344" i="2" s="1"/>
  <c r="D61" i="2"/>
  <c r="U61" i="2" s="1" a="1"/>
  <c r="U61" i="2" s="1"/>
  <c r="D393" i="2"/>
  <c r="AL443" i="2"/>
  <c r="AL528" i="2"/>
  <c r="AL215" i="2"/>
  <c r="AO22" i="2"/>
  <c r="AQ538" i="2"/>
  <c r="AL569" i="2"/>
  <c r="AL353" i="2"/>
  <c r="D373" i="2"/>
  <c r="D342" i="2"/>
  <c r="U342" i="2" s="1" a="1"/>
  <c r="U342" i="2" s="1"/>
  <c r="AL521" i="2"/>
  <c r="AL342" i="2"/>
  <c r="AL49" i="2"/>
  <c r="AO468" i="2"/>
  <c r="AO114" i="2"/>
  <c r="AO450" i="2"/>
  <c r="AO93" i="2"/>
  <c r="AO429" i="2"/>
  <c r="AO233" i="2"/>
  <c r="AO238" i="2"/>
  <c r="AP372" i="2"/>
  <c r="AP427" i="2"/>
  <c r="AL6" i="2"/>
  <c r="AL11" i="2"/>
  <c r="D3" i="2"/>
  <c r="D371" i="2"/>
  <c r="U371" i="2" s="1" a="1"/>
  <c r="U371" i="2" s="1"/>
  <c r="AL368" i="2"/>
  <c r="AL308" i="2"/>
  <c r="AL491" i="2"/>
  <c r="AO428" i="2"/>
  <c r="AO47" i="2"/>
  <c r="AO410" i="2"/>
  <c r="AO13" i="2"/>
  <c r="AO515" i="2"/>
  <c r="AO251" i="2"/>
  <c r="AO97" i="2"/>
  <c r="AP384" i="2"/>
  <c r="AP381" i="2"/>
  <c r="D295" i="2"/>
  <c r="D286" i="2"/>
  <c r="D36" i="2"/>
  <c r="U36" i="2" s="1" a="1"/>
  <c r="U36" i="2" s="1"/>
  <c r="AL178" i="2"/>
  <c r="AL378" i="2"/>
  <c r="AO471" i="2"/>
  <c r="AO191" i="2"/>
  <c r="AQ430" i="2"/>
  <c r="AO139" i="2"/>
  <c r="AQ143" i="2"/>
  <c r="AO480" i="2"/>
  <c r="AO358" i="2"/>
  <c r="AO158" i="2"/>
  <c r="AQ427" i="2"/>
  <c r="AP360" i="2"/>
  <c r="AO98" i="2"/>
  <c r="AO417" i="2"/>
  <c r="AO318" i="2"/>
  <c r="AQ344" i="2"/>
  <c r="AO25" i="2"/>
  <c r="AQ382" i="2"/>
  <c r="AO76" i="2"/>
  <c r="AQ432" i="2"/>
  <c r="AP209" i="2"/>
  <c r="AP71" i="2"/>
  <c r="AQ347" i="2"/>
  <c r="AP521" i="2"/>
  <c r="AP193" i="2"/>
  <c r="AP69" i="2"/>
  <c r="AP495" i="2"/>
  <c r="AP474" i="2"/>
  <c r="AO103" i="2"/>
  <c r="AO582" i="2"/>
  <c r="AO310" i="2"/>
  <c r="AQ146" i="2"/>
  <c r="AO17" i="2"/>
  <c r="AQ318" i="2"/>
  <c r="AO170" i="2"/>
  <c r="AQ400" i="2"/>
  <c r="AP136" i="2"/>
  <c r="AP63" i="2"/>
  <c r="AQ331" i="2"/>
  <c r="AP489" i="2"/>
  <c r="AP130" i="2"/>
  <c r="AP61" i="2"/>
  <c r="AP431" i="2"/>
  <c r="AP410" i="2"/>
  <c r="AO23" i="2"/>
  <c r="AO413" i="2"/>
  <c r="AO266" i="2"/>
  <c r="AQ311" i="2"/>
  <c r="AO48" i="2"/>
  <c r="AQ277" i="2"/>
  <c r="AO90" i="2"/>
  <c r="AQ584" i="2"/>
  <c r="AP560" i="2"/>
  <c r="AP23" i="2"/>
  <c r="AQ250" i="2"/>
  <c r="AP329" i="2"/>
  <c r="AP556" i="2"/>
  <c r="AP21" i="2"/>
  <c r="AP183" i="2"/>
  <c r="AP155" i="2"/>
  <c r="AQ198" i="2"/>
  <c r="AP531" i="2"/>
  <c r="AP480" i="2"/>
  <c r="AP54" i="2"/>
  <c r="AQ178" i="2"/>
  <c r="AP494" i="2"/>
  <c r="AP522" i="2"/>
  <c r="AP44" i="2"/>
  <c r="AQ137" i="2"/>
  <c r="AP371" i="2"/>
  <c r="AP463" i="2"/>
  <c r="AP14" i="2"/>
  <c r="AQ116" i="2"/>
  <c r="AP334" i="2"/>
  <c r="AP442" i="2"/>
  <c r="AP4" i="2"/>
  <c r="AQ120" i="2"/>
  <c r="AP339" i="2"/>
  <c r="AP447" i="2"/>
  <c r="AP6" i="2"/>
  <c r="AQ100" i="2"/>
  <c r="AP302" i="2"/>
  <c r="AP426" i="2"/>
  <c r="U440" i="2" a="1"/>
  <c r="U406" i="2" a="1"/>
  <c r="U460" i="2" a="1"/>
  <c r="U31" i="2" a="1"/>
  <c r="U178" i="2" a="1"/>
  <c r="U27" i="2" a="1"/>
  <c r="U287" i="2" a="1"/>
  <c r="U125" i="2" a="1"/>
  <c r="U404" i="2" a="1"/>
  <c r="U89" i="2" a="1"/>
  <c r="U211" i="2" a="1"/>
  <c r="U514" i="2" a="1"/>
  <c r="U85" i="2" a="1"/>
  <c r="U45" i="2" a="1"/>
  <c r="U156" i="2" a="1"/>
  <c r="U348" i="2" a="1"/>
  <c r="U503" i="2" a="1"/>
  <c r="U18" i="2" a="1"/>
  <c r="U498" i="2" a="1"/>
  <c r="U198" i="2" a="1"/>
  <c r="U90" i="2" a="1"/>
  <c r="U183" i="2" a="1"/>
  <c r="U53" i="2" a="1"/>
  <c r="U519" i="2" a="1"/>
  <c r="U5" i="2" a="1"/>
  <c r="U262" i="2" a="1"/>
  <c r="U255" i="2" a="1"/>
  <c r="U397" i="2" a="1"/>
  <c r="U245" i="2" a="1"/>
  <c r="U39" i="2" a="1"/>
  <c r="U204" i="2" a="1"/>
  <c r="U470" i="2" a="1"/>
  <c r="U330" i="2" a="1"/>
  <c r="U130" i="2" a="1"/>
  <c r="U528" i="2" a="1"/>
  <c r="U544" i="2" a="1"/>
  <c r="U357" i="2" a="1"/>
  <c r="U274" i="2" a="1"/>
  <c r="U153" i="2" a="1"/>
  <c r="U444" i="2" a="1"/>
  <c r="U361" i="2" a="1"/>
  <c r="U44" i="2" a="1"/>
  <c r="U137" i="2" a="1"/>
  <c r="U225" i="2" a="1"/>
  <c r="U368" i="2" a="1"/>
  <c r="U23" i="2" a="1"/>
  <c r="U12" i="2" a="1"/>
  <c r="U536" i="2" a="1"/>
  <c r="U82" i="2" a="1"/>
  <c r="U496" i="2" a="1"/>
  <c r="U165" i="2" a="1"/>
  <c r="U479" i="2" a="1"/>
  <c r="U312" i="2" a="1"/>
  <c r="U412" i="2" a="1"/>
  <c r="U434" i="2" a="1"/>
  <c r="U419" i="2" a="1"/>
  <c r="U428" i="2" a="1"/>
  <c r="U484" i="2" a="1"/>
  <c r="U271" i="2" a="1"/>
  <c r="U466" i="2" a="1"/>
  <c r="U327" i="2" a="1"/>
  <c r="U297" i="2" a="1"/>
  <c r="U47" i="2" a="1"/>
  <c r="U583" i="2" a="1"/>
  <c r="U9" i="2" a="1"/>
  <c r="U20" i="2" a="1"/>
  <c r="U236" i="2" a="1"/>
  <c r="U385" i="2" a="1"/>
  <c r="U305" i="2" a="1"/>
  <c r="U531" i="2" a="1"/>
  <c r="U232" i="2" a="1"/>
  <c r="U476" i="2" a="1"/>
  <c r="U354" i="2" a="1"/>
  <c r="U543" i="2" a="1"/>
  <c r="U173" i="2" a="1"/>
  <c r="U73" i="2" a="1"/>
  <c r="U565" i="2" a="1"/>
  <c r="U563" i="2" a="1"/>
  <c r="U184" i="2" a="1"/>
  <c r="U159" i="2" a="1"/>
  <c r="U432" i="2" a="1"/>
  <c r="U51" i="2" a="1"/>
  <c r="U138" i="2" a="1"/>
  <c r="U367" i="2" a="1"/>
  <c r="U210" i="2" a="1"/>
  <c r="U105" i="2" a="1"/>
  <c r="U96" i="2" a="1"/>
  <c r="U478" i="2" a="1"/>
  <c r="U216" i="2" a="1"/>
  <c r="U79" i="2" a="1"/>
  <c r="U13" i="2" a="1"/>
  <c r="U300" i="2" a="1"/>
  <c r="U438" i="2" a="1"/>
  <c r="U336" i="2" a="1"/>
  <c r="U8" i="2" a="1"/>
  <c r="U78" i="2" a="1"/>
  <c r="U431" i="2" a="1"/>
  <c r="U390" i="2" a="1"/>
  <c r="U251" i="2" a="1"/>
  <c r="U308" i="2" a="1"/>
  <c r="U104" i="2" a="1"/>
  <c r="U228" i="2" a="1"/>
  <c r="U108" i="2" a="1"/>
  <c r="U323" i="2" a="1"/>
  <c r="U521" i="2" a="1"/>
  <c r="U121" i="2" a="1"/>
  <c r="U562" i="2" a="1"/>
  <c r="U106" i="2" a="1"/>
  <c r="U291" i="2" a="1"/>
  <c r="U68" i="2" a="1"/>
  <c r="U500" i="2" a="1"/>
  <c r="U590" i="2" a="1"/>
  <c r="U421" i="2" a="1"/>
  <c r="U135" i="2" a="1"/>
  <c r="U180" i="2" a="1"/>
  <c r="U279" i="2" a="1"/>
  <c r="U239" i="2" a="1"/>
  <c r="U147" i="2" a="1"/>
  <c r="U77" i="2" a="1"/>
  <c r="U214" i="2" a="1"/>
  <c r="U461" i="2" a="1"/>
  <c r="U145" i="2" a="1"/>
  <c r="U425" i="2" a="1"/>
  <c r="U254" i="2" a="1"/>
  <c r="U169" i="2" a="1"/>
  <c r="U515" i="2" a="1"/>
  <c r="U208" i="2" a="1"/>
  <c r="U171" i="2" a="1"/>
  <c r="U576" i="2" a="1"/>
  <c r="U518" i="2" a="1"/>
  <c r="U175" i="2" a="1"/>
  <c r="U256" i="2" a="1"/>
  <c r="U80" i="2" a="1"/>
  <c r="U340" i="2" a="1"/>
  <c r="U266" i="2" a="1"/>
  <c r="U464" i="2" a="1"/>
  <c r="U119" i="2" a="1"/>
  <c r="U234" i="2" a="1"/>
  <c r="U570" i="2" a="1"/>
  <c r="U482" i="2" a="1"/>
  <c r="U387" i="2" a="1"/>
  <c r="U117" i="2" a="1"/>
  <c r="U349" i="2" a="1"/>
  <c r="U424" i="2" a="1"/>
  <c r="U396" i="2" a="1"/>
  <c r="U573" i="2" a="1"/>
  <c r="U383" i="2" a="1"/>
  <c r="U584" i="2" a="1"/>
  <c r="U341" i="2" a="1"/>
  <c r="U448" i="2" a="1"/>
  <c r="U167" i="2" a="1"/>
  <c r="U426" i="2" a="1"/>
  <c r="U38" i="2" a="1"/>
  <c r="U144" i="2" a="1"/>
  <c r="U141" i="2" a="1"/>
  <c r="U292" i="2" a="1"/>
  <c r="U456" i="2" a="1"/>
  <c r="U247" i="2" a="1"/>
  <c r="U237" i="2" a="1"/>
  <c r="U197" i="2" a="1"/>
  <c r="U56" i="2" a="1"/>
  <c r="U568" i="2" a="1"/>
  <c r="U177" i="2" a="1"/>
  <c r="U469" i="2" a="1"/>
  <c r="U429" i="2" a="1"/>
  <c r="U15" i="2" a="1"/>
  <c r="U439" i="2" a="1"/>
  <c r="U574" i="2" a="1"/>
  <c r="U502" i="2" a="1"/>
  <c r="U48" i="2" a="1"/>
  <c r="U408" i="2" a="1"/>
  <c r="U517" i="2" a="1"/>
  <c r="U93" i="2" a="1"/>
  <c r="U417" i="2" a="1"/>
  <c r="U475" i="2" a="1"/>
  <c r="U465" i="2" a="1"/>
  <c r="U413" i="2" a="1"/>
  <c r="U201" i="2" a="1"/>
  <c r="U35" i="2" a="1"/>
  <c r="U353" i="2" a="1"/>
  <c r="U364" i="2" a="1"/>
  <c r="U492" i="2" a="1"/>
  <c r="U260" i="2" a="1"/>
  <c r="U136" i="2" a="1"/>
  <c r="U100" i="2" a="1"/>
  <c r="U494" i="2" a="1"/>
  <c r="U273" i="2" a="1"/>
  <c r="U504" i="2" a="1"/>
  <c r="U463" i="2" a="1"/>
  <c r="U450" i="2" a="1"/>
  <c r="U285" i="2" a="1"/>
  <c r="U190" i="2" a="1"/>
  <c r="U281" i="2" a="1"/>
  <c r="U278" i="2" a="1"/>
  <c r="U114" i="2" a="1"/>
  <c r="U205" i="2" a="1"/>
  <c r="U127" i="2" a="1"/>
  <c r="U249" i="2" a="1"/>
  <c r="U331" i="2" a="1"/>
  <c r="U280" i="2" a="1"/>
  <c r="U332" i="2" a="1"/>
  <c r="U530" i="2" a="1"/>
  <c r="U275" i="2" a="1"/>
  <c r="U267" i="2" a="1"/>
  <c r="U24" i="2" a="1"/>
  <c r="U88" i="2" a="1"/>
  <c r="U311" i="2" a="1"/>
  <c r="U310" i="2" a="1"/>
  <c r="U506" i="2" a="1"/>
  <c r="U75" i="2" a="1"/>
  <c r="U451" i="2" a="1"/>
  <c r="U123" i="2" a="1"/>
  <c r="U436" i="2" a="1"/>
  <c r="U529" i="2" a="1"/>
  <c r="U94" i="2" a="1"/>
  <c r="U455" i="2" a="1"/>
  <c r="U163" i="2" a="1"/>
  <c r="U320" i="2" a="1"/>
  <c r="U416" i="2" a="1"/>
  <c r="U495" i="2" a="1"/>
  <c r="U2" i="2" a="1"/>
  <c r="U384" i="2" a="1"/>
  <c r="U264" i="2" a="1"/>
  <c r="U115" i="2" a="1"/>
  <c r="U83" i="2" a="1"/>
  <c r="U189" i="2" a="1"/>
  <c r="U409" i="2" a="1"/>
  <c r="U588" i="2" a="1"/>
  <c r="U433" i="2" a="1"/>
  <c r="U558" i="2" a="1"/>
  <c r="U162" i="2" a="1"/>
  <c r="U557" i="2" a="1"/>
  <c r="U221" i="2" a="1"/>
  <c r="U46" i="2" a="1"/>
  <c r="U11" i="2" a="1"/>
  <c r="U593" i="2" a="1"/>
  <c r="U218" i="2" a="1"/>
  <c r="U375" i="2" a="1"/>
  <c r="U400" i="2" a="1"/>
  <c r="U203" i="2" a="1"/>
  <c r="U541" i="2" a="1"/>
  <c r="U87" i="2" a="1"/>
  <c r="U491" i="2" a="1"/>
  <c r="U497" i="2" a="1"/>
  <c r="U269" i="2" a="1"/>
  <c r="U111" i="2" a="1"/>
  <c r="U148" i="2" a="1"/>
  <c r="U158" i="2" a="1"/>
  <c r="U441" i="2" a="1"/>
  <c r="U142" i="2" a="1"/>
  <c r="U241" i="2" a="1"/>
  <c r="U55" i="2" a="1"/>
  <c r="U238" i="2" a="1"/>
  <c r="U560" i="2" a="1"/>
  <c r="U98" i="2" a="1"/>
  <c r="U559" i="2" a="1"/>
  <c r="U347" i="2" a="1"/>
  <c r="U508" i="2" a="1"/>
  <c r="U33" i="2" a="1"/>
  <c r="U414" i="2" a="1"/>
  <c r="U250" i="2" a="1"/>
  <c r="U467" i="2" a="1"/>
  <c r="U485" i="2" a="1"/>
  <c r="U571" i="2" a="1"/>
  <c r="U103" i="2" a="1"/>
  <c r="U253" i="2" a="1"/>
  <c r="U220" i="2" a="1"/>
  <c r="U403" i="2" a="1"/>
  <c r="U14" i="2" a="1"/>
  <c r="U551" i="2" a="1"/>
  <c r="U513" i="2" a="1"/>
  <c r="U306" i="2" a="1"/>
  <c r="U355" i="2" a="1"/>
  <c r="U430" i="2" a="1"/>
  <c r="U49" i="2" a="1"/>
  <c r="U166" i="2" a="1"/>
  <c r="U282" i="2" a="1"/>
  <c r="U487" i="2" a="1"/>
  <c r="U499" i="2" a="1"/>
  <c r="U37" i="2" a="1"/>
  <c r="U52" i="2" a="1"/>
  <c r="U101" i="2" a="1"/>
  <c r="U299" i="2" a="1"/>
  <c r="U181" i="2" a="1"/>
  <c r="U246" i="2" a="1"/>
  <c r="U393" i="2" a="1"/>
  <c r="U373" i="2" a="1"/>
  <c r="U3" i="2" a="1"/>
  <c r="U295" i="2" a="1"/>
  <c r="U286" i="2" a="1"/>
  <c r="U528" i="2" l="1"/>
  <c r="U130" i="2"/>
  <c r="U330" i="2"/>
  <c r="U470" i="2"/>
  <c r="U204" i="2"/>
  <c r="U39" i="2"/>
  <c r="U245" i="2"/>
  <c r="U397" i="2"/>
  <c r="U255" i="2"/>
  <c r="U262" i="2"/>
  <c r="U5" i="2"/>
  <c r="U519" i="2"/>
  <c r="U53" i="2"/>
  <c r="U183" i="2"/>
  <c r="U90" i="2"/>
  <c r="U198" i="2"/>
  <c r="U498" i="2"/>
  <c r="U18" i="2"/>
  <c r="U503" i="2"/>
  <c r="U348" i="2"/>
  <c r="U156" i="2"/>
  <c r="U45" i="2"/>
  <c r="U85" i="2"/>
  <c r="U514" i="2"/>
  <c r="U211" i="2"/>
  <c r="U89" i="2"/>
  <c r="U404" i="2"/>
  <c r="U125" i="2"/>
  <c r="U287" i="2"/>
  <c r="U27" i="2"/>
  <c r="U178" i="2"/>
  <c r="U31" i="2"/>
  <c r="U460" i="2"/>
  <c r="U406" i="2"/>
  <c r="U440" i="2"/>
  <c r="U286" i="2"/>
  <c r="U295" i="2"/>
  <c r="U3" i="2"/>
  <c r="U373" i="2"/>
  <c r="U393" i="2"/>
  <c r="U246" i="2"/>
  <c r="U181" i="2"/>
  <c r="U299" i="2"/>
  <c r="U101" i="2"/>
  <c r="U52" i="2"/>
  <c r="U37" i="2"/>
  <c r="U499" i="2"/>
  <c r="U487" i="2"/>
  <c r="U282" i="2"/>
  <c r="U166" i="2"/>
  <c r="U49" i="2"/>
  <c r="U430" i="2"/>
  <c r="U355" i="2"/>
  <c r="U306" i="2"/>
  <c r="U513" i="2"/>
  <c r="U551" i="2"/>
  <c r="U14" i="2"/>
  <c r="U403" i="2"/>
  <c r="U220" i="2"/>
  <c r="U253" i="2"/>
  <c r="U103" i="2"/>
  <c r="U571" i="2"/>
  <c r="U485" i="2"/>
  <c r="U467" i="2"/>
  <c r="U250" i="2"/>
  <c r="U414" i="2"/>
  <c r="U33" i="2"/>
  <c r="U508" i="2"/>
  <c r="U347" i="2"/>
  <c r="U559" i="2"/>
  <c r="U98" i="2"/>
  <c r="U560" i="2"/>
  <c r="U238" i="2"/>
  <c r="U55" i="2"/>
  <c r="U241" i="2"/>
  <c r="U142" i="2"/>
  <c r="U441" i="2"/>
  <c r="U158" i="2"/>
  <c r="U148" i="2"/>
  <c r="U111" i="2"/>
  <c r="U269" i="2"/>
  <c r="U497" i="2"/>
  <c r="U491" i="2"/>
  <c r="U87" i="2"/>
  <c r="U541" i="2"/>
  <c r="U203" i="2"/>
  <c r="U400" i="2"/>
  <c r="U375" i="2"/>
  <c r="U218" i="2"/>
  <c r="U593" i="2"/>
  <c r="U11" i="2"/>
  <c r="U46" i="2"/>
  <c r="U221" i="2"/>
  <c r="U557" i="2"/>
  <c r="U162" i="2"/>
  <c r="U558" i="2"/>
  <c r="U433" i="2"/>
  <c r="U588" i="2"/>
  <c r="U409" i="2"/>
  <c r="U189" i="2"/>
  <c r="U83" i="2"/>
  <c r="U115" i="2"/>
  <c r="U264" i="2"/>
  <c r="U384" i="2"/>
  <c r="U2" i="2"/>
  <c r="U495" i="2"/>
  <c r="U416" i="2"/>
  <c r="U320" i="2"/>
  <c r="U163" i="2"/>
  <c r="U455" i="2"/>
  <c r="U94" i="2"/>
  <c r="U529" i="2"/>
  <c r="U436" i="2"/>
  <c r="U123" i="2"/>
  <c r="U451" i="2"/>
  <c r="U75" i="2"/>
  <c r="U506" i="2"/>
  <c r="U310" i="2"/>
  <c r="U311" i="2"/>
  <c r="U88" i="2"/>
  <c r="U24" i="2"/>
  <c r="U267" i="2"/>
  <c r="U275" i="2"/>
  <c r="U530" i="2"/>
  <c r="U332" i="2"/>
  <c r="U280" i="2"/>
  <c r="U331" i="2"/>
  <c r="U249" i="2"/>
  <c r="U127" i="2"/>
  <c r="U205" i="2"/>
  <c r="U114" i="2"/>
  <c r="U278" i="2"/>
  <c r="U281" i="2"/>
  <c r="U190" i="2"/>
  <c r="U285" i="2"/>
  <c r="U450" i="2"/>
  <c r="U463" i="2"/>
  <c r="U504" i="2"/>
  <c r="U273" i="2"/>
  <c r="U494" i="2"/>
  <c r="U100" i="2"/>
  <c r="U136" i="2"/>
  <c r="U260" i="2"/>
  <c r="U492" i="2"/>
  <c r="U364" i="2"/>
  <c r="U353" i="2"/>
  <c r="U35" i="2"/>
  <c r="U201" i="2"/>
  <c r="U413" i="2"/>
  <c r="U465" i="2"/>
  <c r="U475" i="2"/>
  <c r="U417" i="2"/>
  <c r="U93" i="2"/>
  <c r="U517" i="2"/>
  <c r="U408" i="2"/>
  <c r="U48" i="2"/>
  <c r="U502" i="2"/>
  <c r="U574" i="2"/>
  <c r="U439" i="2"/>
  <c r="U15" i="2"/>
  <c r="U429" i="2"/>
  <c r="U469" i="2"/>
  <c r="U177" i="2"/>
  <c r="U568" i="2"/>
  <c r="U56" i="2"/>
  <c r="U197" i="2"/>
  <c r="U237" i="2"/>
  <c r="U247" i="2"/>
  <c r="U456" i="2"/>
  <c r="U292" i="2"/>
  <c r="U141" i="2"/>
  <c r="U144" i="2"/>
  <c r="U38" i="2"/>
  <c r="U426" i="2"/>
  <c r="U167" i="2"/>
  <c r="U448" i="2"/>
  <c r="U341" i="2"/>
  <c r="U584" i="2"/>
  <c r="U383" i="2"/>
  <c r="U573" i="2"/>
  <c r="U396" i="2"/>
  <c r="U424" i="2"/>
  <c r="U349" i="2"/>
  <c r="U117" i="2"/>
  <c r="U387" i="2"/>
  <c r="U482" i="2"/>
  <c r="U570" i="2"/>
  <c r="U234" i="2"/>
  <c r="U119" i="2"/>
  <c r="U464" i="2"/>
  <c r="U266" i="2"/>
  <c r="U340" i="2"/>
  <c r="U80" i="2"/>
  <c r="U256" i="2"/>
  <c r="U175" i="2"/>
  <c r="U518" i="2"/>
  <c r="U576" i="2"/>
  <c r="U171" i="2"/>
  <c r="U208" i="2"/>
  <c r="U515" i="2"/>
  <c r="U169" i="2"/>
  <c r="U254" i="2"/>
  <c r="U425" i="2"/>
  <c r="U145" i="2"/>
  <c r="U461" i="2"/>
  <c r="U214" i="2"/>
  <c r="U77" i="2"/>
  <c r="U147" i="2"/>
  <c r="U239" i="2"/>
  <c r="U279" i="2"/>
  <c r="U180" i="2"/>
  <c r="U135" i="2"/>
  <c r="U421" i="2"/>
  <c r="U590" i="2"/>
  <c r="U500" i="2"/>
  <c r="U68" i="2"/>
  <c r="U291" i="2"/>
  <c r="U106" i="2"/>
  <c r="U562" i="2"/>
  <c r="U121" i="2"/>
  <c r="U521" i="2"/>
  <c r="U323" i="2"/>
  <c r="U108" i="2"/>
  <c r="U228" i="2"/>
  <c r="U104" i="2"/>
  <c r="U308" i="2"/>
  <c r="U251" i="2"/>
  <c r="U390" i="2"/>
  <c r="U431" i="2"/>
  <c r="U78" i="2"/>
  <c r="U8" i="2"/>
  <c r="U336" i="2"/>
  <c r="U438" i="2"/>
  <c r="U300" i="2"/>
  <c r="U13" i="2"/>
  <c r="U79" i="2"/>
  <c r="U216" i="2"/>
  <c r="U478" i="2"/>
  <c r="U96" i="2"/>
  <c r="U105" i="2"/>
  <c r="U210" i="2"/>
  <c r="U367" i="2"/>
  <c r="U138" i="2"/>
  <c r="U51" i="2"/>
  <c r="U432" i="2"/>
  <c r="U159" i="2"/>
  <c r="U184" i="2"/>
  <c r="U563" i="2"/>
  <c r="U565" i="2"/>
  <c r="U73" i="2"/>
  <c r="U173" i="2"/>
  <c r="U543" i="2"/>
  <c r="U354" i="2"/>
  <c r="U476" i="2"/>
  <c r="U232" i="2"/>
  <c r="U531" i="2"/>
  <c r="U305" i="2"/>
  <c r="U385" i="2"/>
  <c r="U236" i="2"/>
  <c r="U20" i="2"/>
  <c r="U9" i="2"/>
  <c r="U583" i="2"/>
  <c r="U47" i="2"/>
  <c r="U297" i="2"/>
  <c r="U327" i="2"/>
  <c r="U466" i="2"/>
  <c r="U271" i="2"/>
  <c r="U484" i="2"/>
  <c r="U428" i="2"/>
  <c r="U419" i="2"/>
  <c r="U434" i="2"/>
  <c r="U412" i="2"/>
  <c r="U312" i="2"/>
  <c r="U479" i="2"/>
  <c r="U165" i="2"/>
  <c r="U496" i="2"/>
  <c r="U82" i="2"/>
  <c r="U536" i="2"/>
  <c r="U12" i="2"/>
  <c r="U23" i="2"/>
  <c r="U368" i="2"/>
  <c r="U225" i="2"/>
  <c r="U137" i="2"/>
  <c r="U44" i="2"/>
  <c r="U361" i="2"/>
  <c r="U444" i="2"/>
  <c r="U153" i="2"/>
  <c r="U274" i="2"/>
  <c r="U357" i="2"/>
  <c r="U544" i="2"/>
  <c r="AE36" i="2"/>
  <c r="O36" i="2"/>
  <c r="AD36" i="2"/>
  <c r="H36" i="2"/>
  <c r="J36" i="2"/>
  <c r="I36" i="2"/>
  <c r="G36" i="2"/>
  <c r="AI36" i="2"/>
  <c r="AC36" i="2"/>
  <c r="Q36" i="2"/>
  <c r="P36" i="2"/>
  <c r="E36" i="2"/>
  <c r="H286" i="2"/>
  <c r="AD286" i="2"/>
  <c r="G286" i="2"/>
  <c r="O286" i="2"/>
  <c r="I286" i="2"/>
  <c r="AC286" i="2"/>
  <c r="AI286" i="2"/>
  <c r="J286" i="2"/>
  <c r="P286" i="2"/>
  <c r="E286" i="2"/>
  <c r="AE286" i="2"/>
  <c r="Q286" i="2"/>
  <c r="P295" i="2"/>
  <c r="J295" i="2"/>
  <c r="H295" i="2"/>
  <c r="O295" i="2"/>
  <c r="G295" i="2"/>
  <c r="AC295" i="2"/>
  <c r="I295" i="2"/>
  <c r="AI295" i="2"/>
  <c r="AD295" i="2"/>
  <c r="Q295" i="2"/>
  <c r="AE295" i="2"/>
  <c r="E295" i="2"/>
  <c r="AE371" i="2"/>
  <c r="P371" i="2"/>
  <c r="I371" i="2"/>
  <c r="O371" i="2"/>
  <c r="AI371" i="2"/>
  <c r="G371" i="2"/>
  <c r="AC371" i="2"/>
  <c r="H371" i="2"/>
  <c r="AD371" i="2"/>
  <c r="J371" i="2"/>
  <c r="E371" i="2"/>
  <c r="Q371" i="2"/>
  <c r="AE3" i="2"/>
  <c r="AI3" i="2"/>
  <c r="G3" i="2"/>
  <c r="P3" i="2"/>
  <c r="AD3" i="2"/>
  <c r="I3" i="2"/>
  <c r="O3" i="2"/>
  <c r="J3" i="2"/>
  <c r="H3" i="2"/>
  <c r="AC3" i="2"/>
  <c r="Q3" i="2"/>
  <c r="E3" i="2"/>
  <c r="AI342" i="2"/>
  <c r="H342" i="2"/>
  <c r="G342" i="2"/>
  <c r="P342" i="2"/>
  <c r="AD342" i="2"/>
  <c r="AC342" i="2"/>
  <c r="AE342" i="2"/>
  <c r="I342" i="2"/>
  <c r="J342" i="2"/>
  <c r="E342" i="2"/>
  <c r="O342" i="2"/>
  <c r="Q342" i="2"/>
  <c r="P373" i="2"/>
  <c r="J373" i="2"/>
  <c r="AE373" i="2"/>
  <c r="AD373" i="2"/>
  <c r="AC373" i="2"/>
  <c r="G373" i="2"/>
  <c r="H373" i="2"/>
  <c r="AI373" i="2"/>
  <c r="I373" i="2"/>
  <c r="E373" i="2"/>
  <c r="O373" i="2"/>
  <c r="Q373" i="2"/>
  <c r="O393" i="2"/>
  <c r="H393" i="2"/>
  <c r="AC393" i="2"/>
  <c r="P393" i="2"/>
  <c r="G393" i="2"/>
  <c r="J393" i="2"/>
  <c r="AI393" i="2"/>
  <c r="AE393" i="2"/>
  <c r="AD393" i="2"/>
  <c r="I393" i="2"/>
  <c r="Q393" i="2"/>
  <c r="E393" i="2"/>
  <c r="J61" i="2"/>
  <c r="H61" i="2"/>
  <c r="O61" i="2"/>
  <c r="G61" i="2"/>
  <c r="P61" i="2"/>
  <c r="I61" i="2"/>
  <c r="AE61" i="2"/>
  <c r="AI61" i="2"/>
  <c r="AD61" i="2"/>
  <c r="AC61" i="2"/>
  <c r="E61" i="2"/>
  <c r="Q61" i="2"/>
  <c r="G344" i="2"/>
  <c r="AE344" i="2"/>
  <c r="O344" i="2"/>
  <c r="I344" i="2"/>
  <c r="H344" i="2"/>
  <c r="P344" i="2"/>
  <c r="AC344" i="2"/>
  <c r="AI344" i="2"/>
  <c r="AD344" i="2"/>
  <c r="J344" i="2"/>
  <c r="Q344" i="2"/>
  <c r="E344" i="2"/>
  <c r="H589" i="2"/>
  <c r="P589" i="2"/>
  <c r="J589" i="2"/>
  <c r="AI589" i="2"/>
  <c r="AC589" i="2"/>
  <c r="I589" i="2"/>
  <c r="AE589" i="2"/>
  <c r="O589" i="2"/>
  <c r="AD589" i="2"/>
  <c r="Q589" i="2"/>
  <c r="G589" i="2"/>
  <c r="E589" i="2"/>
  <c r="J359" i="2"/>
  <c r="O359" i="2"/>
  <c r="H359" i="2"/>
  <c r="AC359" i="2"/>
  <c r="G359" i="2"/>
  <c r="I359" i="2"/>
  <c r="AE359" i="2"/>
  <c r="AD359" i="2"/>
  <c r="P359" i="2"/>
  <c r="Q359" i="2"/>
  <c r="AI359" i="2"/>
  <c r="E359" i="2"/>
  <c r="H133" i="2"/>
  <c r="AE133" i="2"/>
  <c r="AI133" i="2"/>
  <c r="J133" i="2"/>
  <c r="O133" i="2"/>
  <c r="P133" i="2"/>
  <c r="AD133" i="2"/>
  <c r="G133" i="2"/>
  <c r="Q133" i="2"/>
  <c r="I133" i="2"/>
  <c r="AC133" i="2"/>
  <c r="E133" i="2"/>
  <c r="O246" i="2"/>
  <c r="I246" i="2"/>
  <c r="J246" i="2"/>
  <c r="AD246" i="2"/>
  <c r="P246" i="2"/>
  <c r="AI246" i="2"/>
  <c r="AE246" i="2"/>
  <c r="AC246" i="2"/>
  <c r="Q246" i="2"/>
  <c r="H246" i="2"/>
  <c r="G246" i="2"/>
  <c r="E246" i="2"/>
  <c r="O181" i="2"/>
  <c r="AI181" i="2"/>
  <c r="P181" i="2"/>
  <c r="AC181" i="2"/>
  <c r="I181" i="2"/>
  <c r="H181" i="2"/>
  <c r="AD181" i="2"/>
  <c r="G181" i="2"/>
  <c r="AE181" i="2"/>
  <c r="Q181" i="2"/>
  <c r="J181" i="2"/>
  <c r="E181" i="2"/>
  <c r="AD243" i="2"/>
  <c r="J243" i="2"/>
  <c r="AC243" i="2"/>
  <c r="O243" i="2"/>
  <c r="I243" i="2"/>
  <c r="H243" i="2"/>
  <c r="AE243" i="2"/>
  <c r="G243" i="2"/>
  <c r="P243" i="2"/>
  <c r="Q243" i="2"/>
  <c r="AI243" i="2"/>
  <c r="E243" i="2"/>
  <c r="AC555" i="2"/>
  <c r="G555" i="2"/>
  <c r="AI555" i="2"/>
  <c r="H555" i="2"/>
  <c r="I555" i="2"/>
  <c r="P555" i="2"/>
  <c r="AE555" i="2"/>
  <c r="O555" i="2"/>
  <c r="J555" i="2"/>
  <c r="Q555" i="2"/>
  <c r="AD555" i="2"/>
  <c r="E555" i="2"/>
  <c r="H299" i="2"/>
  <c r="G299" i="2"/>
  <c r="J299" i="2"/>
  <c r="I299" i="2"/>
  <c r="AC299" i="2"/>
  <c r="P299" i="2"/>
  <c r="AE299" i="2"/>
  <c r="AI299" i="2"/>
  <c r="E299" i="2"/>
  <c r="AD299" i="2"/>
  <c r="O299" i="2"/>
  <c r="Q299" i="2"/>
  <c r="AE101" i="2"/>
  <c r="O101" i="2"/>
  <c r="H101" i="2"/>
  <c r="P101" i="2"/>
  <c r="I101" i="2"/>
  <c r="J101" i="2"/>
  <c r="G101" i="2"/>
  <c r="AI101" i="2"/>
  <c r="AD101" i="2"/>
  <c r="Q101" i="2"/>
  <c r="AC101" i="2"/>
  <c r="E101" i="2"/>
  <c r="O52" i="2"/>
  <c r="P52" i="2"/>
  <c r="AC52" i="2"/>
  <c r="AI52" i="2"/>
  <c r="AD52" i="2"/>
  <c r="I52" i="2"/>
  <c r="G52" i="2"/>
  <c r="AE52" i="2"/>
  <c r="H52" i="2"/>
  <c r="Q52" i="2"/>
  <c r="J52" i="2"/>
  <c r="E52" i="2"/>
  <c r="AC272" i="2"/>
  <c r="AI272" i="2"/>
  <c r="G272" i="2"/>
  <c r="AD272" i="2"/>
  <c r="H272" i="2"/>
  <c r="O272" i="2"/>
  <c r="P272" i="2"/>
  <c r="J272" i="2"/>
  <c r="I272" i="2"/>
  <c r="Q272" i="2"/>
  <c r="AE272" i="2"/>
  <c r="E272" i="2"/>
  <c r="AD577" i="2"/>
  <c r="G577" i="2"/>
  <c r="H577" i="2"/>
  <c r="P577" i="2"/>
  <c r="I577" i="2"/>
  <c r="O577" i="2"/>
  <c r="J577" i="2"/>
  <c r="AC577" i="2"/>
  <c r="AI577" i="2"/>
  <c r="Q577" i="2"/>
  <c r="AE577" i="2"/>
  <c r="E577" i="2"/>
  <c r="AI37" i="2"/>
  <c r="H37" i="2"/>
  <c r="J37" i="2"/>
  <c r="AC37" i="2"/>
  <c r="P37" i="2"/>
  <c r="I37" i="2"/>
  <c r="AE37" i="2"/>
  <c r="AD37" i="2"/>
  <c r="G37" i="2"/>
  <c r="O37" i="2"/>
  <c r="Q37" i="2"/>
  <c r="E37" i="2"/>
  <c r="AE132" i="2"/>
  <c r="AC132" i="2"/>
  <c r="P132" i="2"/>
  <c r="G132" i="2"/>
  <c r="AD132" i="2"/>
  <c r="I132" i="2"/>
  <c r="O132" i="2"/>
  <c r="J132" i="2"/>
  <c r="AI132" i="2"/>
  <c r="H132" i="2"/>
  <c r="Q132" i="2"/>
  <c r="E132" i="2"/>
  <c r="H575" i="2"/>
  <c r="J575" i="2"/>
  <c r="G575" i="2"/>
  <c r="AC575" i="2"/>
  <c r="O575" i="2"/>
  <c r="AI575" i="2"/>
  <c r="I575" i="2"/>
  <c r="AD575" i="2"/>
  <c r="P575" i="2"/>
  <c r="AE575" i="2"/>
  <c r="E575" i="2"/>
  <c r="Q575" i="2"/>
  <c r="P499" i="2"/>
  <c r="H499" i="2"/>
  <c r="AI499" i="2"/>
  <c r="J499" i="2"/>
  <c r="G499" i="2"/>
  <c r="O499" i="2"/>
  <c r="AE499" i="2"/>
  <c r="AC499" i="2"/>
  <c r="I499" i="2"/>
  <c r="E499" i="2"/>
  <c r="AD499" i="2"/>
  <c r="Q499" i="2"/>
  <c r="AD487" i="2"/>
  <c r="O487" i="2"/>
  <c r="I487" i="2"/>
  <c r="H487" i="2"/>
  <c r="G487" i="2"/>
  <c r="AI487" i="2"/>
  <c r="J487" i="2"/>
  <c r="AE487" i="2"/>
  <c r="AC487" i="2"/>
  <c r="E487" i="2"/>
  <c r="P487" i="2"/>
  <c r="Q487" i="2"/>
  <c r="P282" i="2"/>
  <c r="O282" i="2"/>
  <c r="I282" i="2"/>
  <c r="AI282" i="2"/>
  <c r="AD282" i="2"/>
  <c r="J282" i="2"/>
  <c r="H282" i="2"/>
  <c r="AE282" i="2"/>
  <c r="AC282" i="2"/>
  <c r="E282" i="2"/>
  <c r="G282" i="2"/>
  <c r="Q282" i="2"/>
  <c r="AE166" i="2"/>
  <c r="AD166" i="2"/>
  <c r="H166" i="2"/>
  <c r="O166" i="2"/>
  <c r="P166" i="2"/>
  <c r="G166" i="2"/>
  <c r="I166" i="2"/>
  <c r="J166" i="2"/>
  <c r="AC166" i="2"/>
  <c r="AI166" i="2"/>
  <c r="Q166" i="2"/>
  <c r="E166" i="2"/>
  <c r="AE72" i="2"/>
  <c r="J72" i="2"/>
  <c r="O72" i="2"/>
  <c r="G72" i="2"/>
  <c r="P72" i="2"/>
  <c r="I72" i="2"/>
  <c r="H72" i="2"/>
  <c r="AD72" i="2"/>
  <c r="AC72" i="2"/>
  <c r="AI72" i="2"/>
  <c r="E72" i="2"/>
  <c r="Q72" i="2"/>
  <c r="O60" i="2"/>
  <c r="AE60" i="2"/>
  <c r="AD60" i="2"/>
  <c r="J60" i="2"/>
  <c r="P60" i="2"/>
  <c r="I60" i="2"/>
  <c r="G60" i="2"/>
  <c r="AC60" i="2"/>
  <c r="H60" i="2"/>
  <c r="AI60" i="2"/>
  <c r="Q60" i="2"/>
  <c r="E60" i="2"/>
  <c r="AC49" i="2"/>
  <c r="G49" i="2"/>
  <c r="AD49" i="2"/>
  <c r="AI49" i="2"/>
  <c r="H49" i="2"/>
  <c r="I49" i="2"/>
  <c r="O49" i="2"/>
  <c r="J49" i="2"/>
  <c r="P49" i="2"/>
  <c r="AE49" i="2"/>
  <c r="Q49" i="2"/>
  <c r="E49" i="2"/>
  <c r="I430" i="2"/>
  <c r="AE430" i="2"/>
  <c r="J430" i="2"/>
  <c r="O430" i="2"/>
  <c r="G430" i="2"/>
  <c r="P430" i="2"/>
  <c r="AD430" i="2"/>
  <c r="AC430" i="2"/>
  <c r="Q430" i="2"/>
  <c r="H430" i="2"/>
  <c r="AI430" i="2"/>
  <c r="E430" i="2"/>
  <c r="AD252" i="2"/>
  <c r="H252" i="2"/>
  <c r="AC252" i="2"/>
  <c r="P252" i="2"/>
  <c r="I252" i="2"/>
  <c r="G252" i="2"/>
  <c r="J252" i="2"/>
  <c r="O252" i="2"/>
  <c r="AE252" i="2"/>
  <c r="Q252" i="2"/>
  <c r="AI252" i="2"/>
  <c r="E252" i="2"/>
  <c r="I454" i="2"/>
  <c r="AE454" i="2"/>
  <c r="P454" i="2"/>
  <c r="AD454" i="2"/>
  <c r="AC454" i="2"/>
  <c r="AI454" i="2"/>
  <c r="J454" i="2"/>
  <c r="H454" i="2"/>
  <c r="O454" i="2"/>
  <c r="E454" i="2"/>
  <c r="G454" i="2"/>
  <c r="Q454" i="2"/>
  <c r="AE477" i="2"/>
  <c r="P477" i="2"/>
  <c r="O477" i="2"/>
  <c r="AD477" i="2"/>
  <c r="AC477" i="2"/>
  <c r="G477" i="2"/>
  <c r="I477" i="2"/>
  <c r="J477" i="2"/>
  <c r="AI477" i="2"/>
  <c r="E477" i="2"/>
  <c r="H477" i="2"/>
  <c r="Q477" i="2"/>
  <c r="AC355" i="2"/>
  <c r="J355" i="2"/>
  <c r="AD355" i="2"/>
  <c r="AI355" i="2"/>
  <c r="P355" i="2"/>
  <c r="I355" i="2"/>
  <c r="O355" i="2"/>
  <c r="AE355" i="2"/>
  <c r="G355" i="2"/>
  <c r="H355" i="2"/>
  <c r="E355" i="2"/>
  <c r="Q355" i="2"/>
  <c r="AE268" i="2"/>
  <c r="H268" i="2"/>
  <c r="AI268" i="2"/>
  <c r="I268" i="2"/>
  <c r="P268" i="2"/>
  <c r="AD268" i="2"/>
  <c r="J268" i="2"/>
  <c r="AC268" i="2"/>
  <c r="G268" i="2"/>
  <c r="O268" i="2"/>
  <c r="E268" i="2"/>
  <c r="Q268" i="2"/>
  <c r="AE306" i="2"/>
  <c r="I306" i="2"/>
  <c r="O306" i="2"/>
  <c r="AI306" i="2"/>
  <c r="P306" i="2"/>
  <c r="G306" i="2"/>
  <c r="J306" i="2"/>
  <c r="AC306" i="2"/>
  <c r="AD306" i="2"/>
  <c r="H306" i="2"/>
  <c r="Q306" i="2"/>
  <c r="E306" i="2"/>
  <c r="AE453" i="2"/>
  <c r="I453" i="2"/>
  <c r="P453" i="2"/>
  <c r="J453" i="2"/>
  <c r="AD453" i="2"/>
  <c r="O453" i="2"/>
  <c r="AI453" i="2"/>
  <c r="AC453" i="2"/>
  <c r="H453" i="2"/>
  <c r="G453" i="2"/>
  <c r="E453" i="2"/>
  <c r="Q453" i="2"/>
  <c r="AC513" i="2"/>
  <c r="H513" i="2"/>
  <c r="O513" i="2"/>
  <c r="AD513" i="2"/>
  <c r="G513" i="2"/>
  <c r="P513" i="2"/>
  <c r="AE513" i="2"/>
  <c r="I513" i="2"/>
  <c r="AI513" i="2"/>
  <c r="Q513" i="2"/>
  <c r="J513" i="2"/>
  <c r="E513" i="2"/>
  <c r="I551" i="2"/>
  <c r="AI551" i="2"/>
  <c r="AD551" i="2"/>
  <c r="AC551" i="2"/>
  <c r="J551" i="2"/>
  <c r="H551" i="2"/>
  <c r="E551" i="2"/>
  <c r="O551" i="2"/>
  <c r="G551" i="2"/>
  <c r="AE551" i="2"/>
  <c r="P551" i="2"/>
  <c r="Q551" i="2"/>
  <c r="AD14" i="2"/>
  <c r="AE14" i="2"/>
  <c r="J14" i="2"/>
  <c r="G14" i="2"/>
  <c r="AC14" i="2"/>
  <c r="I14" i="2"/>
  <c r="E14" i="2"/>
  <c r="O14" i="2"/>
  <c r="AI14" i="2"/>
  <c r="H14" i="2"/>
  <c r="P14" i="2"/>
  <c r="Q14" i="2"/>
  <c r="AC403" i="2"/>
  <c r="P403" i="2"/>
  <c r="O403" i="2"/>
  <c r="AD403" i="2"/>
  <c r="E403" i="2"/>
  <c r="AE403" i="2"/>
  <c r="AI403" i="2"/>
  <c r="G403" i="2"/>
  <c r="I403" i="2"/>
  <c r="J403" i="2"/>
  <c r="H403" i="2"/>
  <c r="Q403" i="2"/>
  <c r="I321" i="2"/>
  <c r="H321" i="2"/>
  <c r="G321" i="2"/>
  <c r="O321" i="2"/>
  <c r="Q321" i="2"/>
  <c r="P321" i="2"/>
  <c r="AE321" i="2"/>
  <c r="AC321" i="2"/>
  <c r="AD321" i="2"/>
  <c r="AI321" i="2"/>
  <c r="J321" i="2"/>
  <c r="E321" i="2"/>
  <c r="P155" i="2"/>
  <c r="G155" i="2"/>
  <c r="I155" i="2"/>
  <c r="AD155" i="2"/>
  <c r="J155" i="2"/>
  <c r="O155" i="2"/>
  <c r="H155" i="2"/>
  <c r="AC155" i="2"/>
  <c r="E155" i="2"/>
  <c r="AI155" i="2"/>
  <c r="AE155" i="2"/>
  <c r="Q155" i="2"/>
  <c r="P220" i="2"/>
  <c r="AD220" i="2"/>
  <c r="AI220" i="2"/>
  <c r="I220" i="2"/>
  <c r="G220" i="2"/>
  <c r="H220" i="2"/>
  <c r="J220" i="2"/>
  <c r="AC220" i="2"/>
  <c r="Q220" i="2"/>
  <c r="O220" i="2"/>
  <c r="AE220" i="2"/>
  <c r="E220" i="2"/>
  <c r="AE253" i="2"/>
  <c r="G253" i="2"/>
  <c r="I253" i="2"/>
  <c r="AI253" i="2"/>
  <c r="E253" i="2"/>
  <c r="J253" i="2"/>
  <c r="O253" i="2"/>
  <c r="AC253" i="2"/>
  <c r="P253" i="2"/>
  <c r="AD253" i="2"/>
  <c r="H253" i="2"/>
  <c r="Q253" i="2"/>
  <c r="H196" i="2"/>
  <c r="AI196" i="2"/>
  <c r="P196" i="2"/>
  <c r="I196" i="2"/>
  <c r="Q196" i="2"/>
  <c r="AE196" i="2"/>
  <c r="J196" i="2"/>
  <c r="AC196" i="2"/>
  <c r="AD196" i="2"/>
  <c r="G196" i="2"/>
  <c r="O196" i="2"/>
  <c r="E196" i="2"/>
  <c r="I103" i="2"/>
  <c r="AD103" i="2"/>
  <c r="H103" i="2"/>
  <c r="G103" i="2"/>
  <c r="Q103" i="2"/>
  <c r="AE103" i="2"/>
  <c r="AC103" i="2"/>
  <c r="P103" i="2"/>
  <c r="AI103" i="2"/>
  <c r="J103" i="2"/>
  <c r="O103" i="2"/>
  <c r="E103" i="2"/>
  <c r="AI571" i="2"/>
  <c r="P571" i="2"/>
  <c r="AC571" i="2"/>
  <c r="AD571" i="2"/>
  <c r="H571" i="2"/>
  <c r="J571" i="2"/>
  <c r="E571" i="2"/>
  <c r="O571" i="2"/>
  <c r="I571" i="2"/>
  <c r="G571" i="2"/>
  <c r="AE571" i="2"/>
  <c r="Q571" i="2"/>
  <c r="AD490" i="2"/>
  <c r="AE490" i="2"/>
  <c r="G490" i="2"/>
  <c r="P490" i="2"/>
  <c r="O490" i="2"/>
  <c r="I490" i="2"/>
  <c r="Q490" i="2"/>
  <c r="AC490" i="2"/>
  <c r="H490" i="2"/>
  <c r="J490" i="2"/>
  <c r="AI490" i="2"/>
  <c r="E490" i="2"/>
  <c r="AD549" i="2"/>
  <c r="H549" i="2"/>
  <c r="AI549" i="2"/>
  <c r="AC549" i="2"/>
  <c r="AE549" i="2"/>
  <c r="O549" i="2"/>
  <c r="J549" i="2"/>
  <c r="Q549" i="2"/>
  <c r="I549" i="2"/>
  <c r="G549" i="2"/>
  <c r="P549" i="2"/>
  <c r="E549" i="2"/>
  <c r="AD326" i="2"/>
  <c r="G326" i="2"/>
  <c r="AC326" i="2"/>
  <c r="J326" i="2"/>
  <c r="AE326" i="2"/>
  <c r="P326" i="2"/>
  <c r="O326" i="2"/>
  <c r="Q326" i="2"/>
  <c r="I326" i="2"/>
  <c r="H326" i="2"/>
  <c r="AI326" i="2"/>
  <c r="E326" i="2"/>
  <c r="AE485" i="2"/>
  <c r="P485" i="2"/>
  <c r="J485" i="2"/>
  <c r="I485" i="2"/>
  <c r="O485" i="2"/>
  <c r="AI485" i="2"/>
  <c r="AD485" i="2"/>
  <c r="AC485" i="2"/>
  <c r="E485" i="2"/>
  <c r="G485" i="2"/>
  <c r="H485" i="2"/>
  <c r="Q485" i="2"/>
  <c r="AE187" i="2"/>
  <c r="G187" i="2"/>
  <c r="AD187" i="2"/>
  <c r="P187" i="2"/>
  <c r="J187" i="2"/>
  <c r="AI187" i="2"/>
  <c r="H187" i="2"/>
  <c r="O187" i="2"/>
  <c r="Q187" i="2"/>
  <c r="I187" i="2"/>
  <c r="E187" i="2"/>
  <c r="AC187" i="2"/>
  <c r="AE467" i="2"/>
  <c r="J467" i="2"/>
  <c r="AI467" i="2"/>
  <c r="AD467" i="2"/>
  <c r="I467" i="2"/>
  <c r="H467" i="2"/>
  <c r="G467" i="2"/>
  <c r="O467" i="2"/>
  <c r="Q467" i="2"/>
  <c r="AC467" i="2"/>
  <c r="P467" i="2"/>
  <c r="E467" i="2"/>
  <c r="AE535" i="2"/>
  <c r="P535" i="2"/>
  <c r="AD535" i="2"/>
  <c r="J535" i="2"/>
  <c r="I535" i="2"/>
  <c r="AI535" i="2"/>
  <c r="G535" i="2"/>
  <c r="H535" i="2"/>
  <c r="E535" i="2"/>
  <c r="Q535" i="2"/>
  <c r="AC535" i="2"/>
  <c r="O535" i="2"/>
  <c r="J91" i="2"/>
  <c r="P91" i="2"/>
  <c r="AC91" i="2"/>
  <c r="AI91" i="2"/>
  <c r="AE91" i="2"/>
  <c r="G91" i="2"/>
  <c r="I91" i="2"/>
  <c r="Q91" i="2"/>
  <c r="AD91" i="2"/>
  <c r="O91" i="2"/>
  <c r="H91" i="2"/>
  <c r="E91" i="2"/>
  <c r="I250" i="2"/>
  <c r="AE250" i="2"/>
  <c r="AI250" i="2"/>
  <c r="P250" i="2"/>
  <c r="G250" i="2"/>
  <c r="O250" i="2"/>
  <c r="E250" i="2"/>
  <c r="AD250" i="2"/>
  <c r="H250" i="2"/>
  <c r="J250" i="2"/>
  <c r="Q250" i="2"/>
  <c r="AC250" i="2"/>
  <c r="G414" i="2"/>
  <c r="AE414" i="2"/>
  <c r="H414" i="2"/>
  <c r="I414" i="2"/>
  <c r="O414" i="2"/>
  <c r="J414" i="2"/>
  <c r="E414" i="2"/>
  <c r="P414" i="2"/>
  <c r="AD414" i="2"/>
  <c r="Q414" i="2"/>
  <c r="AI414" i="2"/>
  <c r="AC414" i="2"/>
  <c r="AD33" i="2"/>
  <c r="J33" i="2"/>
  <c r="H33" i="2"/>
  <c r="AC33" i="2"/>
  <c r="G33" i="2"/>
  <c r="I33" i="2"/>
  <c r="P33" i="2"/>
  <c r="AE33" i="2"/>
  <c r="E33" i="2"/>
  <c r="AI33" i="2"/>
  <c r="O33" i="2"/>
  <c r="Q33" i="2"/>
  <c r="AD508" i="2"/>
  <c r="AC508" i="2"/>
  <c r="Q508" i="2"/>
  <c r="I508" i="2"/>
  <c r="H508" i="2"/>
  <c r="E508" i="2"/>
  <c r="AE508" i="2"/>
  <c r="G508" i="2"/>
  <c r="P508" i="2"/>
  <c r="AI508" i="2"/>
  <c r="J508" i="2"/>
  <c r="O508" i="2"/>
  <c r="O347" i="2"/>
  <c r="AE347" i="2"/>
  <c r="AC347" i="2"/>
  <c r="AD347" i="2"/>
  <c r="G347" i="2"/>
  <c r="P347" i="2"/>
  <c r="AI347" i="2"/>
  <c r="J347" i="2"/>
  <c r="Q347" i="2"/>
  <c r="I347" i="2"/>
  <c r="H347" i="2"/>
  <c r="E347" i="2"/>
  <c r="AC559" i="2"/>
  <c r="AD559" i="2"/>
  <c r="G559" i="2"/>
  <c r="O559" i="2"/>
  <c r="I559" i="2"/>
  <c r="J559" i="2"/>
  <c r="AE559" i="2"/>
  <c r="H559" i="2"/>
  <c r="P559" i="2"/>
  <c r="E559" i="2"/>
  <c r="AI559" i="2"/>
  <c r="Q559" i="2"/>
  <c r="P6" i="2"/>
  <c r="H6" i="2"/>
  <c r="AD6" i="2"/>
  <c r="G6" i="2"/>
  <c r="O6" i="2"/>
  <c r="I6" i="2"/>
  <c r="AE6" i="2"/>
  <c r="AI6" i="2"/>
  <c r="AC6" i="2"/>
  <c r="Q6" i="2"/>
  <c r="J6" i="2"/>
  <c r="E6" i="2"/>
  <c r="J98" i="2"/>
  <c r="G98" i="2"/>
  <c r="O98" i="2"/>
  <c r="AC98" i="2"/>
  <c r="AE98" i="2"/>
  <c r="I98" i="2"/>
  <c r="P98" i="2"/>
  <c r="AI98" i="2"/>
  <c r="AD98" i="2"/>
  <c r="Q98" i="2"/>
  <c r="H98" i="2"/>
  <c r="E98" i="2"/>
  <c r="G194" i="2"/>
  <c r="AD194" i="2"/>
  <c r="I194" i="2"/>
  <c r="H194" i="2"/>
  <c r="AI194" i="2"/>
  <c r="O194" i="2"/>
  <c r="AE194" i="2"/>
  <c r="J194" i="2"/>
  <c r="AC194" i="2"/>
  <c r="E194" i="2"/>
  <c r="P194" i="2"/>
  <c r="Q194" i="2"/>
  <c r="H587" i="2"/>
  <c r="AC587" i="2"/>
  <c r="P587" i="2"/>
  <c r="AE587" i="2"/>
  <c r="J587" i="2"/>
  <c r="I587" i="2"/>
  <c r="AI587" i="2"/>
  <c r="AD587" i="2"/>
  <c r="Q587" i="2"/>
  <c r="O587" i="2"/>
  <c r="G587" i="2"/>
  <c r="E587" i="2"/>
  <c r="P560" i="2"/>
  <c r="AC560" i="2"/>
  <c r="I560" i="2"/>
  <c r="AE560" i="2"/>
  <c r="AI560" i="2"/>
  <c r="G560" i="2"/>
  <c r="AD560" i="2"/>
  <c r="O560" i="2"/>
  <c r="Q560" i="2"/>
  <c r="H560" i="2"/>
  <c r="J560" i="2"/>
  <c r="E560" i="2"/>
  <c r="AD238" i="2"/>
  <c r="J238" i="2"/>
  <c r="H238" i="2"/>
  <c r="AE238" i="2"/>
  <c r="G238" i="2"/>
  <c r="AI238" i="2"/>
  <c r="P238" i="2"/>
  <c r="AC238" i="2"/>
  <c r="E238" i="2"/>
  <c r="O238" i="2"/>
  <c r="I238" i="2"/>
  <c r="Q238" i="2"/>
  <c r="AC435" i="2"/>
  <c r="P435" i="2"/>
  <c r="AD435" i="2"/>
  <c r="AI435" i="2"/>
  <c r="H435" i="2"/>
  <c r="J435" i="2"/>
  <c r="I435" i="2"/>
  <c r="G435" i="2"/>
  <c r="O435" i="2"/>
  <c r="Q435" i="2"/>
  <c r="AE435" i="2"/>
  <c r="E435" i="2"/>
  <c r="AE179" i="2"/>
  <c r="I179" i="2"/>
  <c r="O179" i="2"/>
  <c r="AI179" i="2"/>
  <c r="J179" i="2"/>
  <c r="H179" i="2"/>
  <c r="G179" i="2"/>
  <c r="P179" i="2"/>
  <c r="AD179" i="2"/>
  <c r="Q179" i="2"/>
  <c r="AC179" i="2"/>
  <c r="E179" i="2"/>
  <c r="J244" i="2"/>
  <c r="AD244" i="2"/>
  <c r="P244" i="2"/>
  <c r="O244" i="2"/>
  <c r="AI244" i="2"/>
  <c r="AC244" i="2"/>
  <c r="AE244" i="2"/>
  <c r="G244" i="2"/>
  <c r="Q244" i="2"/>
  <c r="I244" i="2"/>
  <c r="H244" i="2"/>
  <c r="E244" i="2"/>
  <c r="G55" i="2"/>
  <c r="AC55" i="2"/>
  <c r="P55" i="2"/>
  <c r="J55" i="2"/>
  <c r="AI55" i="2"/>
  <c r="I55" i="2"/>
  <c r="AD55" i="2"/>
  <c r="AE55" i="2"/>
  <c r="E55" i="2"/>
  <c r="O55" i="2"/>
  <c r="H55" i="2"/>
  <c r="Q55" i="2"/>
  <c r="AI151" i="2"/>
  <c r="G151" i="2"/>
  <c r="AC151" i="2"/>
  <c r="O151" i="2"/>
  <c r="AD151" i="2"/>
  <c r="AE151" i="2"/>
  <c r="H151" i="2"/>
  <c r="Q151" i="2"/>
  <c r="J151" i="2"/>
  <c r="P151" i="2"/>
  <c r="I151" i="2"/>
  <c r="E151" i="2"/>
  <c r="H241" i="2"/>
  <c r="O241" i="2"/>
  <c r="AC241" i="2"/>
  <c r="P241" i="2"/>
  <c r="AD241" i="2"/>
  <c r="AE241" i="2"/>
  <c r="AI241" i="2"/>
  <c r="E241" i="2"/>
  <c r="J241" i="2"/>
  <c r="I241" i="2"/>
  <c r="G241" i="2"/>
  <c r="Q241" i="2"/>
  <c r="AD142" i="2"/>
  <c r="I142" i="2"/>
  <c r="G142" i="2"/>
  <c r="P142" i="2"/>
  <c r="AE142" i="2"/>
  <c r="J142" i="2"/>
  <c r="H142" i="2"/>
  <c r="Q142" i="2"/>
  <c r="AC142" i="2"/>
  <c r="O142" i="2"/>
  <c r="AI142" i="2"/>
  <c r="E142" i="2"/>
  <c r="O539" i="2"/>
  <c r="AC539" i="2"/>
  <c r="J539" i="2"/>
  <c r="I539" i="2"/>
  <c r="P539" i="2"/>
  <c r="G539" i="2"/>
  <c r="E539" i="2"/>
  <c r="AE539" i="2"/>
  <c r="AD539" i="2"/>
  <c r="AI539" i="2"/>
  <c r="H539" i="2"/>
  <c r="Q539" i="2"/>
  <c r="G441" i="2"/>
  <c r="AC441" i="2"/>
  <c r="H441" i="2"/>
  <c r="O441" i="2"/>
  <c r="P441" i="2"/>
  <c r="AI441" i="2"/>
  <c r="E441" i="2"/>
  <c r="AE441" i="2"/>
  <c r="I441" i="2"/>
  <c r="J441" i="2"/>
  <c r="AD441" i="2"/>
  <c r="Q441" i="2"/>
  <c r="H158" i="2"/>
  <c r="AD158" i="2"/>
  <c r="O158" i="2"/>
  <c r="AE158" i="2"/>
  <c r="G158" i="2"/>
  <c r="P158" i="2"/>
  <c r="I158" i="2"/>
  <c r="E158" i="2"/>
  <c r="AC158" i="2"/>
  <c r="AI158" i="2"/>
  <c r="J158" i="2"/>
  <c r="Q158" i="2"/>
  <c r="I188" i="2"/>
  <c r="G188" i="2"/>
  <c r="P188" i="2"/>
  <c r="AI188" i="2"/>
  <c r="AD188" i="2"/>
  <c r="AE188" i="2"/>
  <c r="H188" i="2"/>
  <c r="Q188" i="2"/>
  <c r="AC188" i="2"/>
  <c r="O188" i="2"/>
  <c r="J188" i="2"/>
  <c r="E188" i="2"/>
  <c r="J389" i="2"/>
  <c r="I389" i="2"/>
  <c r="G389" i="2"/>
  <c r="P389" i="2"/>
  <c r="AC389" i="2"/>
  <c r="H389" i="2"/>
  <c r="AE389" i="2"/>
  <c r="AI389" i="2"/>
  <c r="E389" i="2"/>
  <c r="O389" i="2"/>
  <c r="AD389" i="2"/>
  <c r="Q389" i="2"/>
  <c r="AC148" i="2"/>
  <c r="AE148" i="2"/>
  <c r="I148" i="2"/>
  <c r="P148" i="2"/>
  <c r="G148" i="2"/>
  <c r="AI148" i="2"/>
  <c r="Q148" i="2"/>
  <c r="O148" i="2"/>
  <c r="J148" i="2"/>
  <c r="H148" i="2"/>
  <c r="AD148" i="2"/>
  <c r="E148" i="2"/>
  <c r="AE111" i="2"/>
  <c r="AD111" i="2"/>
  <c r="H111" i="2"/>
  <c r="J111" i="2"/>
  <c r="I111" i="2"/>
  <c r="AI111" i="2"/>
  <c r="G111" i="2"/>
  <c r="AC111" i="2"/>
  <c r="Q111" i="2"/>
  <c r="O111" i="2"/>
  <c r="P111" i="2"/>
  <c r="E111" i="2"/>
  <c r="AE269" i="2"/>
  <c r="P269" i="2"/>
  <c r="G269" i="2"/>
  <c r="I269" i="2"/>
  <c r="AD269" i="2"/>
  <c r="J269" i="2"/>
  <c r="AC269" i="2"/>
  <c r="H269" i="2"/>
  <c r="E269" i="2"/>
  <c r="AI269" i="2"/>
  <c r="O269" i="2"/>
  <c r="Q269" i="2"/>
  <c r="J497" i="2"/>
  <c r="I497" i="2"/>
  <c r="P497" i="2"/>
  <c r="AD497" i="2"/>
  <c r="Q497" i="2"/>
  <c r="G497" i="2"/>
  <c r="AE497" i="2"/>
  <c r="O497" i="2"/>
  <c r="H497" i="2"/>
  <c r="AC497" i="2"/>
  <c r="E497" i="2"/>
  <c r="AI497" i="2"/>
  <c r="AC491" i="2"/>
  <c r="P491" i="2"/>
  <c r="J491" i="2"/>
  <c r="AD491" i="2"/>
  <c r="E491" i="2"/>
  <c r="H491" i="2"/>
  <c r="AE491" i="2"/>
  <c r="G491" i="2"/>
  <c r="AI491" i="2"/>
  <c r="I491" i="2"/>
  <c r="Q491" i="2"/>
  <c r="O491" i="2"/>
  <c r="O87" i="2"/>
  <c r="J87" i="2"/>
  <c r="AC87" i="2"/>
  <c r="I87" i="2"/>
  <c r="E87" i="2"/>
  <c r="G87" i="2"/>
  <c r="AE87" i="2"/>
  <c r="P87" i="2"/>
  <c r="AI87" i="2"/>
  <c r="AD87" i="2"/>
  <c r="Q87" i="2"/>
  <c r="H87" i="2"/>
  <c r="AI182" i="2"/>
  <c r="AE182" i="2"/>
  <c r="H182" i="2"/>
  <c r="AD182" i="2"/>
  <c r="I182" i="2"/>
  <c r="P182" i="2"/>
  <c r="Q182" i="2"/>
  <c r="O182" i="2"/>
  <c r="J182" i="2"/>
  <c r="AC182" i="2"/>
  <c r="G182" i="2"/>
  <c r="E182" i="2"/>
  <c r="AI227" i="2"/>
  <c r="AE227" i="2"/>
  <c r="O227" i="2"/>
  <c r="J227" i="2"/>
  <c r="I227" i="2"/>
  <c r="P227" i="2"/>
  <c r="Q227" i="2"/>
  <c r="G227" i="2"/>
  <c r="AD227" i="2"/>
  <c r="AC227" i="2"/>
  <c r="H227" i="2"/>
  <c r="E227" i="2"/>
  <c r="AC541" i="2"/>
  <c r="AI541" i="2"/>
  <c r="G541" i="2"/>
  <c r="H541" i="2"/>
  <c r="E541" i="2"/>
  <c r="O541" i="2"/>
  <c r="AE541" i="2"/>
  <c r="AD541" i="2"/>
  <c r="Q541" i="2"/>
  <c r="P541" i="2"/>
  <c r="I541" i="2"/>
  <c r="J541" i="2"/>
  <c r="AE128" i="2"/>
  <c r="AD128" i="2"/>
  <c r="H128" i="2"/>
  <c r="AI128" i="2"/>
  <c r="I128" i="2"/>
  <c r="G128" i="2"/>
  <c r="J128" i="2"/>
  <c r="O128" i="2"/>
  <c r="E128" i="2"/>
  <c r="AC128" i="2"/>
  <c r="P128" i="2"/>
  <c r="Q128" i="2"/>
  <c r="P289" i="2"/>
  <c r="O289" i="2"/>
  <c r="AC289" i="2"/>
  <c r="AI289" i="2"/>
  <c r="AE289" i="2"/>
  <c r="H289" i="2"/>
  <c r="G289" i="2"/>
  <c r="Q289" i="2"/>
  <c r="I289" i="2"/>
  <c r="E289" i="2"/>
  <c r="J289" i="2"/>
  <c r="AD289" i="2"/>
  <c r="AE64" i="2"/>
  <c r="O64" i="2"/>
  <c r="H64" i="2"/>
  <c r="AC64" i="2"/>
  <c r="G64" i="2"/>
  <c r="I64" i="2"/>
  <c r="J64" i="2"/>
  <c r="P64" i="2"/>
  <c r="E64" i="2"/>
  <c r="AD64" i="2"/>
  <c r="Q64" i="2"/>
  <c r="AI64" i="2"/>
  <c r="AE203" i="2"/>
  <c r="G203" i="2"/>
  <c r="H203" i="2"/>
  <c r="P203" i="2"/>
  <c r="AI203" i="2"/>
  <c r="AC203" i="2"/>
  <c r="Q203" i="2"/>
  <c r="AD203" i="2"/>
  <c r="I203" i="2"/>
  <c r="J203" i="2"/>
  <c r="E203" i="2"/>
  <c r="O203" i="2"/>
  <c r="AE324" i="2"/>
  <c r="H324" i="2"/>
  <c r="I324" i="2"/>
  <c r="E324" i="2"/>
  <c r="G324" i="2"/>
  <c r="AD324" i="2"/>
  <c r="P324" i="2"/>
  <c r="Q324" i="2"/>
  <c r="O324" i="2"/>
  <c r="AC324" i="2"/>
  <c r="AI324" i="2"/>
  <c r="J324" i="2"/>
  <c r="AE301" i="2"/>
  <c r="H301" i="2"/>
  <c r="AI301" i="2"/>
  <c r="Q301" i="2"/>
  <c r="G301" i="2"/>
  <c r="O301" i="2"/>
  <c r="AD301" i="2"/>
  <c r="E301" i="2"/>
  <c r="I301" i="2"/>
  <c r="P301" i="2"/>
  <c r="AC301" i="2"/>
  <c r="J301" i="2"/>
  <c r="P400" i="2"/>
  <c r="AI400" i="2"/>
  <c r="G400" i="2"/>
  <c r="AC400" i="2"/>
  <c r="O400" i="2"/>
  <c r="AE400" i="2"/>
  <c r="H400" i="2"/>
  <c r="E400" i="2"/>
  <c r="AD400" i="2"/>
  <c r="I400" i="2"/>
  <c r="J400" i="2"/>
  <c r="Q400" i="2"/>
  <c r="J375" i="2"/>
  <c r="AD375" i="2"/>
  <c r="G375" i="2"/>
  <c r="I375" i="2"/>
  <c r="AC375" i="2"/>
  <c r="AI375" i="2"/>
  <c r="AE375" i="2"/>
  <c r="P375" i="2"/>
  <c r="H375" i="2"/>
  <c r="E375" i="2"/>
  <c r="O375" i="2"/>
  <c r="Q375" i="2"/>
  <c r="AC212" i="2"/>
  <c r="G212" i="2"/>
  <c r="H212" i="2"/>
  <c r="AD212" i="2"/>
  <c r="J212" i="2"/>
  <c r="O212" i="2"/>
  <c r="AE212" i="2"/>
  <c r="P212" i="2"/>
  <c r="E212" i="2"/>
  <c r="I212" i="2"/>
  <c r="AI212" i="2"/>
  <c r="Q212" i="2"/>
  <c r="H360" i="2"/>
  <c r="P360" i="2"/>
  <c r="J360" i="2"/>
  <c r="AC360" i="2"/>
  <c r="AD360" i="2"/>
  <c r="O360" i="2"/>
  <c r="AE360" i="2"/>
  <c r="G360" i="2"/>
  <c r="I360" i="2"/>
  <c r="Q360" i="2"/>
  <c r="AI360" i="2"/>
  <c r="E360" i="2"/>
  <c r="AC338" i="2"/>
  <c r="AD338" i="2"/>
  <c r="J338" i="2"/>
  <c r="O338" i="2"/>
  <c r="P338" i="2"/>
  <c r="AI338" i="2"/>
  <c r="H338" i="2"/>
  <c r="AE338" i="2"/>
  <c r="I338" i="2"/>
  <c r="E338" i="2"/>
  <c r="G338" i="2"/>
  <c r="Q338" i="2"/>
  <c r="AD218" i="2"/>
  <c r="P218" i="2"/>
  <c r="H218" i="2"/>
  <c r="J218" i="2"/>
  <c r="AC218" i="2"/>
  <c r="AE218" i="2"/>
  <c r="AI218" i="2"/>
  <c r="G218" i="2"/>
  <c r="I218" i="2"/>
  <c r="Q218" i="2"/>
  <c r="O218" i="2"/>
  <c r="E218" i="2"/>
  <c r="AE22" i="2"/>
  <c r="H22" i="2"/>
  <c r="O22" i="2"/>
  <c r="G22" i="2"/>
  <c r="I22" i="2"/>
  <c r="J22" i="2"/>
  <c r="P22" i="2"/>
  <c r="AC22" i="2"/>
  <c r="AD22" i="2"/>
  <c r="AI22" i="2"/>
  <c r="E22" i="2"/>
  <c r="Q22" i="2"/>
  <c r="AE411" i="2"/>
  <c r="I411" i="2"/>
  <c r="AD411" i="2"/>
  <c r="AI411" i="2"/>
  <c r="J411" i="2"/>
  <c r="P411" i="2"/>
  <c r="G411" i="2"/>
  <c r="AC411" i="2"/>
  <c r="O411" i="2"/>
  <c r="H411" i="2"/>
  <c r="Q411" i="2"/>
  <c r="E411" i="2"/>
  <c r="AD161" i="2"/>
  <c r="P161" i="2"/>
  <c r="G161" i="2"/>
  <c r="AE161" i="2"/>
  <c r="I161" i="2"/>
  <c r="AC161" i="2"/>
  <c r="J161" i="2"/>
  <c r="AI161" i="2"/>
  <c r="H161" i="2"/>
  <c r="Q161" i="2"/>
  <c r="O161" i="2"/>
  <c r="E161" i="2"/>
  <c r="P58" i="2"/>
  <c r="AI58" i="2"/>
  <c r="O58" i="2"/>
  <c r="G58" i="2"/>
  <c r="AD58" i="2"/>
  <c r="I58" i="2"/>
  <c r="Q58" i="2"/>
  <c r="H58" i="2"/>
  <c r="AE58" i="2"/>
  <c r="AC58" i="2"/>
  <c r="J58" i="2"/>
  <c r="E58" i="2"/>
  <c r="AE593" i="2"/>
  <c r="AD593" i="2"/>
  <c r="AC593" i="2"/>
  <c r="J593" i="2"/>
  <c r="H593" i="2"/>
  <c r="G593" i="2"/>
  <c r="E593" i="2"/>
  <c r="I593" i="2"/>
  <c r="AI593" i="2"/>
  <c r="P593" i="2"/>
  <c r="O593" i="2"/>
  <c r="Q593" i="2"/>
  <c r="AC217" i="2"/>
  <c r="O217" i="2"/>
  <c r="I217" i="2"/>
  <c r="G217" i="2"/>
  <c r="Q217" i="2"/>
  <c r="AE217" i="2"/>
  <c r="AD217" i="2"/>
  <c r="AI217" i="2"/>
  <c r="H217" i="2"/>
  <c r="J217" i="2"/>
  <c r="P217" i="2"/>
  <c r="E217" i="2"/>
  <c r="AC11" i="2"/>
  <c r="AD11" i="2"/>
  <c r="O11" i="2"/>
  <c r="H11" i="2"/>
  <c r="E11" i="2"/>
  <c r="AE11" i="2"/>
  <c r="P11" i="2"/>
  <c r="G11" i="2"/>
  <c r="I11" i="2"/>
  <c r="AI11" i="2"/>
  <c r="J11" i="2"/>
  <c r="Q11" i="2"/>
  <c r="O46" i="2"/>
  <c r="AD46" i="2"/>
  <c r="AC46" i="2"/>
  <c r="H46" i="2"/>
  <c r="Q46" i="2"/>
  <c r="P46" i="2"/>
  <c r="AE46" i="2"/>
  <c r="G46" i="2"/>
  <c r="I46" i="2"/>
  <c r="J46" i="2"/>
  <c r="AI46" i="2"/>
  <c r="E46" i="2"/>
  <c r="AI283" i="2"/>
  <c r="O283" i="2"/>
  <c r="AD283" i="2"/>
  <c r="I283" i="2"/>
  <c r="G283" i="2"/>
  <c r="P283" i="2"/>
  <c r="H283" i="2"/>
  <c r="AC283" i="2"/>
  <c r="E283" i="2"/>
  <c r="J283" i="2"/>
  <c r="AE283" i="2"/>
  <c r="Q283" i="2"/>
  <c r="J222" i="2"/>
  <c r="G222" i="2"/>
  <c r="H222" i="2"/>
  <c r="I222" i="2"/>
  <c r="AC222" i="2"/>
  <c r="AI222" i="2"/>
  <c r="AD222" i="2"/>
  <c r="P222" i="2"/>
  <c r="E222" i="2"/>
  <c r="O222" i="2"/>
  <c r="AE222" i="2"/>
  <c r="Q222" i="2"/>
  <c r="AC221" i="2"/>
  <c r="G221" i="2"/>
  <c r="AI221" i="2"/>
  <c r="AD221" i="2"/>
  <c r="O221" i="2"/>
  <c r="P221" i="2"/>
  <c r="Q221" i="2"/>
  <c r="AE221" i="2"/>
  <c r="I221" i="2"/>
  <c r="J221" i="2"/>
  <c r="H221" i="2"/>
  <c r="E221" i="2"/>
  <c r="AE318" i="2"/>
  <c r="AD318" i="2"/>
  <c r="G318" i="2"/>
  <c r="AI318" i="2"/>
  <c r="Q318" i="2"/>
  <c r="AC318" i="2"/>
  <c r="O318" i="2"/>
  <c r="P318" i="2"/>
  <c r="I318" i="2"/>
  <c r="J318" i="2"/>
  <c r="H318" i="2"/>
  <c r="E318" i="2"/>
  <c r="P25" i="2"/>
  <c r="G25" i="2"/>
  <c r="H25" i="2"/>
  <c r="O25" i="2"/>
  <c r="E25" i="2"/>
  <c r="AE25" i="2"/>
  <c r="AC25" i="2"/>
  <c r="AI25" i="2"/>
  <c r="I25" i="2"/>
  <c r="J25" i="2"/>
  <c r="AD25" i="2"/>
  <c r="Q25" i="2"/>
  <c r="P557" i="2"/>
  <c r="AC557" i="2"/>
  <c r="H557" i="2"/>
  <c r="AI557" i="2"/>
  <c r="G557" i="2"/>
  <c r="I557" i="2"/>
  <c r="E557" i="2"/>
  <c r="O557" i="2"/>
  <c r="J557" i="2"/>
  <c r="AD557" i="2"/>
  <c r="AE557" i="2"/>
  <c r="Q557" i="2"/>
  <c r="AC146" i="2"/>
  <c r="P146" i="2"/>
  <c r="AI146" i="2"/>
  <c r="J146" i="2"/>
  <c r="AD146" i="2"/>
  <c r="H146" i="2"/>
  <c r="E146" i="2"/>
  <c r="O146" i="2"/>
  <c r="I146" i="2"/>
  <c r="G146" i="2"/>
  <c r="AE146" i="2"/>
  <c r="Q146" i="2"/>
  <c r="O162" i="2"/>
  <c r="AE162" i="2"/>
  <c r="I162" i="2"/>
  <c r="H162" i="2"/>
  <c r="AI162" i="2"/>
  <c r="G162" i="2"/>
  <c r="Q162" i="2"/>
  <c r="AC162" i="2"/>
  <c r="J162" i="2"/>
  <c r="P162" i="2"/>
  <c r="AD162" i="2"/>
  <c r="E162" i="2"/>
  <c r="J174" i="2"/>
  <c r="G174" i="2"/>
  <c r="O174" i="2"/>
  <c r="AC174" i="2"/>
  <c r="AE174" i="2"/>
  <c r="AI174" i="2"/>
  <c r="AD174" i="2"/>
  <c r="Q174" i="2"/>
  <c r="P174" i="2"/>
  <c r="H174" i="2"/>
  <c r="E174" i="2"/>
  <c r="I174" i="2"/>
  <c r="H558" i="2"/>
  <c r="P558" i="2"/>
  <c r="AI558" i="2"/>
  <c r="AC558" i="2"/>
  <c r="AE558" i="2"/>
  <c r="G558" i="2"/>
  <c r="O558" i="2"/>
  <c r="Q558" i="2"/>
  <c r="AD558" i="2"/>
  <c r="I558" i="2"/>
  <c r="J558" i="2"/>
  <c r="E558" i="2"/>
  <c r="J433" i="2"/>
  <c r="AD433" i="2"/>
  <c r="H433" i="2"/>
  <c r="AC433" i="2"/>
  <c r="Q433" i="2"/>
  <c r="P433" i="2"/>
  <c r="AE433" i="2"/>
  <c r="AI433" i="2"/>
  <c r="I433" i="2"/>
  <c r="G433" i="2"/>
  <c r="O433" i="2"/>
  <c r="E433" i="2"/>
  <c r="H588" i="2"/>
  <c r="I588" i="2"/>
  <c r="AC588" i="2"/>
  <c r="AD588" i="2"/>
  <c r="AE588" i="2"/>
  <c r="P588" i="2"/>
  <c r="AI588" i="2"/>
  <c r="Q588" i="2"/>
  <c r="G588" i="2"/>
  <c r="J588" i="2"/>
  <c r="E588" i="2"/>
  <c r="O588" i="2"/>
  <c r="AD362" i="2"/>
  <c r="AE362" i="2"/>
  <c r="I362" i="2"/>
  <c r="AI362" i="2"/>
  <c r="P362" i="2"/>
  <c r="J362" i="2"/>
  <c r="E362" i="2"/>
  <c r="G362" i="2"/>
  <c r="O362" i="2"/>
  <c r="Q362" i="2"/>
  <c r="AC362" i="2"/>
  <c r="H362" i="2"/>
  <c r="I409" i="2"/>
  <c r="AD409" i="2"/>
  <c r="AI409" i="2"/>
  <c r="AC409" i="2"/>
  <c r="Q409" i="2"/>
  <c r="J409" i="2"/>
  <c r="AE409" i="2"/>
  <c r="G409" i="2"/>
  <c r="H409" i="2"/>
  <c r="O409" i="2"/>
  <c r="E409" i="2"/>
  <c r="P409" i="2"/>
  <c r="AE258" i="2"/>
  <c r="J258" i="2"/>
  <c r="P258" i="2"/>
  <c r="E258" i="2"/>
  <c r="AC258" i="2"/>
  <c r="G258" i="2"/>
  <c r="I258" i="2"/>
  <c r="Q258" i="2"/>
  <c r="AI258" i="2"/>
  <c r="AD258" i="2"/>
  <c r="H258" i="2"/>
  <c r="O258" i="2"/>
  <c r="O422" i="2"/>
  <c r="G422" i="2"/>
  <c r="J422" i="2"/>
  <c r="AC422" i="2"/>
  <c r="AD422" i="2"/>
  <c r="P422" i="2"/>
  <c r="AE422" i="2"/>
  <c r="I422" i="2"/>
  <c r="H422" i="2"/>
  <c r="E422" i="2"/>
  <c r="AI422" i="2"/>
  <c r="Q422" i="2"/>
  <c r="AD489" i="2"/>
  <c r="G489" i="2"/>
  <c r="J489" i="2"/>
  <c r="I489" i="2"/>
  <c r="AE489" i="2"/>
  <c r="O489" i="2"/>
  <c r="AI489" i="2"/>
  <c r="P489" i="2"/>
  <c r="H489" i="2"/>
  <c r="Q489" i="2"/>
  <c r="AC489" i="2"/>
  <c r="E489" i="2"/>
  <c r="P189" i="2"/>
  <c r="AC189" i="2"/>
  <c r="O189" i="2"/>
  <c r="AE189" i="2"/>
  <c r="AD189" i="2"/>
  <c r="G189" i="2"/>
  <c r="J189" i="2"/>
  <c r="H189" i="2"/>
  <c r="Q189" i="2"/>
  <c r="I189" i="2"/>
  <c r="AI189" i="2"/>
  <c r="E189" i="2"/>
  <c r="AE83" i="2"/>
  <c r="AC83" i="2"/>
  <c r="H83" i="2"/>
  <c r="J83" i="2"/>
  <c r="AD83" i="2"/>
  <c r="P83" i="2"/>
  <c r="G83" i="2"/>
  <c r="I83" i="2"/>
  <c r="AI83" i="2"/>
  <c r="Q83" i="2"/>
  <c r="O83" i="2"/>
  <c r="E83" i="2"/>
  <c r="P67" i="2"/>
  <c r="AE67" i="2"/>
  <c r="J67" i="2"/>
  <c r="H67" i="2"/>
  <c r="AI67" i="2"/>
  <c r="AC67" i="2"/>
  <c r="O67" i="2"/>
  <c r="Q67" i="2"/>
  <c r="G67" i="2"/>
  <c r="I67" i="2"/>
  <c r="AD67" i="2"/>
  <c r="E67" i="2"/>
  <c r="H537" i="2"/>
  <c r="I537" i="2"/>
  <c r="P537" i="2"/>
  <c r="AD537" i="2"/>
  <c r="AC537" i="2"/>
  <c r="O537" i="2"/>
  <c r="Q537" i="2"/>
  <c r="AE537" i="2"/>
  <c r="G537" i="2"/>
  <c r="J537" i="2"/>
  <c r="AI537" i="2"/>
  <c r="E537" i="2"/>
  <c r="AE526" i="2"/>
  <c r="AI526" i="2"/>
  <c r="G526" i="2"/>
  <c r="I526" i="2"/>
  <c r="P526" i="2"/>
  <c r="AD526" i="2"/>
  <c r="H526" i="2"/>
  <c r="AC526" i="2"/>
  <c r="J526" i="2"/>
  <c r="Q526" i="2"/>
  <c r="O526" i="2"/>
  <c r="E526" i="2"/>
  <c r="AE334" i="2"/>
  <c r="H334" i="2"/>
  <c r="J334" i="2"/>
  <c r="O334" i="2"/>
  <c r="P334" i="2"/>
  <c r="AI334" i="2"/>
  <c r="G334" i="2"/>
  <c r="I334" i="2"/>
  <c r="AD334" i="2"/>
  <c r="E334" i="2"/>
  <c r="AC334" i="2"/>
  <c r="Q334" i="2"/>
  <c r="AC446" i="2"/>
  <c r="O446" i="2"/>
  <c r="I446" i="2"/>
  <c r="AI446" i="2"/>
  <c r="AE446" i="2"/>
  <c r="AD446" i="2"/>
  <c r="J446" i="2"/>
  <c r="P446" i="2"/>
  <c r="H446" i="2"/>
  <c r="E446" i="2"/>
  <c r="G446" i="2"/>
  <c r="Q446" i="2"/>
  <c r="O115" i="2"/>
  <c r="AD115" i="2"/>
  <c r="P115" i="2"/>
  <c r="J115" i="2"/>
  <c r="AE115" i="2"/>
  <c r="I115" i="2"/>
  <c r="H115" i="2"/>
  <c r="G115" i="2"/>
  <c r="AC115" i="2"/>
  <c r="Q115" i="2"/>
  <c r="AI115" i="2"/>
  <c r="E115" i="2"/>
  <c r="P303" i="2"/>
  <c r="AI303" i="2"/>
  <c r="AD303" i="2"/>
  <c r="O303" i="2"/>
  <c r="AE303" i="2"/>
  <c r="AC303" i="2"/>
  <c r="H303" i="2"/>
  <c r="J303" i="2"/>
  <c r="I303" i="2"/>
  <c r="E303" i="2"/>
  <c r="G303" i="2"/>
  <c r="Q303" i="2"/>
  <c r="AE474" i="2"/>
  <c r="AC474" i="2"/>
  <c r="I474" i="2"/>
  <c r="J474" i="2"/>
  <c r="O474" i="2"/>
  <c r="H474" i="2"/>
  <c r="AI474" i="2"/>
  <c r="AD474" i="2"/>
  <c r="E474" i="2"/>
  <c r="G474" i="2"/>
  <c r="Q474" i="2"/>
  <c r="P474" i="2"/>
  <c r="H345" i="2"/>
  <c r="P345" i="2"/>
  <c r="AD345" i="2"/>
  <c r="AC345" i="2"/>
  <c r="J345" i="2"/>
  <c r="AI345" i="2"/>
  <c r="G345" i="2"/>
  <c r="O345" i="2"/>
  <c r="Q345" i="2"/>
  <c r="AE345" i="2"/>
  <c r="E345" i="2"/>
  <c r="I345" i="2"/>
  <c r="J264" i="2"/>
  <c r="P264" i="2"/>
  <c r="AD264" i="2"/>
  <c r="AE264" i="2"/>
  <c r="AC264" i="2"/>
  <c r="I264" i="2"/>
  <c r="G264" i="2"/>
  <c r="AI264" i="2"/>
  <c r="E264" i="2"/>
  <c r="H264" i="2"/>
  <c r="Q264" i="2"/>
  <c r="O264" i="2"/>
  <c r="AI579" i="2"/>
  <c r="G579" i="2"/>
  <c r="J579" i="2"/>
  <c r="I579" i="2"/>
  <c r="AE579" i="2"/>
  <c r="O579" i="2"/>
  <c r="AC579" i="2"/>
  <c r="AD579" i="2"/>
  <c r="H579" i="2"/>
  <c r="Q579" i="2"/>
  <c r="E579" i="2"/>
  <c r="P579" i="2"/>
  <c r="O384" i="2"/>
  <c r="AE384" i="2"/>
  <c r="H384" i="2"/>
  <c r="J384" i="2"/>
  <c r="AC384" i="2"/>
  <c r="P384" i="2"/>
  <c r="G384" i="2"/>
  <c r="AD384" i="2"/>
  <c r="AI384" i="2"/>
  <c r="Q384" i="2"/>
  <c r="I384" i="2"/>
  <c r="E384" i="2"/>
  <c r="AI346" i="2"/>
  <c r="P346" i="2"/>
  <c r="H346" i="2"/>
  <c r="O346" i="2"/>
  <c r="J346" i="2"/>
  <c r="AC346" i="2"/>
  <c r="AE346" i="2"/>
  <c r="G346" i="2"/>
  <c r="I346" i="2"/>
  <c r="E346" i="2"/>
  <c r="AD346" i="2"/>
  <c r="Q346" i="2"/>
  <c r="O160" i="2"/>
  <c r="G160" i="2"/>
  <c r="H160" i="2"/>
  <c r="P160" i="2"/>
  <c r="AD160" i="2"/>
  <c r="AC160" i="2"/>
  <c r="AE160" i="2"/>
  <c r="AI160" i="2"/>
  <c r="J160" i="2"/>
  <c r="E160" i="2"/>
  <c r="I160" i="2"/>
  <c r="Q160" i="2"/>
  <c r="H28" i="2"/>
  <c r="G28" i="2"/>
  <c r="J28" i="2"/>
  <c r="O28" i="2"/>
  <c r="AI28" i="2"/>
  <c r="P28" i="2"/>
  <c r="AD28" i="2"/>
  <c r="I28" i="2"/>
  <c r="Q28" i="2"/>
  <c r="AC28" i="2"/>
  <c r="AE28" i="2"/>
  <c r="E28" i="2"/>
  <c r="H2" i="2"/>
  <c r="J2" i="2"/>
  <c r="O2" i="2"/>
  <c r="AI2" i="2"/>
  <c r="AE2" i="2"/>
  <c r="AD2" i="2"/>
  <c r="AC2" i="2"/>
  <c r="P2" i="2"/>
  <c r="G2" i="2"/>
  <c r="Q2" i="2"/>
  <c r="I2" i="2"/>
  <c r="E2" i="2"/>
  <c r="AC495" i="2"/>
  <c r="I495" i="2"/>
  <c r="O495" i="2"/>
  <c r="P495" i="2"/>
  <c r="G495" i="2"/>
  <c r="H495" i="2"/>
  <c r="AE495" i="2"/>
  <c r="AD495" i="2"/>
  <c r="AI495" i="2"/>
  <c r="Q495" i="2"/>
  <c r="J495" i="2"/>
  <c r="E495" i="2"/>
  <c r="AD416" i="2"/>
  <c r="AC416" i="2"/>
  <c r="G416" i="2"/>
  <c r="AE416" i="2"/>
  <c r="H416" i="2"/>
  <c r="AI416" i="2"/>
  <c r="J416" i="2"/>
  <c r="O416" i="2"/>
  <c r="Q416" i="2"/>
  <c r="I416" i="2"/>
  <c r="P416" i="2"/>
  <c r="E416" i="2"/>
  <c r="AE437" i="2"/>
  <c r="AC437" i="2"/>
  <c r="AD437" i="2"/>
  <c r="O437" i="2"/>
  <c r="H437" i="2"/>
  <c r="J437" i="2"/>
  <c r="P437" i="2"/>
  <c r="G437" i="2"/>
  <c r="E437" i="2"/>
  <c r="AI437" i="2"/>
  <c r="I437" i="2"/>
  <c r="Q437" i="2"/>
  <c r="P522" i="2"/>
  <c r="H522" i="2"/>
  <c r="AC522" i="2"/>
  <c r="AI522" i="2"/>
  <c r="I522" i="2"/>
  <c r="AE522" i="2"/>
  <c r="J522" i="2"/>
  <c r="Q522" i="2"/>
  <c r="AD522" i="2"/>
  <c r="O522" i="2"/>
  <c r="G522" i="2"/>
  <c r="E522" i="2"/>
  <c r="AI320" i="2"/>
  <c r="I320" i="2"/>
  <c r="G320" i="2"/>
  <c r="O320" i="2"/>
  <c r="AD320" i="2"/>
  <c r="P320" i="2"/>
  <c r="AE320" i="2"/>
  <c r="AC320" i="2"/>
  <c r="E320" i="2"/>
  <c r="H320" i="2"/>
  <c r="J320" i="2"/>
  <c r="Q320" i="2"/>
  <c r="AE445" i="2"/>
  <c r="G445" i="2"/>
  <c r="H445" i="2"/>
  <c r="O445" i="2"/>
  <c r="I445" i="2"/>
  <c r="AI445" i="2"/>
  <c r="J445" i="2"/>
  <c r="AC445" i="2"/>
  <c r="E445" i="2"/>
  <c r="P445" i="2"/>
  <c r="AD445" i="2"/>
  <c r="Q445" i="2"/>
  <c r="P163" i="2"/>
  <c r="AD163" i="2"/>
  <c r="AI163" i="2"/>
  <c r="O163" i="2"/>
  <c r="E163" i="2"/>
  <c r="G163" i="2"/>
  <c r="AE163" i="2"/>
  <c r="AC163" i="2"/>
  <c r="J163" i="2"/>
  <c r="H163" i="2"/>
  <c r="I163" i="2"/>
  <c r="Q163" i="2"/>
  <c r="J388" i="2"/>
  <c r="AE388" i="2"/>
  <c r="H388" i="2"/>
  <c r="G388" i="2"/>
  <c r="I388" i="2"/>
  <c r="P388" i="2"/>
  <c r="E388" i="2"/>
  <c r="O388" i="2"/>
  <c r="AD388" i="2"/>
  <c r="Q388" i="2"/>
  <c r="AI388" i="2"/>
  <c r="AC388" i="2"/>
  <c r="AI207" i="2"/>
  <c r="P207" i="2"/>
  <c r="E207" i="2"/>
  <c r="H207" i="2"/>
  <c r="O207" i="2"/>
  <c r="Q207" i="2"/>
  <c r="AE207" i="2"/>
  <c r="AD207" i="2"/>
  <c r="J207" i="2"/>
  <c r="AC207" i="2"/>
  <c r="I207" i="2"/>
  <c r="G207" i="2"/>
  <c r="AE455" i="2"/>
  <c r="G455" i="2"/>
  <c r="I455" i="2"/>
  <c r="AI455" i="2"/>
  <c r="O455" i="2"/>
  <c r="J455" i="2"/>
  <c r="H455" i="2"/>
  <c r="AD455" i="2"/>
  <c r="P455" i="2"/>
  <c r="Q455" i="2"/>
  <c r="AC455" i="2"/>
  <c r="E455" i="2"/>
  <c r="AE59" i="2"/>
  <c r="AI59" i="2"/>
  <c r="AD59" i="2"/>
  <c r="J59" i="2"/>
  <c r="G59" i="2"/>
  <c r="O59" i="2"/>
  <c r="AC59" i="2"/>
  <c r="Q59" i="2"/>
  <c r="P59" i="2"/>
  <c r="H59" i="2"/>
  <c r="I59" i="2"/>
  <c r="E59" i="2"/>
  <c r="G94" i="2"/>
  <c r="AD94" i="2"/>
  <c r="J94" i="2"/>
  <c r="AC94" i="2"/>
  <c r="I94" i="2"/>
  <c r="H94" i="2"/>
  <c r="Q94" i="2"/>
  <c r="AE94" i="2"/>
  <c r="P94" i="2"/>
  <c r="AI94" i="2"/>
  <c r="O94" i="2"/>
  <c r="E94" i="2"/>
  <c r="AC219" i="2"/>
  <c r="P219" i="2"/>
  <c r="O219" i="2"/>
  <c r="I219" i="2"/>
  <c r="AI219" i="2"/>
  <c r="H219" i="2"/>
  <c r="J219" i="2"/>
  <c r="AD219" i="2"/>
  <c r="E219" i="2"/>
  <c r="G219" i="2"/>
  <c r="AE219" i="2"/>
  <c r="Q219" i="2"/>
  <c r="I529" i="2"/>
  <c r="H529" i="2"/>
  <c r="O529" i="2"/>
  <c r="P529" i="2"/>
  <c r="G529" i="2"/>
  <c r="AE529" i="2"/>
  <c r="AC529" i="2"/>
  <c r="E529" i="2"/>
  <c r="AD529" i="2"/>
  <c r="J529" i="2"/>
  <c r="AI529" i="2"/>
  <c r="Q529" i="2"/>
  <c r="I436" i="2"/>
  <c r="J436" i="2"/>
  <c r="Q436" i="2"/>
  <c r="AC436" i="2"/>
  <c r="AI436" i="2"/>
  <c r="E436" i="2"/>
  <c r="AE436" i="2"/>
  <c r="H436" i="2"/>
  <c r="G436" i="2"/>
  <c r="O436" i="2"/>
  <c r="P436" i="2"/>
  <c r="AD436" i="2"/>
  <c r="AE304" i="2"/>
  <c r="H304" i="2"/>
  <c r="AC304" i="2"/>
  <c r="AI304" i="2"/>
  <c r="G304" i="2"/>
  <c r="P304" i="2"/>
  <c r="O304" i="2"/>
  <c r="AD304" i="2"/>
  <c r="E304" i="2"/>
  <c r="I304" i="2"/>
  <c r="J304" i="2"/>
  <c r="Q304" i="2"/>
  <c r="AI382" i="2"/>
  <c r="O382" i="2"/>
  <c r="AC382" i="2"/>
  <c r="J382" i="2"/>
  <c r="AD382" i="2"/>
  <c r="H382" i="2"/>
  <c r="AE382" i="2"/>
  <c r="E382" i="2"/>
  <c r="P382" i="2"/>
  <c r="Q382" i="2"/>
  <c r="I382" i="2"/>
  <c r="G382" i="2"/>
  <c r="AE120" i="2"/>
  <c r="G120" i="2"/>
  <c r="AD120" i="2"/>
  <c r="P120" i="2"/>
  <c r="J120" i="2"/>
  <c r="I120" i="2"/>
  <c r="AI120" i="2"/>
  <c r="O120" i="2"/>
  <c r="H120" i="2"/>
  <c r="Q120" i="2"/>
  <c r="AC120" i="2"/>
  <c r="E120" i="2"/>
  <c r="I123" i="2"/>
  <c r="O123" i="2"/>
  <c r="AD123" i="2"/>
  <c r="G123" i="2"/>
  <c r="AI123" i="2"/>
  <c r="AE123" i="2"/>
  <c r="P123" i="2"/>
  <c r="J123" i="2"/>
  <c r="Q123" i="2"/>
  <c r="H123" i="2"/>
  <c r="E123" i="2"/>
  <c r="AC123" i="2"/>
  <c r="H329" i="2"/>
  <c r="AC329" i="2"/>
  <c r="P329" i="2"/>
  <c r="AD329" i="2"/>
  <c r="G329" i="2"/>
  <c r="AE329" i="2"/>
  <c r="O329" i="2"/>
  <c r="I329" i="2"/>
  <c r="Q329" i="2"/>
  <c r="J329" i="2"/>
  <c r="E329" i="2"/>
  <c r="AI329" i="2"/>
  <c r="O314" i="2"/>
  <c r="AE314" i="2"/>
  <c r="H314" i="2"/>
  <c r="AD314" i="2"/>
  <c r="I314" i="2"/>
  <c r="P314" i="2"/>
  <c r="AI314" i="2"/>
  <c r="J314" i="2"/>
  <c r="AC314" i="2"/>
  <c r="E314" i="2"/>
  <c r="G314" i="2"/>
  <c r="Q314" i="2"/>
  <c r="I567" i="2"/>
  <c r="G567" i="2"/>
  <c r="AC567" i="2"/>
  <c r="AI567" i="2"/>
  <c r="AE567" i="2"/>
  <c r="O567" i="2"/>
  <c r="J567" i="2"/>
  <c r="Q567" i="2"/>
  <c r="H567" i="2"/>
  <c r="E567" i="2"/>
  <c r="AD567" i="2"/>
  <c r="P567" i="2"/>
  <c r="O157" i="2"/>
  <c r="AI157" i="2"/>
  <c r="AC157" i="2"/>
  <c r="I157" i="2"/>
  <c r="G157" i="2"/>
  <c r="P157" i="2"/>
  <c r="AE157" i="2"/>
  <c r="J157" i="2"/>
  <c r="H157" i="2"/>
  <c r="Q157" i="2"/>
  <c r="AD157" i="2"/>
  <c r="E157" i="2"/>
  <c r="AC451" i="2"/>
  <c r="AI451" i="2"/>
  <c r="I451" i="2"/>
  <c r="AD451" i="2"/>
  <c r="H451" i="2"/>
  <c r="O451" i="2"/>
  <c r="AE451" i="2"/>
  <c r="G451" i="2"/>
  <c r="P451" i="2"/>
  <c r="E451" i="2"/>
  <c r="J451" i="2"/>
  <c r="Q451" i="2"/>
  <c r="AE288" i="2"/>
  <c r="AC288" i="2"/>
  <c r="I288" i="2"/>
  <c r="AI288" i="2"/>
  <c r="H288" i="2"/>
  <c r="P288" i="2"/>
  <c r="J288" i="2"/>
  <c r="G288" i="2"/>
  <c r="AD288" i="2"/>
  <c r="O288" i="2"/>
  <c r="E288" i="2"/>
  <c r="Q288" i="2"/>
  <c r="G75" i="2"/>
  <c r="H75" i="2"/>
  <c r="P75" i="2"/>
  <c r="J75" i="2"/>
  <c r="AE75" i="2"/>
  <c r="I75" i="2"/>
  <c r="AD75" i="2"/>
  <c r="O75" i="2"/>
  <c r="Q75" i="2"/>
  <c r="AC75" i="2"/>
  <c r="E75" i="2"/>
  <c r="AI75" i="2"/>
  <c r="AE405" i="2"/>
  <c r="I405" i="2"/>
  <c r="G405" i="2"/>
  <c r="H405" i="2"/>
  <c r="P405" i="2"/>
  <c r="AD405" i="2"/>
  <c r="AC405" i="2"/>
  <c r="AI405" i="2"/>
  <c r="E405" i="2"/>
  <c r="J405" i="2"/>
  <c r="Q405" i="2"/>
  <c r="O405" i="2"/>
  <c r="O76" i="2"/>
  <c r="AE76" i="2"/>
  <c r="P76" i="2"/>
  <c r="AC76" i="2"/>
  <c r="AI76" i="2"/>
  <c r="J76" i="2"/>
  <c r="AD76" i="2"/>
  <c r="H76" i="2"/>
  <c r="G76" i="2"/>
  <c r="E76" i="2"/>
  <c r="I76" i="2"/>
  <c r="Q76" i="2"/>
  <c r="AE226" i="2"/>
  <c r="AC226" i="2"/>
  <c r="AD226" i="2"/>
  <c r="G226" i="2"/>
  <c r="H226" i="2"/>
  <c r="P226" i="2"/>
  <c r="I226" i="2"/>
  <c r="E226" i="2"/>
  <c r="AI226" i="2"/>
  <c r="J226" i="2"/>
  <c r="O226" i="2"/>
  <c r="Q226" i="2"/>
  <c r="H506" i="2"/>
  <c r="AD506" i="2"/>
  <c r="I506" i="2"/>
  <c r="Q506" i="2"/>
  <c r="AE506" i="2"/>
  <c r="G506" i="2"/>
  <c r="O506" i="2"/>
  <c r="E506" i="2"/>
  <c r="AI506" i="2"/>
  <c r="J506" i="2"/>
  <c r="P506" i="2"/>
  <c r="AC506" i="2"/>
  <c r="AE566" i="2"/>
  <c r="P566" i="2"/>
  <c r="J566" i="2"/>
  <c r="E566" i="2"/>
  <c r="H566" i="2"/>
  <c r="AC566" i="2"/>
  <c r="O566" i="2"/>
  <c r="Q566" i="2"/>
  <c r="G566" i="2"/>
  <c r="I566" i="2"/>
  <c r="AI566" i="2"/>
  <c r="AD566" i="2"/>
  <c r="H193" i="2"/>
  <c r="AI193" i="2"/>
  <c r="AC193" i="2"/>
  <c r="P193" i="2"/>
  <c r="AD193" i="2"/>
  <c r="O193" i="2"/>
  <c r="J193" i="2"/>
  <c r="Q193" i="2"/>
  <c r="I193" i="2"/>
  <c r="G193" i="2"/>
  <c r="AE193" i="2"/>
  <c r="E193" i="2"/>
  <c r="J84" i="2"/>
  <c r="AI84" i="2"/>
  <c r="O84" i="2"/>
  <c r="AC84" i="2"/>
  <c r="P84" i="2"/>
  <c r="H84" i="2"/>
  <c r="I84" i="2"/>
  <c r="Q84" i="2"/>
  <c r="AE84" i="2"/>
  <c r="G84" i="2"/>
  <c r="AD84" i="2"/>
  <c r="E84" i="2"/>
  <c r="H509" i="2"/>
  <c r="AD509" i="2"/>
  <c r="G509" i="2"/>
  <c r="P509" i="2"/>
  <c r="AE509" i="2"/>
  <c r="AI509" i="2"/>
  <c r="AC509" i="2"/>
  <c r="O509" i="2"/>
  <c r="Q509" i="2"/>
  <c r="J509" i="2"/>
  <c r="I509" i="2"/>
  <c r="E509" i="2"/>
  <c r="G310" i="2"/>
  <c r="J310" i="2"/>
  <c r="I310" i="2"/>
  <c r="E310" i="2"/>
  <c r="AC310" i="2"/>
  <c r="AE310" i="2"/>
  <c r="P310" i="2"/>
  <c r="Q310" i="2"/>
  <c r="H310" i="2"/>
  <c r="AD310" i="2"/>
  <c r="AI310" i="2"/>
  <c r="O310" i="2"/>
  <c r="AI534" i="2"/>
  <c r="H534" i="2"/>
  <c r="O534" i="2"/>
  <c r="Q534" i="2"/>
  <c r="AC534" i="2"/>
  <c r="AE534" i="2"/>
  <c r="AD534" i="2"/>
  <c r="E534" i="2"/>
  <c r="P534" i="2"/>
  <c r="I534" i="2"/>
  <c r="J534" i="2"/>
  <c r="G534" i="2"/>
  <c r="AD311" i="2"/>
  <c r="G311" i="2"/>
  <c r="Q311" i="2"/>
  <c r="P311" i="2"/>
  <c r="H311" i="2"/>
  <c r="E311" i="2"/>
  <c r="J311" i="2"/>
  <c r="AC311" i="2"/>
  <c r="AI311" i="2"/>
  <c r="I311" i="2"/>
  <c r="AE311" i="2"/>
  <c r="O311" i="2"/>
  <c r="H195" i="2"/>
  <c r="O195" i="2"/>
  <c r="J195" i="2"/>
  <c r="G195" i="2"/>
  <c r="AE195" i="2"/>
  <c r="I195" i="2"/>
  <c r="AC195" i="2"/>
  <c r="Q195" i="2"/>
  <c r="AI195" i="2"/>
  <c r="P195" i="2"/>
  <c r="AD195" i="2"/>
  <c r="E195" i="2"/>
  <c r="AI4" i="2"/>
  <c r="H4" i="2"/>
  <c r="G4" i="2"/>
  <c r="J4" i="2"/>
  <c r="AC4" i="2"/>
  <c r="AE4" i="2"/>
  <c r="AD4" i="2"/>
  <c r="E4" i="2"/>
  <c r="O4" i="2"/>
  <c r="P4" i="2"/>
  <c r="I4" i="2"/>
  <c r="Q4" i="2"/>
  <c r="AE88" i="2"/>
  <c r="AC88" i="2"/>
  <c r="AD88" i="2"/>
  <c r="H88" i="2"/>
  <c r="G88" i="2"/>
  <c r="J88" i="2"/>
  <c r="AI88" i="2"/>
  <c r="O88" i="2"/>
  <c r="Q88" i="2"/>
  <c r="I88" i="2"/>
  <c r="P88" i="2"/>
  <c r="E88" i="2"/>
  <c r="H24" i="2"/>
  <c r="AE24" i="2"/>
  <c r="AC24" i="2"/>
  <c r="E24" i="2"/>
  <c r="AI24" i="2"/>
  <c r="AD24" i="2"/>
  <c r="I24" i="2"/>
  <c r="Q24" i="2"/>
  <c r="P24" i="2"/>
  <c r="O24" i="2"/>
  <c r="G24" i="2"/>
  <c r="J24" i="2"/>
  <c r="J442" i="2"/>
  <c r="P442" i="2"/>
  <c r="AC442" i="2"/>
  <c r="AE442" i="2"/>
  <c r="G442" i="2"/>
  <c r="H442" i="2"/>
  <c r="AD442" i="2"/>
  <c r="E442" i="2"/>
  <c r="AI442" i="2"/>
  <c r="Q442" i="2"/>
  <c r="O442" i="2"/>
  <c r="I442" i="2"/>
  <c r="AE267" i="2"/>
  <c r="I267" i="2"/>
  <c r="Q267" i="2"/>
  <c r="G267" i="2"/>
  <c r="AD267" i="2"/>
  <c r="E267" i="2"/>
  <c r="J267" i="2"/>
  <c r="H267" i="2"/>
  <c r="O267" i="2"/>
  <c r="AC267" i="2"/>
  <c r="P267" i="2"/>
  <c r="AI267" i="2"/>
  <c r="AD275" i="2"/>
  <c r="H275" i="2"/>
  <c r="G275" i="2"/>
  <c r="AC275" i="2"/>
  <c r="P275" i="2"/>
  <c r="AE275" i="2"/>
  <c r="I275" i="2"/>
  <c r="Q275" i="2"/>
  <c r="O275" i="2"/>
  <c r="E275" i="2"/>
  <c r="J275" i="2"/>
  <c r="AI275" i="2"/>
  <c r="G315" i="2"/>
  <c r="H315" i="2"/>
  <c r="AI315" i="2"/>
  <c r="AC315" i="2"/>
  <c r="I315" i="2"/>
  <c r="AE315" i="2"/>
  <c r="AD315" i="2"/>
  <c r="Q315" i="2"/>
  <c r="O315" i="2"/>
  <c r="P315" i="2"/>
  <c r="J315" i="2"/>
  <c r="E315" i="2"/>
  <c r="AD530" i="2"/>
  <c r="O530" i="2"/>
  <c r="P530" i="2"/>
  <c r="AC530" i="2"/>
  <c r="J530" i="2"/>
  <c r="AE530" i="2"/>
  <c r="I530" i="2"/>
  <c r="Q530" i="2"/>
  <c r="H530" i="2"/>
  <c r="G530" i="2"/>
  <c r="E530" i="2"/>
  <c r="AI530" i="2"/>
  <c r="AE276" i="2"/>
  <c r="H276" i="2"/>
  <c r="P276" i="2"/>
  <c r="O276" i="2"/>
  <c r="AC276" i="2"/>
  <c r="J276" i="2"/>
  <c r="G276" i="2"/>
  <c r="Q276" i="2"/>
  <c r="AD276" i="2"/>
  <c r="AI276" i="2"/>
  <c r="I276" i="2"/>
  <c r="E276" i="2"/>
  <c r="G332" i="2"/>
  <c r="AE332" i="2"/>
  <c r="AD332" i="2"/>
  <c r="H332" i="2"/>
  <c r="J332" i="2"/>
  <c r="O332" i="2"/>
  <c r="Q332" i="2"/>
  <c r="P332" i="2"/>
  <c r="AI332" i="2"/>
  <c r="I332" i="2"/>
  <c r="E332" i="2"/>
  <c r="AC332" i="2"/>
  <c r="AE356" i="2"/>
  <c r="H356" i="2"/>
  <c r="J356" i="2"/>
  <c r="AI356" i="2"/>
  <c r="P356" i="2"/>
  <c r="G356" i="2"/>
  <c r="I356" i="2"/>
  <c r="O356" i="2"/>
  <c r="AD356" i="2"/>
  <c r="E356" i="2"/>
  <c r="AC356" i="2"/>
  <c r="Q356" i="2"/>
  <c r="J7" i="2"/>
  <c r="AE7" i="2"/>
  <c r="AI7" i="2"/>
  <c r="AD7" i="2"/>
  <c r="O7" i="2"/>
  <c r="H7" i="2"/>
  <c r="G7" i="2"/>
  <c r="P7" i="2"/>
  <c r="Q7" i="2"/>
  <c r="AC7" i="2"/>
  <c r="E7" i="2"/>
  <c r="I7" i="2"/>
  <c r="G116" i="2"/>
  <c r="I116" i="2"/>
  <c r="J116" i="2"/>
  <c r="P116" i="2"/>
  <c r="AD116" i="2"/>
  <c r="AE116" i="2"/>
  <c r="H116" i="2"/>
  <c r="AC116" i="2"/>
  <c r="E116" i="2"/>
  <c r="AI116" i="2"/>
  <c r="Q116" i="2"/>
  <c r="O116" i="2"/>
  <c r="J66" i="2"/>
  <c r="O66" i="2"/>
  <c r="H66" i="2"/>
  <c r="AD66" i="2"/>
  <c r="AE66" i="2"/>
  <c r="AC66" i="2"/>
  <c r="P66" i="2"/>
  <c r="G66" i="2"/>
  <c r="AI66" i="2"/>
  <c r="Q66" i="2"/>
  <c r="I66" i="2"/>
  <c r="E66" i="2"/>
  <c r="G468" i="2"/>
  <c r="P468" i="2"/>
  <c r="AC468" i="2"/>
  <c r="O468" i="2"/>
  <c r="AI468" i="2"/>
  <c r="H468" i="2"/>
  <c r="AE468" i="2"/>
  <c r="I468" i="2"/>
  <c r="AD468" i="2"/>
  <c r="E468" i="2"/>
  <c r="J468" i="2"/>
  <c r="Q468" i="2"/>
  <c r="AC377" i="2"/>
  <c r="G377" i="2"/>
  <c r="O377" i="2"/>
  <c r="AI377" i="2"/>
  <c r="H377" i="2"/>
  <c r="J377" i="2"/>
  <c r="AD377" i="2"/>
  <c r="Q377" i="2"/>
  <c r="P377" i="2"/>
  <c r="E377" i="2"/>
  <c r="I377" i="2"/>
  <c r="AE377" i="2"/>
  <c r="I351" i="2"/>
  <c r="J351" i="2"/>
  <c r="AI351" i="2"/>
  <c r="AC351" i="2"/>
  <c r="O351" i="2"/>
  <c r="G351" i="2"/>
  <c r="H351" i="2"/>
  <c r="AE351" i="2"/>
  <c r="AD351" i="2"/>
  <c r="E351" i="2"/>
  <c r="P351" i="2"/>
  <c r="Q351" i="2"/>
  <c r="AD129" i="2"/>
  <c r="O129" i="2"/>
  <c r="I129" i="2"/>
  <c r="G129" i="2"/>
  <c r="P129" i="2"/>
  <c r="J129" i="2"/>
  <c r="AI129" i="2"/>
  <c r="H129" i="2"/>
  <c r="E129" i="2"/>
  <c r="AC129" i="2"/>
  <c r="Q129" i="2"/>
  <c r="AE129" i="2"/>
  <c r="P370" i="2"/>
  <c r="AD370" i="2"/>
  <c r="O370" i="2"/>
  <c r="I370" i="2"/>
  <c r="H370" i="2"/>
  <c r="AC370" i="2"/>
  <c r="J370" i="2"/>
  <c r="AI370" i="2"/>
  <c r="Q370" i="2"/>
  <c r="G370" i="2"/>
  <c r="E370" i="2"/>
  <c r="AE370" i="2"/>
  <c r="H69" i="2"/>
  <c r="AE69" i="2"/>
  <c r="G69" i="2"/>
  <c r="J69" i="2"/>
  <c r="AC69" i="2"/>
  <c r="AI69" i="2"/>
  <c r="P69" i="2"/>
  <c r="I69" i="2"/>
  <c r="E69" i="2"/>
  <c r="Q69" i="2"/>
  <c r="O69" i="2"/>
  <c r="AD69" i="2"/>
  <c r="AE261" i="2"/>
  <c r="J261" i="2"/>
  <c r="O261" i="2"/>
  <c r="AD261" i="2"/>
  <c r="AC261" i="2"/>
  <c r="P261" i="2"/>
  <c r="G261" i="2"/>
  <c r="AI261" i="2"/>
  <c r="H261" i="2"/>
  <c r="Q261" i="2"/>
  <c r="I261" i="2"/>
  <c r="E261" i="2"/>
  <c r="P126" i="2"/>
  <c r="J126" i="2"/>
  <c r="AC126" i="2"/>
  <c r="I126" i="2"/>
  <c r="AI126" i="2"/>
  <c r="H126" i="2"/>
  <c r="AD126" i="2"/>
  <c r="G126" i="2"/>
  <c r="AE126" i="2"/>
  <c r="E126" i="2"/>
  <c r="O126" i="2"/>
  <c r="Q126" i="2"/>
  <c r="AI95" i="2"/>
  <c r="AE95" i="2"/>
  <c r="J95" i="2"/>
  <c r="G95" i="2"/>
  <c r="O95" i="2"/>
  <c r="H95" i="2"/>
  <c r="P95" i="2"/>
  <c r="AC95" i="2"/>
  <c r="I95" i="2"/>
  <c r="Q95" i="2"/>
  <c r="AD95" i="2"/>
  <c r="E95" i="2"/>
  <c r="AC280" i="2"/>
  <c r="J280" i="2"/>
  <c r="AD280" i="2"/>
  <c r="O280" i="2"/>
  <c r="P280" i="2"/>
  <c r="AE280" i="2"/>
  <c r="I280" i="2"/>
  <c r="G280" i="2"/>
  <c r="AI280" i="2"/>
  <c r="Q280" i="2"/>
  <c r="H280" i="2"/>
  <c r="E280" i="2"/>
  <c r="AD462" i="2"/>
  <c r="J462" i="2"/>
  <c r="Q462" i="2"/>
  <c r="AI462" i="2"/>
  <c r="AE462" i="2"/>
  <c r="E462" i="2"/>
  <c r="H462" i="2"/>
  <c r="P462" i="2"/>
  <c r="I462" i="2"/>
  <c r="AC462" i="2"/>
  <c r="O462" i="2"/>
  <c r="G462" i="2"/>
  <c r="AD331" i="2"/>
  <c r="H331" i="2"/>
  <c r="Q331" i="2"/>
  <c r="AI331" i="2"/>
  <c r="AE331" i="2"/>
  <c r="E331" i="2"/>
  <c r="P331" i="2"/>
  <c r="J331" i="2"/>
  <c r="G331" i="2"/>
  <c r="AC331" i="2"/>
  <c r="I331" i="2"/>
  <c r="O331" i="2"/>
  <c r="AD547" i="2"/>
  <c r="AI547" i="2"/>
  <c r="I547" i="2"/>
  <c r="AC547" i="2"/>
  <c r="P547" i="2"/>
  <c r="J547" i="2"/>
  <c r="AE547" i="2"/>
  <c r="G547" i="2"/>
  <c r="E547" i="2"/>
  <c r="O547" i="2"/>
  <c r="H547" i="2"/>
  <c r="Q547" i="2"/>
  <c r="AI249" i="2"/>
  <c r="P249" i="2"/>
  <c r="AE249" i="2"/>
  <c r="AD249" i="2"/>
  <c r="G249" i="2"/>
  <c r="AC249" i="2"/>
  <c r="I249" i="2"/>
  <c r="O249" i="2"/>
  <c r="E249" i="2"/>
  <c r="J249" i="2"/>
  <c r="H249" i="2"/>
  <c r="Q249" i="2"/>
  <c r="J525" i="2"/>
  <c r="AI525" i="2"/>
  <c r="AE525" i="2"/>
  <c r="O525" i="2"/>
  <c r="H525" i="2"/>
  <c r="AD525" i="2"/>
  <c r="G525" i="2"/>
  <c r="AC525" i="2"/>
  <c r="E525" i="2"/>
  <c r="I525" i="2"/>
  <c r="P525" i="2"/>
  <c r="Q525" i="2"/>
  <c r="H398" i="2"/>
  <c r="AI398" i="2"/>
  <c r="Q398" i="2"/>
  <c r="G398" i="2"/>
  <c r="P398" i="2"/>
  <c r="E398" i="2"/>
  <c r="AE398" i="2"/>
  <c r="AD398" i="2"/>
  <c r="AC398" i="2"/>
  <c r="I398" i="2"/>
  <c r="O398" i="2"/>
  <c r="J398" i="2"/>
  <c r="AI127" i="2"/>
  <c r="P127" i="2"/>
  <c r="Q127" i="2"/>
  <c r="H127" i="2"/>
  <c r="O127" i="2"/>
  <c r="E127" i="2"/>
  <c r="AE127" i="2"/>
  <c r="J127" i="2"/>
  <c r="AC127" i="2"/>
  <c r="I127" i="2"/>
  <c r="G127" i="2"/>
  <c r="AD127" i="2"/>
  <c r="AE561" i="2"/>
  <c r="J561" i="2"/>
  <c r="O561" i="2"/>
  <c r="E561" i="2"/>
  <c r="I561" i="2"/>
  <c r="G561" i="2"/>
  <c r="AC561" i="2"/>
  <c r="Q561" i="2"/>
  <c r="AD561" i="2"/>
  <c r="P561" i="2"/>
  <c r="AI561" i="2"/>
  <c r="H561" i="2"/>
  <c r="AE294" i="2"/>
  <c r="O294" i="2"/>
  <c r="AD294" i="2"/>
  <c r="Q294" i="2"/>
  <c r="G294" i="2"/>
  <c r="AI294" i="2"/>
  <c r="I294" i="2"/>
  <c r="E294" i="2"/>
  <c r="J294" i="2"/>
  <c r="H294" i="2"/>
  <c r="AC294" i="2"/>
  <c r="P294" i="2"/>
  <c r="AI205" i="2"/>
  <c r="I205" i="2"/>
  <c r="AD205" i="2"/>
  <c r="O205" i="2"/>
  <c r="AC205" i="2"/>
  <c r="J205" i="2"/>
  <c r="AE205" i="2"/>
  <c r="G205" i="2"/>
  <c r="Q205" i="2"/>
  <c r="P205" i="2"/>
  <c r="H205" i="2"/>
  <c r="E205" i="2"/>
  <c r="AD114" i="2"/>
  <c r="I114" i="2"/>
  <c r="O114" i="2"/>
  <c r="P114" i="2"/>
  <c r="AE114" i="2"/>
  <c r="AC114" i="2"/>
  <c r="AI114" i="2"/>
  <c r="E114" i="2"/>
  <c r="G114" i="2"/>
  <c r="J114" i="2"/>
  <c r="H114" i="2"/>
  <c r="Q114" i="2"/>
  <c r="AC378" i="2"/>
  <c r="AD378" i="2"/>
  <c r="E378" i="2"/>
  <c r="G378" i="2"/>
  <c r="J378" i="2"/>
  <c r="Q378" i="2"/>
  <c r="H378" i="2"/>
  <c r="P378" i="2"/>
  <c r="O378" i="2"/>
  <c r="AE378" i="2"/>
  <c r="I378" i="2"/>
  <c r="AI378" i="2"/>
  <c r="H107" i="2"/>
  <c r="O107" i="2"/>
  <c r="E107" i="2"/>
  <c r="AD107" i="2"/>
  <c r="AE107" i="2"/>
  <c r="Q107" i="2"/>
  <c r="J107" i="2"/>
  <c r="I107" i="2"/>
  <c r="G107" i="2"/>
  <c r="AC107" i="2"/>
  <c r="AI107" i="2"/>
  <c r="P107" i="2"/>
  <c r="AD316" i="2"/>
  <c r="AE316" i="2"/>
  <c r="AC316" i="2"/>
  <c r="E316" i="2"/>
  <c r="G316" i="2"/>
  <c r="I316" i="2"/>
  <c r="P316" i="2"/>
  <c r="Q316" i="2"/>
  <c r="AI316" i="2"/>
  <c r="H316" i="2"/>
  <c r="J316" i="2"/>
  <c r="O316" i="2"/>
  <c r="AC278" i="2"/>
  <c r="G278" i="2"/>
  <c r="AI278" i="2"/>
  <c r="I278" i="2"/>
  <c r="J278" i="2"/>
  <c r="AD278" i="2"/>
  <c r="O278" i="2"/>
  <c r="P278" i="2"/>
  <c r="E278" i="2"/>
  <c r="AE278" i="2"/>
  <c r="H278" i="2"/>
  <c r="Q278" i="2"/>
  <c r="I281" i="2"/>
  <c r="P281" i="2"/>
  <c r="J281" i="2"/>
  <c r="AE281" i="2"/>
  <c r="AC281" i="2"/>
  <c r="O281" i="2"/>
  <c r="G281" i="2"/>
  <c r="Q281" i="2"/>
  <c r="H281" i="2"/>
  <c r="E281" i="2"/>
  <c r="AD281" i="2"/>
  <c r="AI281" i="2"/>
  <c r="J74" i="2"/>
  <c r="AE74" i="2"/>
  <c r="H74" i="2"/>
  <c r="AI74" i="2"/>
  <c r="AC74" i="2"/>
  <c r="P74" i="2"/>
  <c r="G74" i="2"/>
  <c r="E74" i="2"/>
  <c r="AD74" i="2"/>
  <c r="O74" i="2"/>
  <c r="Q74" i="2"/>
  <c r="I74" i="2"/>
  <c r="G122" i="2"/>
  <c r="I122" i="2"/>
  <c r="O122" i="2"/>
  <c r="AC122" i="2"/>
  <c r="J122" i="2"/>
  <c r="AE122" i="2"/>
  <c r="P122" i="2"/>
  <c r="Q122" i="2"/>
  <c r="AI122" i="2"/>
  <c r="H122" i="2"/>
  <c r="AD122" i="2"/>
  <c r="E122" i="2"/>
  <c r="AD190" i="2"/>
  <c r="P190" i="2"/>
  <c r="AC190" i="2"/>
  <c r="O190" i="2"/>
  <c r="G190" i="2"/>
  <c r="AE190" i="2"/>
  <c r="I190" i="2"/>
  <c r="E190" i="2"/>
  <c r="H190" i="2"/>
  <c r="J190" i="2"/>
  <c r="AI190" i="2"/>
  <c r="Q190" i="2"/>
  <c r="I285" i="2"/>
  <c r="AE285" i="2"/>
  <c r="G285" i="2"/>
  <c r="AI285" i="2"/>
  <c r="O285" i="2"/>
  <c r="AD285" i="2"/>
  <c r="J285" i="2"/>
  <c r="P285" i="2"/>
  <c r="H285" i="2"/>
  <c r="E285" i="2"/>
  <c r="AC285" i="2"/>
  <c r="Q285" i="2"/>
  <c r="H553" i="2"/>
  <c r="I553" i="2"/>
  <c r="AD553" i="2"/>
  <c r="AC553" i="2"/>
  <c r="G553" i="2"/>
  <c r="P553" i="2"/>
  <c r="AE553" i="2"/>
  <c r="AI553" i="2"/>
  <c r="J553" i="2"/>
  <c r="E553" i="2"/>
  <c r="O553" i="2"/>
  <c r="Q553" i="2"/>
  <c r="J527" i="2"/>
  <c r="AC527" i="2"/>
  <c r="H527" i="2"/>
  <c r="P527" i="2"/>
  <c r="AI527" i="2"/>
  <c r="O527" i="2"/>
  <c r="AE527" i="2"/>
  <c r="AD527" i="2"/>
  <c r="I527" i="2"/>
  <c r="G527" i="2"/>
  <c r="E527" i="2"/>
  <c r="Q527" i="2"/>
  <c r="I152" i="2"/>
  <c r="G152" i="2"/>
  <c r="P152" i="2"/>
  <c r="J152" i="2"/>
  <c r="AD152" i="2"/>
  <c r="O152" i="2"/>
  <c r="AE152" i="2"/>
  <c r="AI152" i="2"/>
  <c r="AC152" i="2"/>
  <c r="H152" i="2"/>
  <c r="Q152" i="2"/>
  <c r="E152" i="2"/>
  <c r="I450" i="2"/>
  <c r="AC450" i="2"/>
  <c r="J450" i="2"/>
  <c r="G450" i="2"/>
  <c r="AD450" i="2"/>
  <c r="P450" i="2"/>
  <c r="AE450" i="2"/>
  <c r="O450" i="2"/>
  <c r="AI450" i="2"/>
  <c r="H450" i="2"/>
  <c r="Q450" i="2"/>
  <c r="E450" i="2"/>
  <c r="P81" i="2"/>
  <c r="AD81" i="2"/>
  <c r="O81" i="2"/>
  <c r="AI81" i="2"/>
  <c r="H81" i="2"/>
  <c r="G81" i="2"/>
  <c r="AE81" i="2"/>
  <c r="AC81" i="2"/>
  <c r="J81" i="2"/>
  <c r="E81" i="2"/>
  <c r="I81" i="2"/>
  <c r="Q81" i="2"/>
  <c r="AC463" i="2"/>
  <c r="AD463" i="2"/>
  <c r="G463" i="2"/>
  <c r="P463" i="2"/>
  <c r="I463" i="2"/>
  <c r="J463" i="2"/>
  <c r="AE463" i="2"/>
  <c r="H463" i="2"/>
  <c r="O463" i="2"/>
  <c r="E463" i="2"/>
  <c r="AI463" i="2"/>
  <c r="Q463" i="2"/>
  <c r="AE504" i="2"/>
  <c r="P504" i="2"/>
  <c r="I504" i="2"/>
  <c r="J504" i="2"/>
  <c r="H504" i="2"/>
  <c r="AD504" i="2"/>
  <c r="G504" i="2"/>
  <c r="AC504" i="2"/>
  <c r="O504" i="2"/>
  <c r="Q504" i="2"/>
  <c r="AI504" i="2"/>
  <c r="E504" i="2"/>
  <c r="G32" i="2"/>
  <c r="AD32" i="2"/>
  <c r="P32" i="2"/>
  <c r="AC32" i="2"/>
  <c r="H32" i="2"/>
  <c r="AE32" i="2"/>
  <c r="O32" i="2"/>
  <c r="E32" i="2"/>
  <c r="AI32" i="2"/>
  <c r="Q32" i="2"/>
  <c r="J32" i="2"/>
  <c r="I32" i="2"/>
  <c r="AC545" i="2"/>
  <c r="O545" i="2"/>
  <c r="AI545" i="2"/>
  <c r="P545" i="2"/>
  <c r="AD545" i="2"/>
  <c r="G545" i="2"/>
  <c r="H545" i="2"/>
  <c r="I545" i="2"/>
  <c r="J545" i="2"/>
  <c r="Q545" i="2"/>
  <c r="AE545" i="2"/>
  <c r="E545" i="2"/>
  <c r="AC395" i="2"/>
  <c r="AD395" i="2"/>
  <c r="H395" i="2"/>
  <c r="G395" i="2"/>
  <c r="I395" i="2"/>
  <c r="O395" i="2"/>
  <c r="P395" i="2"/>
  <c r="J395" i="2"/>
  <c r="AI395" i="2"/>
  <c r="Q395" i="2"/>
  <c r="AE395" i="2"/>
  <c r="E395" i="2"/>
  <c r="AI273" i="2"/>
  <c r="AE273" i="2"/>
  <c r="O273" i="2"/>
  <c r="I273" i="2"/>
  <c r="J273" i="2"/>
  <c r="G273" i="2"/>
  <c r="P273" i="2"/>
  <c r="AD273" i="2"/>
  <c r="H273" i="2"/>
  <c r="E273" i="2"/>
  <c r="AC273" i="2"/>
  <c r="Q273" i="2"/>
  <c r="H50" i="2"/>
  <c r="O50" i="2"/>
  <c r="AI50" i="2"/>
  <c r="AC50" i="2"/>
  <c r="AE50" i="2"/>
  <c r="J50" i="2"/>
  <c r="P50" i="2"/>
  <c r="E50" i="2"/>
  <c r="G50" i="2"/>
  <c r="Q50" i="2"/>
  <c r="AD50" i="2"/>
  <c r="I50" i="2"/>
  <c r="G16" i="2"/>
  <c r="AE16" i="2"/>
  <c r="H16" i="2"/>
  <c r="AD16" i="2"/>
  <c r="O16" i="2"/>
  <c r="AC16" i="2"/>
  <c r="AI16" i="2"/>
  <c r="Q16" i="2"/>
  <c r="J16" i="2"/>
  <c r="E16" i="2"/>
  <c r="P16" i="2"/>
  <c r="I16" i="2"/>
  <c r="P380" i="2"/>
  <c r="J380" i="2"/>
  <c r="AD380" i="2"/>
  <c r="I380" i="2"/>
  <c r="AC380" i="2"/>
  <c r="O380" i="2"/>
  <c r="AE380" i="2"/>
  <c r="G380" i="2"/>
  <c r="H380" i="2"/>
  <c r="Q380" i="2"/>
  <c r="E380" i="2"/>
  <c r="AI380" i="2"/>
  <c r="AD494" i="2"/>
  <c r="I494" i="2"/>
  <c r="J494" i="2"/>
  <c r="AE494" i="2"/>
  <c r="H494" i="2"/>
  <c r="AI494" i="2"/>
  <c r="G494" i="2"/>
  <c r="P494" i="2"/>
  <c r="AC494" i="2"/>
  <c r="Q494" i="2"/>
  <c r="O494" i="2"/>
  <c r="E494" i="2"/>
  <c r="AC100" i="2"/>
  <c r="O100" i="2"/>
  <c r="G100" i="2"/>
  <c r="AE100" i="2"/>
  <c r="J100" i="2"/>
  <c r="I100" i="2"/>
  <c r="P100" i="2"/>
  <c r="H100" i="2"/>
  <c r="AI100" i="2"/>
  <c r="E100" i="2"/>
  <c r="AD100" i="2"/>
  <c r="Q100" i="2"/>
  <c r="G136" i="2"/>
  <c r="P136" i="2"/>
  <c r="O136" i="2"/>
  <c r="I136" i="2"/>
  <c r="AE136" i="2"/>
  <c r="AC136" i="2"/>
  <c r="H136" i="2"/>
  <c r="E136" i="2"/>
  <c r="J136" i="2"/>
  <c r="AD136" i="2"/>
  <c r="AI136" i="2"/>
  <c r="Q136" i="2"/>
  <c r="AE260" i="2"/>
  <c r="AD260" i="2"/>
  <c r="AI260" i="2"/>
  <c r="I260" i="2"/>
  <c r="H260" i="2"/>
  <c r="J260" i="2"/>
  <c r="P260" i="2"/>
  <c r="AC260" i="2"/>
  <c r="G260" i="2"/>
  <c r="E260" i="2"/>
  <c r="O260" i="2"/>
  <c r="Q260" i="2"/>
  <c r="P492" i="2"/>
  <c r="O492" i="2"/>
  <c r="H492" i="2"/>
  <c r="J492" i="2"/>
  <c r="AE492" i="2"/>
  <c r="AD492" i="2"/>
  <c r="I492" i="2"/>
  <c r="AI492" i="2"/>
  <c r="AC492" i="2"/>
  <c r="E492" i="2"/>
  <c r="G492" i="2"/>
  <c r="Q492" i="2"/>
  <c r="P284" i="2"/>
  <c r="AD284" i="2"/>
  <c r="G284" i="2"/>
  <c r="J284" i="2"/>
  <c r="AC284" i="2"/>
  <c r="AI284" i="2"/>
  <c r="O284" i="2"/>
  <c r="AE284" i="2"/>
  <c r="E284" i="2"/>
  <c r="H284" i="2"/>
  <c r="Q284" i="2"/>
  <c r="I284" i="2"/>
  <c r="G364" i="2"/>
  <c r="I364" i="2"/>
  <c r="P364" i="2"/>
  <c r="AD364" i="2"/>
  <c r="AC364" i="2"/>
  <c r="J364" i="2"/>
  <c r="AI364" i="2"/>
  <c r="H364" i="2"/>
  <c r="O364" i="2"/>
  <c r="AE364" i="2"/>
  <c r="E364" i="2"/>
  <c r="Q364" i="2"/>
  <c r="I374" i="2"/>
  <c r="P374" i="2"/>
  <c r="AD374" i="2"/>
  <c r="AE374" i="2"/>
  <c r="AC374" i="2"/>
  <c r="G374" i="2"/>
  <c r="O374" i="2"/>
  <c r="H374" i="2"/>
  <c r="J374" i="2"/>
  <c r="E374" i="2"/>
  <c r="AI374" i="2"/>
  <c r="Q374" i="2"/>
  <c r="AC501" i="2"/>
  <c r="I501" i="2"/>
  <c r="H501" i="2"/>
  <c r="P501" i="2"/>
  <c r="AI501" i="2"/>
  <c r="AD501" i="2"/>
  <c r="AE501" i="2"/>
  <c r="O501" i="2"/>
  <c r="J501" i="2"/>
  <c r="E501" i="2"/>
  <c r="G501" i="2"/>
  <c r="Q501" i="2"/>
  <c r="AI164" i="2"/>
  <c r="AC164" i="2"/>
  <c r="I164" i="2"/>
  <c r="H164" i="2"/>
  <c r="AD164" i="2"/>
  <c r="O164" i="2"/>
  <c r="AE164" i="2"/>
  <c r="P164" i="2"/>
  <c r="E164" i="2"/>
  <c r="J164" i="2"/>
  <c r="Q164" i="2"/>
  <c r="G164" i="2"/>
  <c r="AE481" i="2"/>
  <c r="G481" i="2"/>
  <c r="I481" i="2"/>
  <c r="AD481" i="2"/>
  <c r="O481" i="2"/>
  <c r="H481" i="2"/>
  <c r="AI481" i="2"/>
  <c r="Q481" i="2"/>
  <c r="P481" i="2"/>
  <c r="AC481" i="2"/>
  <c r="J481" i="2"/>
  <c r="E481" i="2"/>
  <c r="AD192" i="2"/>
  <c r="I192" i="2"/>
  <c r="H192" i="2"/>
  <c r="E192" i="2"/>
  <c r="G192" i="2"/>
  <c r="P192" i="2"/>
  <c r="AC192" i="2"/>
  <c r="Q192" i="2"/>
  <c r="O192" i="2"/>
  <c r="AI192" i="2"/>
  <c r="AE192" i="2"/>
  <c r="J192" i="2"/>
  <c r="AE191" i="2"/>
  <c r="O191" i="2"/>
  <c r="I191" i="2"/>
  <c r="E191" i="2"/>
  <c r="AC191" i="2"/>
  <c r="AI191" i="2"/>
  <c r="H191" i="2"/>
  <c r="Q191" i="2"/>
  <c r="J191" i="2"/>
  <c r="P191" i="2"/>
  <c r="AD191" i="2"/>
  <c r="G191" i="2"/>
  <c r="AD353" i="2"/>
  <c r="AI353" i="2"/>
  <c r="J353" i="2"/>
  <c r="H353" i="2"/>
  <c r="G353" i="2"/>
  <c r="AC353" i="2"/>
  <c r="AE353" i="2"/>
  <c r="E353" i="2"/>
  <c r="I353" i="2"/>
  <c r="O353" i="2"/>
  <c r="P353" i="2"/>
  <c r="Q353" i="2"/>
  <c r="G230" i="2"/>
  <c r="P230" i="2"/>
  <c r="AD230" i="2"/>
  <c r="E230" i="2"/>
  <c r="AC230" i="2"/>
  <c r="J230" i="2"/>
  <c r="AI230" i="2"/>
  <c r="Q230" i="2"/>
  <c r="O230" i="2"/>
  <c r="H230" i="2"/>
  <c r="AE230" i="2"/>
  <c r="I230" i="2"/>
  <c r="H35" i="2"/>
  <c r="P35" i="2"/>
  <c r="G35" i="2"/>
  <c r="J35" i="2"/>
  <c r="AE35" i="2"/>
  <c r="AD35" i="2"/>
  <c r="AI35" i="2"/>
  <c r="Q35" i="2"/>
  <c r="O35" i="2"/>
  <c r="AC35" i="2"/>
  <c r="I35" i="2"/>
  <c r="E35" i="2"/>
  <c r="AD30" i="2"/>
  <c r="G30" i="2"/>
  <c r="AI30" i="2"/>
  <c r="J30" i="2"/>
  <c r="O30" i="2"/>
  <c r="I30" i="2"/>
  <c r="AE30" i="2"/>
  <c r="AC30" i="2"/>
  <c r="Q30" i="2"/>
  <c r="H30" i="2"/>
  <c r="P30" i="2"/>
  <c r="E30" i="2"/>
  <c r="G564" i="2"/>
  <c r="AE564" i="2"/>
  <c r="I564" i="2"/>
  <c r="Q564" i="2"/>
  <c r="AC564" i="2"/>
  <c r="AD564" i="2"/>
  <c r="J564" i="2"/>
  <c r="E564" i="2"/>
  <c r="P564" i="2"/>
  <c r="H564" i="2"/>
  <c r="O564" i="2"/>
  <c r="AI564" i="2"/>
  <c r="AE201" i="2"/>
  <c r="AD201" i="2"/>
  <c r="J201" i="2"/>
  <c r="P201" i="2"/>
  <c r="O201" i="2"/>
  <c r="H201" i="2"/>
  <c r="AI201" i="2"/>
  <c r="G201" i="2"/>
  <c r="AC201" i="2"/>
  <c r="E201" i="2"/>
  <c r="I201" i="2"/>
  <c r="Q201" i="2"/>
  <c r="AD413" i="2"/>
  <c r="O413" i="2"/>
  <c r="H413" i="2"/>
  <c r="P413" i="2"/>
  <c r="AI413" i="2"/>
  <c r="AC413" i="2"/>
  <c r="G413" i="2"/>
  <c r="I413" i="2"/>
  <c r="J413" i="2"/>
  <c r="Q413" i="2"/>
  <c r="AE413" i="2"/>
  <c r="E413" i="2"/>
  <c r="O465" i="2"/>
  <c r="AD465" i="2"/>
  <c r="I465" i="2"/>
  <c r="AC465" i="2"/>
  <c r="H465" i="2"/>
  <c r="J465" i="2"/>
  <c r="AE465" i="2"/>
  <c r="AI465" i="2"/>
  <c r="G465" i="2"/>
  <c r="P465" i="2"/>
  <c r="E465" i="2"/>
  <c r="Q465" i="2"/>
  <c r="AE475" i="2"/>
  <c r="I475" i="2"/>
  <c r="G475" i="2"/>
  <c r="P475" i="2"/>
  <c r="AI475" i="2"/>
  <c r="H475" i="2"/>
  <c r="AC475" i="2"/>
  <c r="J475" i="2"/>
  <c r="O475" i="2"/>
  <c r="E475" i="2"/>
  <c r="Q475" i="2"/>
  <c r="AD475" i="2"/>
  <c r="J139" i="2"/>
  <c r="AI139" i="2"/>
  <c r="O139" i="2"/>
  <c r="AD139" i="2"/>
  <c r="G139" i="2"/>
  <c r="AC139" i="2"/>
  <c r="AE139" i="2"/>
  <c r="I139" i="2"/>
  <c r="H139" i="2"/>
  <c r="Q139" i="2"/>
  <c r="P139" i="2"/>
  <c r="E139" i="2"/>
  <c r="P149" i="2"/>
  <c r="AE149" i="2"/>
  <c r="G149" i="2"/>
  <c r="AI149" i="2"/>
  <c r="J149" i="2"/>
  <c r="AD149" i="2"/>
  <c r="AC149" i="2"/>
  <c r="O149" i="2"/>
  <c r="H149" i="2"/>
  <c r="E149" i="2"/>
  <c r="I149" i="2"/>
  <c r="Q149" i="2"/>
  <c r="G366" i="2"/>
  <c r="O366" i="2"/>
  <c r="AI366" i="2"/>
  <c r="H366" i="2"/>
  <c r="AC366" i="2"/>
  <c r="J366" i="2"/>
  <c r="AE366" i="2"/>
  <c r="I366" i="2"/>
  <c r="P366" i="2"/>
  <c r="Q366" i="2"/>
  <c r="AD366" i="2"/>
  <c r="E366" i="2"/>
  <c r="AE248" i="2"/>
  <c r="AC248" i="2"/>
  <c r="H248" i="2"/>
  <c r="G248" i="2"/>
  <c r="AI248" i="2"/>
  <c r="J248" i="2"/>
  <c r="AD248" i="2"/>
  <c r="I248" i="2"/>
  <c r="P248" i="2"/>
  <c r="Q248" i="2"/>
  <c r="O248" i="2"/>
  <c r="E248" i="2"/>
  <c r="J507" i="2"/>
  <c r="G507" i="2"/>
  <c r="I507" i="2"/>
  <c r="H507" i="2"/>
  <c r="AC507" i="2"/>
  <c r="AE507" i="2"/>
  <c r="AD507" i="2"/>
  <c r="O507" i="2"/>
  <c r="P507" i="2"/>
  <c r="Q507" i="2"/>
  <c r="AI507" i="2"/>
  <c r="E507" i="2"/>
  <c r="AI277" i="2"/>
  <c r="H277" i="2"/>
  <c r="P277" i="2"/>
  <c r="G277" i="2"/>
  <c r="AE277" i="2"/>
  <c r="I277" i="2"/>
  <c r="AC277" i="2"/>
  <c r="O277" i="2"/>
  <c r="J277" i="2"/>
  <c r="E277" i="2"/>
  <c r="AD277" i="2"/>
  <c r="Q277" i="2"/>
  <c r="I546" i="2"/>
  <c r="H546" i="2"/>
  <c r="J546" i="2"/>
  <c r="AC546" i="2"/>
  <c r="AI546" i="2"/>
  <c r="P546" i="2"/>
  <c r="G546" i="2"/>
  <c r="O546" i="2"/>
  <c r="AD546" i="2"/>
  <c r="AE546" i="2"/>
  <c r="E546" i="2"/>
  <c r="Q546" i="2"/>
  <c r="AE417" i="2"/>
  <c r="J417" i="2"/>
  <c r="H417" i="2"/>
  <c r="I417" i="2"/>
  <c r="AI417" i="2"/>
  <c r="AC417" i="2"/>
  <c r="G417" i="2"/>
  <c r="E417" i="2"/>
  <c r="P417" i="2"/>
  <c r="Q417" i="2"/>
  <c r="O417" i="2"/>
  <c r="AD417" i="2"/>
  <c r="AE93" i="2"/>
  <c r="H93" i="2"/>
  <c r="O93" i="2"/>
  <c r="J93" i="2"/>
  <c r="AI93" i="2"/>
  <c r="I93" i="2"/>
  <c r="G93" i="2"/>
  <c r="E93" i="2"/>
  <c r="AC93" i="2"/>
  <c r="Q93" i="2"/>
  <c r="P93" i="2"/>
  <c r="AD93" i="2"/>
  <c r="AE112" i="2"/>
  <c r="AD112" i="2"/>
  <c r="AC112" i="2"/>
  <c r="H112" i="2"/>
  <c r="I112" i="2"/>
  <c r="P112" i="2"/>
  <c r="AI112" i="2"/>
  <c r="O112" i="2"/>
  <c r="E112" i="2"/>
  <c r="G112" i="2"/>
  <c r="Q112" i="2"/>
  <c r="J112" i="2"/>
  <c r="G517" i="2"/>
  <c r="I517" i="2"/>
  <c r="H517" i="2"/>
  <c r="Q517" i="2"/>
  <c r="J517" i="2"/>
  <c r="P517" i="2"/>
  <c r="AD517" i="2"/>
  <c r="E517" i="2"/>
  <c r="AE517" i="2"/>
  <c r="AC517" i="2"/>
  <c r="O517" i="2"/>
  <c r="AI517" i="2"/>
  <c r="AE572" i="2"/>
  <c r="O572" i="2"/>
  <c r="AD572" i="2"/>
  <c r="E572" i="2"/>
  <c r="I572" i="2"/>
  <c r="P572" i="2"/>
  <c r="AC572" i="2"/>
  <c r="Q572" i="2"/>
  <c r="H572" i="2"/>
  <c r="J572" i="2"/>
  <c r="G572" i="2"/>
  <c r="AI572" i="2"/>
  <c r="I399" i="2"/>
  <c r="AC399" i="2"/>
  <c r="J399" i="2"/>
  <c r="AD399" i="2"/>
  <c r="O399" i="2"/>
  <c r="AE399" i="2"/>
  <c r="P399" i="2"/>
  <c r="Q399" i="2"/>
  <c r="H399" i="2"/>
  <c r="AI399" i="2"/>
  <c r="G399" i="2"/>
  <c r="E399" i="2"/>
  <c r="J408" i="2"/>
  <c r="AI408" i="2"/>
  <c r="AC408" i="2"/>
  <c r="H408" i="2"/>
  <c r="O408" i="2"/>
  <c r="AE408" i="2"/>
  <c r="AD408" i="2"/>
  <c r="E408" i="2"/>
  <c r="I408" i="2"/>
  <c r="P408" i="2"/>
  <c r="G408" i="2"/>
  <c r="Q408" i="2"/>
  <c r="AE48" i="2"/>
  <c r="AD48" i="2"/>
  <c r="AC48" i="2"/>
  <c r="AI48" i="2"/>
  <c r="G48" i="2"/>
  <c r="I48" i="2"/>
  <c r="J48" i="2"/>
  <c r="P48" i="2"/>
  <c r="E48" i="2"/>
  <c r="O48" i="2"/>
  <c r="H48" i="2"/>
  <c r="Q48" i="2"/>
  <c r="H502" i="2"/>
  <c r="G502" i="2"/>
  <c r="AI502" i="2"/>
  <c r="AC502" i="2"/>
  <c r="I502" i="2"/>
  <c r="P502" i="2"/>
  <c r="O502" i="2"/>
  <c r="AD502" i="2"/>
  <c r="E502" i="2"/>
  <c r="J502" i="2"/>
  <c r="AE502" i="2"/>
  <c r="Q502" i="2"/>
  <c r="AE574" i="2"/>
  <c r="I574" i="2"/>
  <c r="Q574" i="2"/>
  <c r="AD574" i="2"/>
  <c r="O574" i="2"/>
  <c r="E574" i="2"/>
  <c r="J574" i="2"/>
  <c r="P574" i="2"/>
  <c r="AC574" i="2"/>
  <c r="H574" i="2"/>
  <c r="AI574" i="2"/>
  <c r="G574" i="2"/>
  <c r="O19" i="2"/>
  <c r="AD19" i="2"/>
  <c r="G19" i="2"/>
  <c r="AI19" i="2"/>
  <c r="H19" i="2"/>
  <c r="AE19" i="2"/>
  <c r="P19" i="2"/>
  <c r="E19" i="2"/>
  <c r="AC19" i="2"/>
  <c r="I19" i="2"/>
  <c r="J19" i="2"/>
  <c r="Q19" i="2"/>
  <c r="AE439" i="2"/>
  <c r="H439" i="2"/>
  <c r="P439" i="2"/>
  <c r="I439" i="2"/>
  <c r="G439" i="2"/>
  <c r="J439" i="2"/>
  <c r="AC439" i="2"/>
  <c r="E439" i="2"/>
  <c r="AI439" i="2"/>
  <c r="AD439" i="2"/>
  <c r="O439" i="2"/>
  <c r="Q439" i="2"/>
  <c r="G63" i="2"/>
  <c r="AI63" i="2"/>
  <c r="H63" i="2"/>
  <c r="Q63" i="2"/>
  <c r="J63" i="2"/>
  <c r="O63" i="2"/>
  <c r="I63" i="2"/>
  <c r="E63" i="2"/>
  <c r="AD63" i="2"/>
  <c r="AE63" i="2"/>
  <c r="P63" i="2"/>
  <c r="AC63" i="2"/>
  <c r="I473" i="2"/>
  <c r="AE473" i="2"/>
  <c r="J473" i="2"/>
  <c r="E473" i="2"/>
  <c r="AI473" i="2"/>
  <c r="P473" i="2"/>
  <c r="G473" i="2"/>
  <c r="Q473" i="2"/>
  <c r="AC473" i="2"/>
  <c r="O473" i="2"/>
  <c r="H473" i="2"/>
  <c r="AD473" i="2"/>
  <c r="AE15" i="2"/>
  <c r="AC15" i="2"/>
  <c r="E15" i="2"/>
  <c r="G15" i="2"/>
  <c r="H15" i="2"/>
  <c r="Q15" i="2"/>
  <c r="J15" i="2"/>
  <c r="AD15" i="2"/>
  <c r="P15" i="2"/>
  <c r="O15" i="2"/>
  <c r="AI15" i="2"/>
  <c r="I15" i="2"/>
  <c r="AD429" i="2"/>
  <c r="J429" i="2"/>
  <c r="AI429" i="2"/>
  <c r="G429" i="2"/>
  <c r="O429" i="2"/>
  <c r="AE429" i="2"/>
  <c r="H429" i="2"/>
  <c r="Q429" i="2"/>
  <c r="P429" i="2"/>
  <c r="E429" i="2"/>
  <c r="I429" i="2"/>
  <c r="AC429" i="2"/>
  <c r="AC512" i="2"/>
  <c r="AE512" i="2"/>
  <c r="G512" i="2"/>
  <c r="O512" i="2"/>
  <c r="J512" i="2"/>
  <c r="AI512" i="2"/>
  <c r="I512" i="2"/>
  <c r="AD512" i="2"/>
  <c r="Q512" i="2"/>
  <c r="P512" i="2"/>
  <c r="H512" i="2"/>
  <c r="E512" i="2"/>
  <c r="G186" i="2"/>
  <c r="AD186" i="2"/>
  <c r="Q186" i="2"/>
  <c r="AC186" i="2"/>
  <c r="H186" i="2"/>
  <c r="E186" i="2"/>
  <c r="AE186" i="2"/>
  <c r="AI186" i="2"/>
  <c r="P186" i="2"/>
  <c r="J186" i="2"/>
  <c r="I186" i="2"/>
  <c r="O186" i="2"/>
  <c r="AD328" i="2"/>
  <c r="H328" i="2"/>
  <c r="AI328" i="2"/>
  <c r="E328" i="2"/>
  <c r="I328" i="2"/>
  <c r="AC328" i="2"/>
  <c r="O328" i="2"/>
  <c r="Q328" i="2"/>
  <c r="P328" i="2"/>
  <c r="J328" i="2"/>
  <c r="AE328" i="2"/>
  <c r="G328" i="2"/>
  <c r="AD469" i="2"/>
  <c r="I469" i="2"/>
  <c r="E469" i="2"/>
  <c r="P469" i="2"/>
  <c r="AE469" i="2"/>
  <c r="Q469" i="2"/>
  <c r="AC469" i="2"/>
  <c r="J469" i="2"/>
  <c r="AI469" i="2"/>
  <c r="G469" i="2"/>
  <c r="O469" i="2"/>
  <c r="H469" i="2"/>
  <c r="J97" i="2"/>
  <c r="O97" i="2"/>
  <c r="P97" i="2"/>
  <c r="AE97" i="2"/>
  <c r="AC97" i="2"/>
  <c r="I97" i="2"/>
  <c r="G97" i="2"/>
  <c r="E97" i="2"/>
  <c r="AI97" i="2"/>
  <c r="Q97" i="2"/>
  <c r="H97" i="2"/>
  <c r="AD97" i="2"/>
  <c r="J172" i="2"/>
  <c r="O172" i="2"/>
  <c r="P172" i="2"/>
  <c r="G172" i="2"/>
  <c r="I172" i="2"/>
  <c r="AE172" i="2"/>
  <c r="H172" i="2"/>
  <c r="AI172" i="2"/>
  <c r="E172" i="2"/>
  <c r="AC172" i="2"/>
  <c r="Q172" i="2"/>
  <c r="AD172" i="2"/>
  <c r="H242" i="2"/>
  <c r="AE242" i="2"/>
  <c r="J242" i="2"/>
  <c r="G242" i="2"/>
  <c r="O242" i="2"/>
  <c r="AD242" i="2"/>
  <c r="I242" i="2"/>
  <c r="AI242" i="2"/>
  <c r="P242" i="2"/>
  <c r="E242" i="2"/>
  <c r="AC242" i="2"/>
  <c r="Q242" i="2"/>
  <c r="AE17" i="2"/>
  <c r="J17" i="2"/>
  <c r="AD17" i="2"/>
  <c r="G17" i="2"/>
  <c r="O17" i="2"/>
  <c r="P17" i="2"/>
  <c r="AC17" i="2"/>
  <c r="Q17" i="2"/>
  <c r="AI17" i="2"/>
  <c r="E17" i="2"/>
  <c r="H17" i="2"/>
  <c r="I17" i="2"/>
  <c r="AD177" i="2"/>
  <c r="J177" i="2"/>
  <c r="O177" i="2"/>
  <c r="H177" i="2"/>
  <c r="AE177" i="2"/>
  <c r="G177" i="2"/>
  <c r="I177" i="2"/>
  <c r="P177" i="2"/>
  <c r="Q177" i="2"/>
  <c r="AI177" i="2"/>
  <c r="E177" i="2"/>
  <c r="AC177" i="2"/>
  <c r="I538" i="2"/>
  <c r="H538" i="2"/>
  <c r="AC538" i="2"/>
  <c r="P538" i="2"/>
  <c r="O538" i="2"/>
  <c r="J538" i="2"/>
  <c r="AD538" i="2"/>
  <c r="G538" i="2"/>
  <c r="Q538" i="2"/>
  <c r="E538" i="2"/>
  <c r="AI538" i="2"/>
  <c r="AE538" i="2"/>
  <c r="G550" i="2"/>
  <c r="AE550" i="2"/>
  <c r="J550" i="2"/>
  <c r="H550" i="2"/>
  <c r="AI550" i="2"/>
  <c r="P550" i="2"/>
  <c r="O550" i="2"/>
  <c r="AD550" i="2"/>
  <c r="I550" i="2"/>
  <c r="Q550" i="2"/>
  <c r="AC550" i="2"/>
  <c r="E550" i="2"/>
  <c r="P578" i="2"/>
  <c r="I578" i="2"/>
  <c r="Q578" i="2"/>
  <c r="O578" i="2"/>
  <c r="AE578" i="2"/>
  <c r="E578" i="2"/>
  <c r="AI578" i="2"/>
  <c r="H578" i="2"/>
  <c r="J578" i="2"/>
  <c r="AC578" i="2"/>
  <c r="AD578" i="2"/>
  <c r="G578" i="2"/>
  <c r="G65" i="2"/>
  <c r="AC65" i="2"/>
  <c r="J65" i="2"/>
  <c r="O65" i="2"/>
  <c r="P65" i="2"/>
  <c r="I65" i="2"/>
  <c r="AE65" i="2"/>
  <c r="AI65" i="2"/>
  <c r="E65" i="2"/>
  <c r="AD65" i="2"/>
  <c r="H65" i="2"/>
  <c r="Q65" i="2"/>
  <c r="AI568" i="2"/>
  <c r="I568" i="2"/>
  <c r="O568" i="2"/>
  <c r="P568" i="2"/>
  <c r="AE568" i="2"/>
  <c r="G568" i="2"/>
  <c r="AC568" i="2"/>
  <c r="J568" i="2"/>
  <c r="E568" i="2"/>
  <c r="H568" i="2"/>
  <c r="AD568" i="2"/>
  <c r="Q568" i="2"/>
  <c r="H313" i="2"/>
  <c r="I313" i="2"/>
  <c r="AI313" i="2"/>
  <c r="O313" i="2"/>
  <c r="P313" i="2"/>
  <c r="J313" i="2"/>
  <c r="AE313" i="2"/>
  <c r="AC313" i="2"/>
  <c r="Q313" i="2"/>
  <c r="AD313" i="2"/>
  <c r="G313" i="2"/>
  <c r="E313" i="2"/>
  <c r="AE57" i="2"/>
  <c r="AD57" i="2"/>
  <c r="AC57" i="2"/>
  <c r="J57" i="2"/>
  <c r="H57" i="2"/>
  <c r="P57" i="2"/>
  <c r="AI57" i="2"/>
  <c r="Q57" i="2"/>
  <c r="O57" i="2"/>
  <c r="I57" i="2"/>
  <c r="G57" i="2"/>
  <c r="E57" i="2"/>
  <c r="H56" i="2"/>
  <c r="AD56" i="2"/>
  <c r="Q56" i="2"/>
  <c r="O56" i="2"/>
  <c r="AC56" i="2"/>
  <c r="E56" i="2"/>
  <c r="AI56" i="2"/>
  <c r="J56" i="2"/>
  <c r="P56" i="2"/>
  <c r="G56" i="2"/>
  <c r="I56" i="2"/>
  <c r="AE56" i="2"/>
  <c r="O197" i="2"/>
  <c r="AE197" i="2"/>
  <c r="I197" i="2"/>
  <c r="Q197" i="2"/>
  <c r="AC197" i="2"/>
  <c r="H197" i="2"/>
  <c r="AD197" i="2"/>
  <c r="E197" i="2"/>
  <c r="P197" i="2"/>
  <c r="G197" i="2"/>
  <c r="J197" i="2"/>
  <c r="AI197" i="2"/>
  <c r="AE86" i="2"/>
  <c r="G86" i="2"/>
  <c r="I86" i="2"/>
  <c r="AC86" i="2"/>
  <c r="O86" i="2"/>
  <c r="J86" i="2"/>
  <c r="P86" i="2"/>
  <c r="AD86" i="2"/>
  <c r="Q86" i="2"/>
  <c r="AI86" i="2"/>
  <c r="H86" i="2"/>
  <c r="E86" i="2"/>
  <c r="G237" i="2"/>
  <c r="O237" i="2"/>
  <c r="E237" i="2"/>
  <c r="AC237" i="2"/>
  <c r="I237" i="2"/>
  <c r="Q237" i="2"/>
  <c r="AE237" i="2"/>
  <c r="AI237" i="2"/>
  <c r="P237" i="2"/>
  <c r="H237" i="2"/>
  <c r="AD237" i="2"/>
  <c r="J237" i="2"/>
  <c r="G569" i="2"/>
  <c r="AE569" i="2"/>
  <c r="J569" i="2"/>
  <c r="H569" i="2"/>
  <c r="P569" i="2"/>
  <c r="I569" i="2"/>
  <c r="AI569" i="2"/>
  <c r="O569" i="2"/>
  <c r="E569" i="2"/>
  <c r="Q569" i="2"/>
  <c r="AD569" i="2"/>
  <c r="AC569" i="2"/>
  <c r="AE229" i="2"/>
  <c r="J229" i="2"/>
  <c r="O229" i="2"/>
  <c r="AC229" i="2"/>
  <c r="P229" i="2"/>
  <c r="AI229" i="2"/>
  <c r="I229" i="2"/>
  <c r="AD229" i="2"/>
  <c r="G229" i="2"/>
  <c r="E229" i="2"/>
  <c r="H229" i="2"/>
  <c r="Q229" i="2"/>
  <c r="O247" i="2"/>
  <c r="AI247" i="2"/>
  <c r="I247" i="2"/>
  <c r="AC247" i="2"/>
  <c r="H247" i="2"/>
  <c r="J247" i="2"/>
  <c r="AE247" i="2"/>
  <c r="P247" i="2"/>
  <c r="AD247" i="2"/>
  <c r="E247" i="2"/>
  <c r="G247" i="2"/>
  <c r="Q247" i="2"/>
  <c r="AC456" i="2"/>
  <c r="H456" i="2"/>
  <c r="AD456" i="2"/>
  <c r="AI456" i="2"/>
  <c r="J456" i="2"/>
  <c r="I456" i="2"/>
  <c r="O456" i="2"/>
  <c r="G456" i="2"/>
  <c r="AE456" i="2"/>
  <c r="E456" i="2"/>
  <c r="Q456" i="2"/>
  <c r="P456" i="2"/>
  <c r="AI292" i="2"/>
  <c r="AD292" i="2"/>
  <c r="I292" i="2"/>
  <c r="H292" i="2"/>
  <c r="AC292" i="2"/>
  <c r="P292" i="2"/>
  <c r="G292" i="2"/>
  <c r="O292" i="2"/>
  <c r="J292" i="2"/>
  <c r="E292" i="2"/>
  <c r="AE292" i="2"/>
  <c r="Q292" i="2"/>
  <c r="O141" i="2"/>
  <c r="AD141" i="2"/>
  <c r="AI141" i="2"/>
  <c r="I141" i="2"/>
  <c r="AC141" i="2"/>
  <c r="H141" i="2"/>
  <c r="AE141" i="2"/>
  <c r="P141" i="2"/>
  <c r="G141" i="2"/>
  <c r="Q141" i="2"/>
  <c r="J141" i="2"/>
  <c r="E141" i="2"/>
  <c r="AE144" i="2"/>
  <c r="AI144" i="2"/>
  <c r="O144" i="2"/>
  <c r="H144" i="2"/>
  <c r="AC144" i="2"/>
  <c r="P144" i="2"/>
  <c r="I144" i="2"/>
  <c r="J144" i="2"/>
  <c r="G144" i="2"/>
  <c r="E144" i="2"/>
  <c r="AD144" i="2"/>
  <c r="Q144" i="2"/>
  <c r="G38" i="2"/>
  <c r="AD38" i="2"/>
  <c r="H38" i="2"/>
  <c r="J38" i="2"/>
  <c r="AC38" i="2"/>
  <c r="AE38" i="2"/>
  <c r="AI38" i="2"/>
  <c r="E38" i="2"/>
  <c r="P38" i="2"/>
  <c r="Q38" i="2"/>
  <c r="O38" i="2"/>
  <c r="I38" i="2"/>
  <c r="AE426" i="2"/>
  <c r="I426" i="2"/>
  <c r="AI426" i="2"/>
  <c r="H426" i="2"/>
  <c r="AD426" i="2"/>
  <c r="J426" i="2"/>
  <c r="G426" i="2"/>
  <c r="E426" i="2"/>
  <c r="AC426" i="2"/>
  <c r="Q426" i="2"/>
  <c r="O426" i="2"/>
  <c r="P426" i="2"/>
  <c r="H224" i="2"/>
  <c r="G224" i="2"/>
  <c r="O224" i="2"/>
  <c r="AE224" i="2"/>
  <c r="AC224" i="2"/>
  <c r="J224" i="2"/>
  <c r="I224" i="2"/>
  <c r="AD224" i="2"/>
  <c r="AI224" i="2"/>
  <c r="Q224" i="2"/>
  <c r="P224" i="2"/>
  <c r="E224" i="2"/>
  <c r="AC402" i="2"/>
  <c r="AI402" i="2"/>
  <c r="G402" i="2"/>
  <c r="J402" i="2"/>
  <c r="AD402" i="2"/>
  <c r="P402" i="2"/>
  <c r="AE402" i="2"/>
  <c r="O402" i="2"/>
  <c r="E402" i="2"/>
  <c r="Q402" i="2"/>
  <c r="H402" i="2"/>
  <c r="I402" i="2"/>
  <c r="I554" i="2"/>
  <c r="AC554" i="2"/>
  <c r="AI554" i="2"/>
  <c r="H554" i="2"/>
  <c r="O554" i="2"/>
  <c r="G554" i="2"/>
  <c r="J554" i="2"/>
  <c r="AD554" i="2"/>
  <c r="Q554" i="2"/>
  <c r="P554" i="2"/>
  <c r="AE554" i="2"/>
  <c r="E554" i="2"/>
  <c r="AD167" i="2"/>
  <c r="H167" i="2"/>
  <c r="O167" i="2"/>
  <c r="AC167" i="2"/>
  <c r="AI167" i="2"/>
  <c r="P167" i="2"/>
  <c r="I167" i="2"/>
  <c r="G167" i="2"/>
  <c r="Q167" i="2"/>
  <c r="J167" i="2"/>
  <c r="AE167" i="2"/>
  <c r="E167" i="2"/>
  <c r="J516" i="2"/>
  <c r="AD516" i="2"/>
  <c r="Q516" i="2"/>
  <c r="O516" i="2"/>
  <c r="H516" i="2"/>
  <c r="E516" i="2"/>
  <c r="AE516" i="2"/>
  <c r="G516" i="2"/>
  <c r="AI516" i="2"/>
  <c r="I516" i="2"/>
  <c r="P516" i="2"/>
  <c r="AC516" i="2"/>
  <c r="J556" i="2"/>
  <c r="AD556" i="2"/>
  <c r="Q556" i="2"/>
  <c r="O556" i="2"/>
  <c r="P556" i="2"/>
  <c r="E556" i="2"/>
  <c r="AE556" i="2"/>
  <c r="AI556" i="2"/>
  <c r="I556" i="2"/>
  <c r="H556" i="2"/>
  <c r="AC556" i="2"/>
  <c r="G556" i="2"/>
  <c r="I448" i="2"/>
  <c r="G448" i="2"/>
  <c r="AD448" i="2"/>
  <c r="Q448" i="2"/>
  <c r="AC448" i="2"/>
  <c r="H448" i="2"/>
  <c r="O448" i="2"/>
  <c r="E448" i="2"/>
  <c r="AE448" i="2"/>
  <c r="AI448" i="2"/>
  <c r="P448" i="2"/>
  <c r="J448" i="2"/>
  <c r="H341" i="2"/>
  <c r="AD341" i="2"/>
  <c r="I341" i="2"/>
  <c r="E341" i="2"/>
  <c r="G341" i="2"/>
  <c r="AC341" i="2"/>
  <c r="P341" i="2"/>
  <c r="Q341" i="2"/>
  <c r="AE341" i="2"/>
  <c r="J341" i="2"/>
  <c r="AI341" i="2"/>
  <c r="O341" i="2"/>
  <c r="AD376" i="2"/>
  <c r="AI376" i="2"/>
  <c r="I376" i="2"/>
  <c r="AE376" i="2"/>
  <c r="J376" i="2"/>
  <c r="P376" i="2"/>
  <c r="H376" i="2"/>
  <c r="Q376" i="2"/>
  <c r="O376" i="2"/>
  <c r="AC376" i="2"/>
  <c r="G376" i="2"/>
  <c r="E376" i="2"/>
  <c r="I584" i="2"/>
  <c r="G584" i="2"/>
  <c r="AI584" i="2"/>
  <c r="AE584" i="2"/>
  <c r="AD584" i="2"/>
  <c r="P584" i="2"/>
  <c r="J584" i="2"/>
  <c r="E584" i="2"/>
  <c r="O584" i="2"/>
  <c r="AC584" i="2"/>
  <c r="H584" i="2"/>
  <c r="Q584" i="2"/>
  <c r="AD383" i="2"/>
  <c r="I383" i="2"/>
  <c r="E383" i="2"/>
  <c r="G383" i="2"/>
  <c r="AE383" i="2"/>
  <c r="Q383" i="2"/>
  <c r="AI383" i="2"/>
  <c r="J383" i="2"/>
  <c r="O383" i="2"/>
  <c r="AC383" i="2"/>
  <c r="H383" i="2"/>
  <c r="P383" i="2"/>
  <c r="G92" i="2"/>
  <c r="AI92" i="2"/>
  <c r="Q92" i="2"/>
  <c r="AC92" i="2"/>
  <c r="AE92" i="2"/>
  <c r="E92" i="2"/>
  <c r="P92" i="2"/>
  <c r="I92" i="2"/>
  <c r="H92" i="2"/>
  <c r="O92" i="2"/>
  <c r="J92" i="2"/>
  <c r="AD92" i="2"/>
  <c r="AE573" i="2"/>
  <c r="O573" i="2"/>
  <c r="P573" i="2"/>
  <c r="I573" i="2"/>
  <c r="G573" i="2"/>
  <c r="AI573" i="2"/>
  <c r="AD573" i="2"/>
  <c r="J573" i="2"/>
  <c r="Q573" i="2"/>
  <c r="H573" i="2"/>
  <c r="AC573" i="2"/>
  <c r="E573" i="2"/>
  <c r="G134" i="2"/>
  <c r="AE134" i="2"/>
  <c r="H134" i="2"/>
  <c r="E134" i="2"/>
  <c r="AD134" i="2"/>
  <c r="O134" i="2"/>
  <c r="AI134" i="2"/>
  <c r="Q134" i="2"/>
  <c r="AC134" i="2"/>
  <c r="P134" i="2"/>
  <c r="J134" i="2"/>
  <c r="I134" i="2"/>
  <c r="AE317" i="2"/>
  <c r="AI317" i="2"/>
  <c r="AC317" i="2"/>
  <c r="I317" i="2"/>
  <c r="AD317" i="2"/>
  <c r="G317" i="2"/>
  <c r="P317" i="2"/>
  <c r="O317" i="2"/>
  <c r="E317" i="2"/>
  <c r="J317" i="2"/>
  <c r="H317" i="2"/>
  <c r="Q317" i="2"/>
  <c r="AD396" i="2"/>
  <c r="J396" i="2"/>
  <c r="I396" i="2"/>
  <c r="O396" i="2"/>
  <c r="P396" i="2"/>
  <c r="AE396" i="2"/>
  <c r="G396" i="2"/>
  <c r="Q396" i="2"/>
  <c r="AI396" i="2"/>
  <c r="H396" i="2"/>
  <c r="AC396" i="2"/>
  <c r="E396" i="2"/>
  <c r="I424" i="2"/>
  <c r="G424" i="2"/>
  <c r="E424" i="2"/>
  <c r="AD424" i="2"/>
  <c r="O424" i="2"/>
  <c r="Q424" i="2"/>
  <c r="AE424" i="2"/>
  <c r="P424" i="2"/>
  <c r="J424" i="2"/>
  <c r="AC424" i="2"/>
  <c r="H424" i="2"/>
  <c r="AI424" i="2"/>
  <c r="AE349" i="2"/>
  <c r="O349" i="2"/>
  <c r="G349" i="2"/>
  <c r="Q349" i="2"/>
  <c r="I349" i="2"/>
  <c r="AD349" i="2"/>
  <c r="H349" i="2"/>
  <c r="E349" i="2"/>
  <c r="AI349" i="2"/>
  <c r="AC349" i="2"/>
  <c r="J349" i="2"/>
  <c r="P349" i="2"/>
  <c r="P592" i="2"/>
  <c r="AE592" i="2"/>
  <c r="O592" i="2"/>
  <c r="AD592" i="2"/>
  <c r="AI592" i="2"/>
  <c r="H592" i="2"/>
  <c r="AC592" i="2"/>
  <c r="J592" i="2"/>
  <c r="Q592" i="2"/>
  <c r="E592" i="2"/>
  <c r="I592" i="2"/>
  <c r="G592" i="2"/>
  <c r="AD392" i="2"/>
  <c r="AE392" i="2"/>
  <c r="AI392" i="2"/>
  <c r="J392" i="2"/>
  <c r="P392" i="2"/>
  <c r="I392" i="2"/>
  <c r="G392" i="2"/>
  <c r="H392" i="2"/>
  <c r="Q392" i="2"/>
  <c r="O392" i="2"/>
  <c r="E392" i="2"/>
  <c r="AC392" i="2"/>
  <c r="AE343" i="2"/>
  <c r="AI343" i="2"/>
  <c r="G343" i="2"/>
  <c r="E343" i="2"/>
  <c r="H343" i="2"/>
  <c r="P343" i="2"/>
  <c r="AD343" i="2"/>
  <c r="Q343" i="2"/>
  <c r="I343" i="2"/>
  <c r="O343" i="2"/>
  <c r="AC343" i="2"/>
  <c r="J343" i="2"/>
  <c r="AI319" i="2"/>
  <c r="J319" i="2"/>
  <c r="I319" i="2"/>
  <c r="E319" i="2"/>
  <c r="AD319" i="2"/>
  <c r="AC319" i="2"/>
  <c r="O319" i="2"/>
  <c r="Q319" i="2"/>
  <c r="H319" i="2"/>
  <c r="P319" i="2"/>
  <c r="G319" i="2"/>
  <c r="AE319" i="2"/>
  <c r="H26" i="2"/>
  <c r="J26" i="2"/>
  <c r="G26" i="2"/>
  <c r="AI26" i="2"/>
  <c r="P26" i="2"/>
  <c r="I26" i="2"/>
  <c r="AE26" i="2"/>
  <c r="O26" i="2"/>
  <c r="E26" i="2"/>
  <c r="AD26" i="2"/>
  <c r="AC26" i="2"/>
  <c r="Q26" i="2"/>
  <c r="H418" i="2"/>
  <c r="P418" i="2"/>
  <c r="I418" i="2"/>
  <c r="AI418" i="2"/>
  <c r="O418" i="2"/>
  <c r="AD418" i="2"/>
  <c r="AC418" i="2"/>
  <c r="E418" i="2"/>
  <c r="J418" i="2"/>
  <c r="Q418" i="2"/>
  <c r="G418" i="2"/>
  <c r="AE418" i="2"/>
  <c r="H200" i="2"/>
  <c r="I200" i="2"/>
  <c r="AE200" i="2"/>
  <c r="P200" i="2"/>
  <c r="G200" i="2"/>
  <c r="J200" i="2"/>
  <c r="AI200" i="2"/>
  <c r="AD200" i="2"/>
  <c r="Q200" i="2"/>
  <c r="AC200" i="2"/>
  <c r="E200" i="2"/>
  <c r="O200" i="2"/>
  <c r="AD117" i="2"/>
  <c r="AE117" i="2"/>
  <c r="AI117" i="2"/>
  <c r="AC117" i="2"/>
  <c r="P117" i="2"/>
  <c r="I117" i="2"/>
  <c r="H117" i="2"/>
  <c r="G117" i="2"/>
  <c r="O117" i="2"/>
  <c r="J117" i="2"/>
  <c r="Q117" i="2"/>
  <c r="E117" i="2"/>
  <c r="AC387" i="2"/>
  <c r="I387" i="2"/>
  <c r="AE387" i="2"/>
  <c r="P387" i="2"/>
  <c r="AI387" i="2"/>
  <c r="O387" i="2"/>
  <c r="AD387" i="2"/>
  <c r="J387" i="2"/>
  <c r="E387" i="2"/>
  <c r="G387" i="2"/>
  <c r="H387" i="2"/>
  <c r="Q387" i="2"/>
  <c r="AE505" i="2"/>
  <c r="O505" i="2"/>
  <c r="G505" i="2"/>
  <c r="I505" i="2"/>
  <c r="P505" i="2"/>
  <c r="AC505" i="2"/>
  <c r="AD505" i="2"/>
  <c r="J505" i="2"/>
  <c r="E505" i="2"/>
  <c r="AI505" i="2"/>
  <c r="Q505" i="2"/>
  <c r="H505" i="2"/>
  <c r="O548" i="2"/>
  <c r="AE548" i="2"/>
  <c r="J548" i="2"/>
  <c r="I548" i="2"/>
  <c r="AD548" i="2"/>
  <c r="AI548" i="2"/>
  <c r="P548" i="2"/>
  <c r="H548" i="2"/>
  <c r="Q548" i="2"/>
  <c r="E548" i="2"/>
  <c r="G548" i="2"/>
  <c r="AC548" i="2"/>
  <c r="AE206" i="2"/>
  <c r="H206" i="2"/>
  <c r="I206" i="2"/>
  <c r="P206" i="2"/>
  <c r="G206" i="2"/>
  <c r="AI206" i="2"/>
  <c r="O206" i="2"/>
  <c r="AD206" i="2"/>
  <c r="AC206" i="2"/>
  <c r="E206" i="2"/>
  <c r="J206" i="2"/>
  <c r="Q206" i="2"/>
  <c r="G102" i="2"/>
  <c r="J102" i="2"/>
  <c r="I102" i="2"/>
  <c r="AC102" i="2"/>
  <c r="H102" i="2"/>
  <c r="AD102" i="2"/>
  <c r="O102" i="2"/>
  <c r="AI102" i="2"/>
  <c r="AE102" i="2"/>
  <c r="E102" i="2"/>
  <c r="Q102" i="2"/>
  <c r="P102" i="2"/>
  <c r="O482" i="2"/>
  <c r="AD482" i="2"/>
  <c r="H482" i="2"/>
  <c r="I482" i="2"/>
  <c r="J482" i="2"/>
  <c r="G482" i="2"/>
  <c r="AI482" i="2"/>
  <c r="P482" i="2"/>
  <c r="AC482" i="2"/>
  <c r="E482" i="2"/>
  <c r="AE482" i="2"/>
  <c r="Q482" i="2"/>
  <c r="AC570" i="2"/>
  <c r="I570" i="2"/>
  <c r="O570" i="2"/>
  <c r="AD570" i="2"/>
  <c r="J570" i="2"/>
  <c r="AE570" i="2"/>
  <c r="H570" i="2"/>
  <c r="E570" i="2"/>
  <c r="G570" i="2"/>
  <c r="Q570" i="2"/>
  <c r="P570" i="2"/>
  <c r="AI570" i="2"/>
  <c r="P234" i="2"/>
  <c r="I234" i="2"/>
  <c r="AI234" i="2"/>
  <c r="J234" i="2"/>
  <c r="AC234" i="2"/>
  <c r="H234" i="2"/>
  <c r="AE234" i="2"/>
  <c r="AD234" i="2"/>
  <c r="G234" i="2"/>
  <c r="Q234" i="2"/>
  <c r="O234" i="2"/>
  <c r="E234" i="2"/>
  <c r="AI119" i="2"/>
  <c r="H119" i="2"/>
  <c r="I119" i="2"/>
  <c r="AE119" i="2"/>
  <c r="O119" i="2"/>
  <c r="G119" i="2"/>
  <c r="J119" i="2"/>
  <c r="Q119" i="2"/>
  <c r="P119" i="2"/>
  <c r="E119" i="2"/>
  <c r="AC119" i="2"/>
  <c r="AD119" i="2"/>
  <c r="J591" i="2"/>
  <c r="AC591" i="2"/>
  <c r="O591" i="2"/>
  <c r="AE591" i="2"/>
  <c r="G591" i="2"/>
  <c r="AD591" i="2"/>
  <c r="AI591" i="2"/>
  <c r="P591" i="2"/>
  <c r="H591" i="2"/>
  <c r="Q591" i="2"/>
  <c r="I591" i="2"/>
  <c r="E591" i="2"/>
  <c r="AC309" i="2"/>
  <c r="J309" i="2"/>
  <c r="O309" i="2"/>
  <c r="G309" i="2"/>
  <c r="AI309" i="2"/>
  <c r="P309" i="2"/>
  <c r="AD309" i="2"/>
  <c r="I309" i="2"/>
  <c r="H309" i="2"/>
  <c r="AE309" i="2"/>
  <c r="Q309" i="2"/>
  <c r="E309" i="2"/>
  <c r="AD71" i="2"/>
  <c r="O71" i="2"/>
  <c r="P71" i="2"/>
  <c r="E71" i="2"/>
  <c r="AI71" i="2"/>
  <c r="G71" i="2"/>
  <c r="I71" i="2"/>
  <c r="Q71" i="2"/>
  <c r="AE71" i="2"/>
  <c r="AC71" i="2"/>
  <c r="J71" i="2"/>
  <c r="H71" i="2"/>
  <c r="G350" i="2"/>
  <c r="AC350" i="2"/>
  <c r="P350" i="2"/>
  <c r="J350" i="2"/>
  <c r="I350" i="2"/>
  <c r="AE350" i="2"/>
  <c r="AI350" i="2"/>
  <c r="Q350" i="2"/>
  <c r="O350" i="2"/>
  <c r="AD350" i="2"/>
  <c r="H350" i="2"/>
  <c r="E350" i="2"/>
  <c r="AE233" i="2"/>
  <c r="AI233" i="2"/>
  <c r="O233" i="2"/>
  <c r="G233" i="2"/>
  <c r="I233" i="2"/>
  <c r="AC233" i="2"/>
  <c r="H233" i="2"/>
  <c r="AD233" i="2"/>
  <c r="Q233" i="2"/>
  <c r="J233" i="2"/>
  <c r="P233" i="2"/>
  <c r="E233" i="2"/>
  <c r="AE199" i="2"/>
  <c r="O199" i="2"/>
  <c r="Q199" i="2"/>
  <c r="I199" i="2"/>
  <c r="P199" i="2"/>
  <c r="E199" i="2"/>
  <c r="H199" i="2"/>
  <c r="AD199" i="2"/>
  <c r="AC199" i="2"/>
  <c r="G199" i="2"/>
  <c r="J199" i="2"/>
  <c r="AI199" i="2"/>
  <c r="H464" i="2"/>
  <c r="AE464" i="2"/>
  <c r="AC464" i="2"/>
  <c r="E464" i="2"/>
  <c r="J464" i="2"/>
  <c r="AD464" i="2"/>
  <c r="P464" i="2"/>
  <c r="Q464" i="2"/>
  <c r="G464" i="2"/>
  <c r="AI464" i="2"/>
  <c r="O464" i="2"/>
  <c r="I464" i="2"/>
  <c r="AE533" i="2"/>
  <c r="I533" i="2"/>
  <c r="AC533" i="2"/>
  <c r="J533" i="2"/>
  <c r="G533" i="2"/>
  <c r="P533" i="2"/>
  <c r="AD533" i="2"/>
  <c r="H533" i="2"/>
  <c r="E533" i="2"/>
  <c r="O533" i="2"/>
  <c r="AI533" i="2"/>
  <c r="Q533" i="2"/>
  <c r="AC407" i="2"/>
  <c r="AE407" i="2"/>
  <c r="J407" i="2"/>
  <c r="E407" i="2"/>
  <c r="AD407" i="2"/>
  <c r="I407" i="2"/>
  <c r="G407" i="2"/>
  <c r="Q407" i="2"/>
  <c r="O407" i="2"/>
  <c r="P407" i="2"/>
  <c r="H407" i="2"/>
  <c r="AI407" i="2"/>
  <c r="AI266" i="2"/>
  <c r="AC266" i="2"/>
  <c r="E266" i="2"/>
  <c r="AD266" i="2"/>
  <c r="H266" i="2"/>
  <c r="Q266" i="2"/>
  <c r="AE266" i="2"/>
  <c r="P266" i="2"/>
  <c r="J266" i="2"/>
  <c r="I266" i="2"/>
  <c r="G266" i="2"/>
  <c r="O266" i="2"/>
  <c r="J265" i="2"/>
  <c r="P265" i="2"/>
  <c r="O265" i="2"/>
  <c r="AC265" i="2"/>
  <c r="AD265" i="2"/>
  <c r="AE265" i="2"/>
  <c r="I265" i="2"/>
  <c r="E265" i="2"/>
  <c r="G265" i="2"/>
  <c r="AI265" i="2"/>
  <c r="H265" i="2"/>
  <c r="Q265" i="2"/>
  <c r="AE340" i="2"/>
  <c r="H340" i="2"/>
  <c r="J340" i="2"/>
  <c r="E340" i="2"/>
  <c r="AI340" i="2"/>
  <c r="P340" i="2"/>
  <c r="G340" i="2"/>
  <c r="Q340" i="2"/>
  <c r="AD340" i="2"/>
  <c r="O340" i="2"/>
  <c r="AC340" i="2"/>
  <c r="I340" i="2"/>
  <c r="AI520" i="2"/>
  <c r="AE520" i="2"/>
  <c r="O520" i="2"/>
  <c r="H520" i="2"/>
  <c r="I520" i="2"/>
  <c r="G520" i="2"/>
  <c r="P520" i="2"/>
  <c r="AD520" i="2"/>
  <c r="Q520" i="2"/>
  <c r="AC520" i="2"/>
  <c r="E520" i="2"/>
  <c r="J520" i="2"/>
  <c r="AE80" i="2"/>
  <c r="H80" i="2"/>
  <c r="AI80" i="2"/>
  <c r="Q80" i="2"/>
  <c r="J80" i="2"/>
  <c r="O80" i="2"/>
  <c r="P80" i="2"/>
  <c r="E80" i="2"/>
  <c r="G80" i="2"/>
  <c r="AD80" i="2"/>
  <c r="I80" i="2"/>
  <c r="AC80" i="2"/>
  <c r="G256" i="2"/>
  <c r="O256" i="2"/>
  <c r="P256" i="2"/>
  <c r="AD256" i="2"/>
  <c r="AC256" i="2"/>
  <c r="AI256" i="2"/>
  <c r="AE256" i="2"/>
  <c r="I256" i="2"/>
  <c r="E256" i="2"/>
  <c r="Q256" i="2"/>
  <c r="H256" i="2"/>
  <c r="J256" i="2"/>
  <c r="AI175" i="2"/>
  <c r="G175" i="2"/>
  <c r="AD175" i="2"/>
  <c r="AE175" i="2"/>
  <c r="AC175" i="2"/>
  <c r="I175" i="2"/>
  <c r="J175" i="2"/>
  <c r="O175" i="2"/>
  <c r="Q175" i="2"/>
  <c r="E175" i="2"/>
  <c r="H175" i="2"/>
  <c r="P175" i="2"/>
  <c r="O62" i="2"/>
  <c r="AE62" i="2"/>
  <c r="G62" i="2"/>
  <c r="AI62" i="2"/>
  <c r="J62" i="2"/>
  <c r="H62" i="2"/>
  <c r="AD62" i="2"/>
  <c r="I62" i="2"/>
  <c r="E62" i="2"/>
  <c r="Q62" i="2"/>
  <c r="P62" i="2"/>
  <c r="AC62" i="2"/>
  <c r="O585" i="2"/>
  <c r="I585" i="2"/>
  <c r="H585" i="2"/>
  <c r="AE585" i="2"/>
  <c r="G585" i="2"/>
  <c r="AD585" i="2"/>
  <c r="P585" i="2"/>
  <c r="J585" i="2"/>
  <c r="AI585" i="2"/>
  <c r="E585" i="2"/>
  <c r="AC585" i="2"/>
  <c r="Q585" i="2"/>
  <c r="G518" i="2"/>
  <c r="AI518" i="2"/>
  <c r="AD518" i="2"/>
  <c r="AE518" i="2"/>
  <c r="I518" i="2"/>
  <c r="P518" i="2"/>
  <c r="O518" i="2"/>
  <c r="AC518" i="2"/>
  <c r="H518" i="2"/>
  <c r="E518" i="2"/>
  <c r="J518" i="2"/>
  <c r="Q518" i="2"/>
  <c r="G488" i="2"/>
  <c r="J488" i="2"/>
  <c r="O488" i="2"/>
  <c r="AE488" i="2"/>
  <c r="P488" i="2"/>
  <c r="AI488" i="2"/>
  <c r="AD488" i="2"/>
  <c r="AC488" i="2"/>
  <c r="I488" i="2"/>
  <c r="E488" i="2"/>
  <c r="H488" i="2"/>
  <c r="Q488" i="2"/>
  <c r="P576" i="2"/>
  <c r="G576" i="2"/>
  <c r="I576" i="2"/>
  <c r="AI576" i="2"/>
  <c r="O576" i="2"/>
  <c r="AE576" i="2"/>
  <c r="J576" i="2"/>
  <c r="H576" i="2"/>
  <c r="AC576" i="2"/>
  <c r="Q576" i="2"/>
  <c r="AD576" i="2"/>
  <c r="E576" i="2"/>
  <c r="AE171" i="2"/>
  <c r="I171" i="2"/>
  <c r="P171" i="2"/>
  <c r="H171" i="2"/>
  <c r="O171" i="2"/>
  <c r="AI171" i="2"/>
  <c r="AC171" i="2"/>
  <c r="AD171" i="2"/>
  <c r="G171" i="2"/>
  <c r="E171" i="2"/>
  <c r="J171" i="2"/>
  <c r="Q171" i="2"/>
  <c r="AE296" i="2"/>
  <c r="I296" i="2"/>
  <c r="H296" i="2"/>
  <c r="O296" i="2"/>
  <c r="AC296" i="2"/>
  <c r="AD296" i="2"/>
  <c r="AI296" i="2"/>
  <c r="P296" i="2"/>
  <c r="J296" i="2"/>
  <c r="E296" i="2"/>
  <c r="G296" i="2"/>
  <c r="Q296" i="2"/>
  <c r="AC42" i="2"/>
  <c r="G42" i="2"/>
  <c r="J42" i="2"/>
  <c r="AD42" i="2"/>
  <c r="P42" i="2"/>
  <c r="I42" i="2"/>
  <c r="H42" i="2"/>
  <c r="AE42" i="2"/>
  <c r="Q42" i="2"/>
  <c r="E42" i="2"/>
  <c r="AI42" i="2"/>
  <c r="O42" i="2"/>
  <c r="I208" i="2"/>
  <c r="AI208" i="2"/>
  <c r="AC208" i="2"/>
  <c r="P208" i="2"/>
  <c r="AE208" i="2"/>
  <c r="J208" i="2"/>
  <c r="G208" i="2"/>
  <c r="H208" i="2"/>
  <c r="AD208" i="2"/>
  <c r="Q208" i="2"/>
  <c r="O208" i="2"/>
  <c r="E208" i="2"/>
  <c r="G515" i="2"/>
  <c r="P515" i="2"/>
  <c r="AC515" i="2"/>
  <c r="AD515" i="2"/>
  <c r="AE515" i="2"/>
  <c r="I515" i="2"/>
  <c r="J515" i="2"/>
  <c r="AI515" i="2"/>
  <c r="O515" i="2"/>
  <c r="E515" i="2"/>
  <c r="H515" i="2"/>
  <c r="Q515" i="2"/>
  <c r="AI369" i="2"/>
  <c r="G369" i="2"/>
  <c r="AC369" i="2"/>
  <c r="J369" i="2"/>
  <c r="O369" i="2"/>
  <c r="H369" i="2"/>
  <c r="AE369" i="2"/>
  <c r="AD369" i="2"/>
  <c r="E369" i="2"/>
  <c r="Q369" i="2"/>
  <c r="I369" i="2"/>
  <c r="P369" i="2"/>
  <c r="AC259" i="2"/>
  <c r="P259" i="2"/>
  <c r="J259" i="2"/>
  <c r="G259" i="2"/>
  <c r="I259" i="2"/>
  <c r="O259" i="2"/>
  <c r="AE259" i="2"/>
  <c r="AD259" i="2"/>
  <c r="Q259" i="2"/>
  <c r="E259" i="2"/>
  <c r="H259" i="2"/>
  <c r="AI259" i="2"/>
  <c r="O169" i="2"/>
  <c r="H169" i="2"/>
  <c r="AI169" i="2"/>
  <c r="J169" i="2"/>
  <c r="AE169" i="2"/>
  <c r="AD169" i="2"/>
  <c r="AC169" i="2"/>
  <c r="G169" i="2"/>
  <c r="Q169" i="2"/>
  <c r="P169" i="2"/>
  <c r="E169" i="2"/>
  <c r="I169" i="2"/>
  <c r="H254" i="2"/>
  <c r="P254" i="2"/>
  <c r="J254" i="2"/>
  <c r="AI254" i="2"/>
  <c r="O254" i="2"/>
  <c r="AD254" i="2"/>
  <c r="AC254" i="2"/>
  <c r="I254" i="2"/>
  <c r="G254" i="2"/>
  <c r="Q254" i="2"/>
  <c r="AE254" i="2"/>
  <c r="E254" i="2"/>
  <c r="O425" i="2"/>
  <c r="AD425" i="2"/>
  <c r="H425" i="2"/>
  <c r="I425" i="2"/>
  <c r="G425" i="2"/>
  <c r="J425" i="2"/>
  <c r="AE425" i="2"/>
  <c r="AC425" i="2"/>
  <c r="P425" i="2"/>
  <c r="E425" i="2"/>
  <c r="AI425" i="2"/>
  <c r="Q425" i="2"/>
  <c r="I145" i="2"/>
  <c r="O145" i="2"/>
  <c r="H145" i="2"/>
  <c r="G145" i="2"/>
  <c r="J145" i="2"/>
  <c r="AD145" i="2"/>
  <c r="AE145" i="2"/>
  <c r="AI145" i="2"/>
  <c r="P145" i="2"/>
  <c r="Q145" i="2"/>
  <c r="E145" i="2"/>
  <c r="AC145" i="2"/>
  <c r="AE461" i="2"/>
  <c r="J461" i="2"/>
  <c r="E461" i="2"/>
  <c r="H461" i="2"/>
  <c r="O461" i="2"/>
  <c r="Q461" i="2"/>
  <c r="AD461" i="2"/>
  <c r="AI461" i="2"/>
  <c r="I461" i="2"/>
  <c r="P461" i="2"/>
  <c r="G461" i="2"/>
  <c r="AC461" i="2"/>
  <c r="I214" i="2"/>
  <c r="AD214" i="2"/>
  <c r="E214" i="2"/>
  <c r="O214" i="2"/>
  <c r="AC214" i="2"/>
  <c r="Q214" i="2"/>
  <c r="H214" i="2"/>
  <c r="AE214" i="2"/>
  <c r="AI214" i="2"/>
  <c r="P214" i="2"/>
  <c r="J214" i="2"/>
  <c r="G214" i="2"/>
  <c r="P41" i="2"/>
  <c r="AI41" i="2"/>
  <c r="O41" i="2"/>
  <c r="J41" i="2"/>
  <c r="G41" i="2"/>
  <c r="I41" i="2"/>
  <c r="H41" i="2"/>
  <c r="AE41" i="2"/>
  <c r="E41" i="2"/>
  <c r="AC41" i="2"/>
  <c r="AD41" i="2"/>
  <c r="Q41" i="2"/>
  <c r="I77" i="2"/>
  <c r="J77" i="2"/>
  <c r="AD77" i="2"/>
  <c r="H77" i="2"/>
  <c r="AE77" i="2"/>
  <c r="P77" i="2"/>
  <c r="AI77" i="2"/>
  <c r="G77" i="2"/>
  <c r="Q77" i="2"/>
  <c r="O77" i="2"/>
  <c r="AC77" i="2"/>
  <c r="E77" i="2"/>
  <c r="H452" i="2"/>
  <c r="AC452" i="2"/>
  <c r="AD452" i="2"/>
  <c r="G452" i="2"/>
  <c r="E452" i="2"/>
  <c r="AI452" i="2"/>
  <c r="AE452" i="2"/>
  <c r="O452" i="2"/>
  <c r="P452" i="2"/>
  <c r="J452" i="2"/>
  <c r="I452" i="2"/>
  <c r="Q452" i="2"/>
  <c r="P552" i="2"/>
  <c r="AI552" i="2"/>
  <c r="AC552" i="2"/>
  <c r="O552" i="2"/>
  <c r="AE552" i="2"/>
  <c r="G552" i="2"/>
  <c r="AD552" i="2"/>
  <c r="E552" i="2"/>
  <c r="I552" i="2"/>
  <c r="J552" i="2"/>
  <c r="H552" i="2"/>
  <c r="Q552" i="2"/>
  <c r="I147" i="2"/>
  <c r="P147" i="2"/>
  <c r="AD147" i="2"/>
  <c r="AI147" i="2"/>
  <c r="AC147" i="2"/>
  <c r="J147" i="2"/>
  <c r="G147" i="2"/>
  <c r="H147" i="2"/>
  <c r="Q147" i="2"/>
  <c r="O147" i="2"/>
  <c r="AE147" i="2"/>
  <c r="E147" i="2"/>
  <c r="O532" i="2"/>
  <c r="AI532" i="2"/>
  <c r="G532" i="2"/>
  <c r="AC532" i="2"/>
  <c r="I532" i="2"/>
  <c r="H532" i="2"/>
  <c r="AD532" i="2"/>
  <c r="J532" i="2"/>
  <c r="Q532" i="2"/>
  <c r="P532" i="2"/>
  <c r="AE532" i="2"/>
  <c r="E532" i="2"/>
  <c r="AI401" i="2"/>
  <c r="H401" i="2"/>
  <c r="P401" i="2"/>
  <c r="O401" i="2"/>
  <c r="AC401" i="2"/>
  <c r="AD401" i="2"/>
  <c r="I401" i="2"/>
  <c r="G401" i="2"/>
  <c r="E401" i="2"/>
  <c r="J401" i="2"/>
  <c r="AE401" i="2"/>
  <c r="Q401" i="2"/>
  <c r="J511" i="2"/>
  <c r="AD511" i="2"/>
  <c r="O511" i="2"/>
  <c r="AE511" i="2"/>
  <c r="P511" i="2"/>
  <c r="H511" i="2"/>
  <c r="I511" i="2"/>
  <c r="Q511" i="2"/>
  <c r="AC511" i="2"/>
  <c r="G511" i="2"/>
  <c r="AI511" i="2"/>
  <c r="E511" i="2"/>
  <c r="AC202" i="2"/>
  <c r="G202" i="2"/>
  <c r="P202" i="2"/>
  <c r="AI202" i="2"/>
  <c r="J202" i="2"/>
  <c r="AE202" i="2"/>
  <c r="AD202" i="2"/>
  <c r="Q202" i="2"/>
  <c r="O202" i="2"/>
  <c r="H202" i="2"/>
  <c r="I202" i="2"/>
  <c r="E202" i="2"/>
  <c r="H213" i="2"/>
  <c r="AI213" i="2"/>
  <c r="J213" i="2"/>
  <c r="P213" i="2"/>
  <c r="Q213" i="2"/>
  <c r="AE213" i="2"/>
  <c r="AD213" i="2"/>
  <c r="AC213" i="2"/>
  <c r="I213" i="2"/>
  <c r="O213" i="2"/>
  <c r="G213" i="2"/>
  <c r="E213" i="2"/>
  <c r="O239" i="2"/>
  <c r="AI239" i="2"/>
  <c r="J239" i="2"/>
  <c r="AC239" i="2"/>
  <c r="P239" i="2"/>
  <c r="I239" i="2"/>
  <c r="E239" i="2"/>
  <c r="H239" i="2"/>
  <c r="AD239" i="2"/>
  <c r="AE239" i="2"/>
  <c r="G239" i="2"/>
  <c r="Q239" i="2"/>
  <c r="H279" i="2"/>
  <c r="O279" i="2"/>
  <c r="J279" i="2"/>
  <c r="AC279" i="2"/>
  <c r="I279" i="2"/>
  <c r="AD279" i="2"/>
  <c r="Q279" i="2"/>
  <c r="AI279" i="2"/>
  <c r="P279" i="2"/>
  <c r="G279" i="2"/>
  <c r="AE279" i="2"/>
  <c r="E279" i="2"/>
  <c r="AE109" i="2"/>
  <c r="P109" i="2"/>
  <c r="O109" i="2"/>
  <c r="I109" i="2"/>
  <c r="AC109" i="2"/>
  <c r="G109" i="2"/>
  <c r="J109" i="2"/>
  <c r="Q109" i="2"/>
  <c r="AD109" i="2"/>
  <c r="AI109" i="2"/>
  <c r="H109" i="2"/>
  <c r="E109" i="2"/>
  <c r="AE180" i="2"/>
  <c r="AD180" i="2"/>
  <c r="H180" i="2"/>
  <c r="J180" i="2"/>
  <c r="G180" i="2"/>
  <c r="AI180" i="2"/>
  <c r="Q180" i="2"/>
  <c r="P180" i="2"/>
  <c r="I180" i="2"/>
  <c r="O180" i="2"/>
  <c r="E180" i="2"/>
  <c r="AC180" i="2"/>
  <c r="P472" i="2"/>
  <c r="I472" i="2"/>
  <c r="G472" i="2"/>
  <c r="AC472" i="2"/>
  <c r="J472" i="2"/>
  <c r="AE472" i="2"/>
  <c r="H472" i="2"/>
  <c r="Q472" i="2"/>
  <c r="AD472" i="2"/>
  <c r="E472" i="2"/>
  <c r="O472" i="2"/>
  <c r="AI472" i="2"/>
  <c r="AD135" i="2"/>
  <c r="J135" i="2"/>
  <c r="H135" i="2"/>
  <c r="AE135" i="2"/>
  <c r="I135" i="2"/>
  <c r="O135" i="2"/>
  <c r="P135" i="2"/>
  <c r="E135" i="2"/>
  <c r="AC135" i="2"/>
  <c r="G135" i="2"/>
  <c r="AI135" i="2"/>
  <c r="Q135" i="2"/>
  <c r="I421" i="2"/>
  <c r="AD421" i="2"/>
  <c r="H421" i="2"/>
  <c r="P421" i="2"/>
  <c r="E421" i="2"/>
  <c r="AE421" i="2"/>
  <c r="AI421" i="2"/>
  <c r="AC421" i="2"/>
  <c r="G421" i="2"/>
  <c r="J421" i="2"/>
  <c r="O421" i="2"/>
  <c r="Q421" i="2"/>
  <c r="J459" i="2"/>
  <c r="O459" i="2"/>
  <c r="H459" i="2"/>
  <c r="AD459" i="2"/>
  <c r="I459" i="2"/>
  <c r="P459" i="2"/>
  <c r="E459" i="2"/>
  <c r="AI459" i="2"/>
  <c r="G459" i="2"/>
  <c r="AE459" i="2"/>
  <c r="AC459" i="2"/>
  <c r="Q459" i="2"/>
  <c r="I590" i="2"/>
  <c r="G590" i="2"/>
  <c r="AD590" i="2"/>
  <c r="AE590" i="2"/>
  <c r="Q590" i="2"/>
  <c r="AC590" i="2"/>
  <c r="P590" i="2"/>
  <c r="O590" i="2"/>
  <c r="H590" i="2"/>
  <c r="J590" i="2"/>
  <c r="E590" i="2"/>
  <c r="AI590" i="2"/>
  <c r="AI43" i="2"/>
  <c r="AD43" i="2"/>
  <c r="AC43" i="2"/>
  <c r="J43" i="2"/>
  <c r="AE43" i="2"/>
  <c r="P43" i="2"/>
  <c r="H43" i="2"/>
  <c r="E43" i="2"/>
  <c r="O43" i="2"/>
  <c r="Q43" i="2"/>
  <c r="G43" i="2"/>
  <c r="I43" i="2"/>
  <c r="AI427" i="2"/>
  <c r="O427" i="2"/>
  <c r="H427" i="2"/>
  <c r="AC427" i="2"/>
  <c r="I427" i="2"/>
  <c r="AE427" i="2"/>
  <c r="G427" i="2"/>
  <c r="Q427" i="2"/>
  <c r="P427" i="2"/>
  <c r="J427" i="2"/>
  <c r="AD427" i="2"/>
  <c r="E427" i="2"/>
  <c r="O443" i="2"/>
  <c r="AD443" i="2"/>
  <c r="J443" i="2"/>
  <c r="I443" i="2"/>
  <c r="AE443" i="2"/>
  <c r="G443" i="2"/>
  <c r="AI443" i="2"/>
  <c r="AC443" i="2"/>
  <c r="H443" i="2"/>
  <c r="E443" i="2"/>
  <c r="P443" i="2"/>
  <c r="Q443" i="2"/>
  <c r="AD500" i="2"/>
  <c r="J500" i="2"/>
  <c r="AI500" i="2"/>
  <c r="I500" i="2"/>
  <c r="H500" i="2"/>
  <c r="P500" i="2"/>
  <c r="AC500" i="2"/>
  <c r="AE500" i="2"/>
  <c r="E500" i="2"/>
  <c r="O500" i="2"/>
  <c r="Q500" i="2"/>
  <c r="G500" i="2"/>
  <c r="O29" i="2"/>
  <c r="H29" i="2"/>
  <c r="AI29" i="2"/>
  <c r="AD29" i="2"/>
  <c r="AE29" i="2"/>
  <c r="P29" i="2"/>
  <c r="AC29" i="2"/>
  <c r="E29" i="2"/>
  <c r="J29" i="2"/>
  <c r="Q29" i="2"/>
  <c r="G29" i="2"/>
  <c r="I29" i="2"/>
  <c r="AC523" i="2"/>
  <c r="O523" i="2"/>
  <c r="Q523" i="2"/>
  <c r="I523" i="2"/>
  <c r="AD523" i="2"/>
  <c r="E523" i="2"/>
  <c r="AE523" i="2"/>
  <c r="J523" i="2"/>
  <c r="G523" i="2"/>
  <c r="H523" i="2"/>
  <c r="AI523" i="2"/>
  <c r="P523" i="2"/>
  <c r="AI140" i="2"/>
  <c r="I140" i="2"/>
  <c r="P140" i="2"/>
  <c r="AC140" i="2"/>
  <c r="J140" i="2"/>
  <c r="H140" i="2"/>
  <c r="G140" i="2"/>
  <c r="O140" i="2"/>
  <c r="AD140" i="2"/>
  <c r="E140" i="2"/>
  <c r="AE140" i="2"/>
  <c r="Q140" i="2"/>
  <c r="G68" i="2"/>
  <c r="O68" i="2"/>
  <c r="J68" i="2"/>
  <c r="P68" i="2"/>
  <c r="AC68" i="2"/>
  <c r="I68" i="2"/>
  <c r="AE68" i="2"/>
  <c r="H68" i="2"/>
  <c r="AD68" i="2"/>
  <c r="E68" i="2"/>
  <c r="AI68" i="2"/>
  <c r="Q68" i="2"/>
  <c r="G291" i="2"/>
  <c r="J291" i="2"/>
  <c r="P291" i="2"/>
  <c r="O291" i="2"/>
  <c r="AC291" i="2"/>
  <c r="I291" i="2"/>
  <c r="H291" i="2"/>
  <c r="AI291" i="2"/>
  <c r="AD291" i="2"/>
  <c r="AE291" i="2"/>
  <c r="Q291" i="2"/>
  <c r="E291" i="2"/>
  <c r="G223" i="2"/>
  <c r="AC223" i="2"/>
  <c r="Q223" i="2"/>
  <c r="P223" i="2"/>
  <c r="O223" i="2"/>
  <c r="E223" i="2"/>
  <c r="AE223" i="2"/>
  <c r="AI223" i="2"/>
  <c r="AD223" i="2"/>
  <c r="J223" i="2"/>
  <c r="H223" i="2"/>
  <c r="I223" i="2"/>
  <c r="H106" i="2"/>
  <c r="O106" i="2"/>
  <c r="E106" i="2"/>
  <c r="P106" i="2"/>
  <c r="AE106" i="2"/>
  <c r="Q106" i="2"/>
  <c r="I106" i="2"/>
  <c r="AI106" i="2"/>
  <c r="J106" i="2"/>
  <c r="AC106" i="2"/>
  <c r="AD106" i="2"/>
  <c r="G106" i="2"/>
  <c r="AE562" i="2"/>
  <c r="P562" i="2"/>
  <c r="AC562" i="2"/>
  <c r="H562" i="2"/>
  <c r="J562" i="2"/>
  <c r="AI562" i="2"/>
  <c r="G562" i="2"/>
  <c r="O562" i="2"/>
  <c r="E562" i="2"/>
  <c r="AD562" i="2"/>
  <c r="I562" i="2"/>
  <c r="Q562" i="2"/>
  <c r="AC121" i="2"/>
  <c r="AD121" i="2"/>
  <c r="J121" i="2"/>
  <c r="O121" i="2"/>
  <c r="G121" i="2"/>
  <c r="AE121" i="2"/>
  <c r="AI121" i="2"/>
  <c r="Q121" i="2"/>
  <c r="H121" i="2"/>
  <c r="E121" i="2"/>
  <c r="I121" i="2"/>
  <c r="P121" i="2"/>
  <c r="P335" i="2"/>
  <c r="O335" i="2"/>
  <c r="AD335" i="2"/>
  <c r="I335" i="2"/>
  <c r="Q335" i="2"/>
  <c r="H335" i="2"/>
  <c r="AE335" i="2"/>
  <c r="G335" i="2"/>
  <c r="AI335" i="2"/>
  <c r="AC335" i="2"/>
  <c r="E335" i="2"/>
  <c r="J335" i="2"/>
  <c r="P521" i="2"/>
  <c r="G521" i="2"/>
  <c r="J521" i="2"/>
  <c r="AE521" i="2"/>
  <c r="I521" i="2"/>
  <c r="AD521" i="2"/>
  <c r="H521" i="2"/>
  <c r="Q521" i="2"/>
  <c r="O521" i="2"/>
  <c r="E521" i="2"/>
  <c r="AI521" i="2"/>
  <c r="AC521" i="2"/>
  <c r="AE580" i="2"/>
  <c r="J580" i="2"/>
  <c r="AD580" i="2"/>
  <c r="H580" i="2"/>
  <c r="AI580" i="2"/>
  <c r="O580" i="2"/>
  <c r="I580" i="2"/>
  <c r="AC580" i="2"/>
  <c r="P580" i="2"/>
  <c r="Q580" i="2"/>
  <c r="G580" i="2"/>
  <c r="E580" i="2"/>
  <c r="AE263" i="2"/>
  <c r="H263" i="2"/>
  <c r="J263" i="2"/>
  <c r="I263" i="2"/>
  <c r="O263" i="2"/>
  <c r="G263" i="2"/>
  <c r="AI263" i="2"/>
  <c r="P263" i="2"/>
  <c r="E263" i="2"/>
  <c r="Q263" i="2"/>
  <c r="AD263" i="2"/>
  <c r="AC263" i="2"/>
  <c r="AE323" i="2"/>
  <c r="O323" i="2"/>
  <c r="AC323" i="2"/>
  <c r="E323" i="2"/>
  <c r="I323" i="2"/>
  <c r="G323" i="2"/>
  <c r="P323" i="2"/>
  <c r="Q323" i="2"/>
  <c r="AD323" i="2"/>
  <c r="J323" i="2"/>
  <c r="AI323" i="2"/>
  <c r="H323" i="2"/>
  <c r="P257" i="2"/>
  <c r="AD257" i="2"/>
  <c r="O257" i="2"/>
  <c r="E257" i="2"/>
  <c r="G257" i="2"/>
  <c r="AC257" i="2"/>
  <c r="AI257" i="2"/>
  <c r="Q257" i="2"/>
  <c r="AE257" i="2"/>
  <c r="H257" i="2"/>
  <c r="J257" i="2"/>
  <c r="I257" i="2"/>
  <c r="H240" i="2"/>
  <c r="AE240" i="2"/>
  <c r="AI240" i="2"/>
  <c r="O240" i="2"/>
  <c r="G240" i="2"/>
  <c r="I240" i="2"/>
  <c r="AD240" i="2"/>
  <c r="P240" i="2"/>
  <c r="J240" i="2"/>
  <c r="E240" i="2"/>
  <c r="AC240" i="2"/>
  <c r="Q240" i="2"/>
  <c r="AI325" i="2"/>
  <c r="G325" i="2"/>
  <c r="O325" i="2"/>
  <c r="J325" i="2"/>
  <c r="AD325" i="2"/>
  <c r="P325" i="2"/>
  <c r="AE325" i="2"/>
  <c r="AC325" i="2"/>
  <c r="H325" i="2"/>
  <c r="I325" i="2"/>
  <c r="E325" i="2"/>
  <c r="Q325" i="2"/>
  <c r="H34" i="2"/>
  <c r="G34" i="2"/>
  <c r="P34" i="2"/>
  <c r="O34" i="2"/>
  <c r="AD34" i="2"/>
  <c r="I34" i="2"/>
  <c r="AE34" i="2"/>
  <c r="J34" i="2"/>
  <c r="AI34" i="2"/>
  <c r="Q34" i="2"/>
  <c r="AC34" i="2"/>
  <c r="E34" i="2"/>
  <c r="G150" i="2"/>
  <c r="P150" i="2"/>
  <c r="J150" i="2"/>
  <c r="AC150" i="2"/>
  <c r="AE150" i="2"/>
  <c r="O150" i="2"/>
  <c r="AD150" i="2"/>
  <c r="AI150" i="2"/>
  <c r="I150" i="2"/>
  <c r="E150" i="2"/>
  <c r="H150" i="2"/>
  <c r="Q150" i="2"/>
  <c r="AC108" i="2"/>
  <c r="P108" i="2"/>
  <c r="I108" i="2"/>
  <c r="O108" i="2"/>
  <c r="AD108" i="2"/>
  <c r="J108" i="2"/>
  <c r="G108" i="2"/>
  <c r="H108" i="2"/>
  <c r="AI108" i="2"/>
  <c r="E108" i="2"/>
  <c r="AE108" i="2"/>
  <c r="Q108" i="2"/>
  <c r="AE582" i="2"/>
  <c r="P582" i="2"/>
  <c r="AD582" i="2"/>
  <c r="AI582" i="2"/>
  <c r="O582" i="2"/>
  <c r="J582" i="2"/>
  <c r="AC582" i="2"/>
  <c r="I582" i="2"/>
  <c r="G582" i="2"/>
  <c r="E582" i="2"/>
  <c r="H582" i="2"/>
  <c r="Q582" i="2"/>
  <c r="AE270" i="2"/>
  <c r="I270" i="2"/>
  <c r="AI270" i="2"/>
  <c r="P270" i="2"/>
  <c r="AD270" i="2"/>
  <c r="O270" i="2"/>
  <c r="J270" i="2"/>
  <c r="Q270" i="2"/>
  <c r="AC270" i="2"/>
  <c r="E270" i="2"/>
  <c r="G270" i="2"/>
  <c r="H270" i="2"/>
  <c r="O228" i="2"/>
  <c r="AI228" i="2"/>
  <c r="P228" i="2"/>
  <c r="J228" i="2"/>
  <c r="AC228" i="2"/>
  <c r="G228" i="2"/>
  <c r="AE228" i="2"/>
  <c r="AD228" i="2"/>
  <c r="Q228" i="2"/>
  <c r="E228" i="2"/>
  <c r="H228" i="2"/>
  <c r="I228" i="2"/>
  <c r="H104" i="2"/>
  <c r="AD104" i="2"/>
  <c r="AI104" i="2"/>
  <c r="AE104" i="2"/>
  <c r="O104" i="2"/>
  <c r="G104" i="2"/>
  <c r="AC104" i="2"/>
  <c r="J104" i="2"/>
  <c r="P104" i="2"/>
  <c r="Q104" i="2"/>
  <c r="I104" i="2"/>
  <c r="E104" i="2"/>
  <c r="AD21" i="2"/>
  <c r="AE21" i="2"/>
  <c r="AC21" i="2"/>
  <c r="O21" i="2"/>
  <c r="P21" i="2"/>
  <c r="G21" i="2"/>
  <c r="I21" i="2"/>
  <c r="AI21" i="2"/>
  <c r="E21" i="2"/>
  <c r="J21" i="2"/>
  <c r="H21" i="2"/>
  <c r="Q21" i="2"/>
  <c r="AD308" i="2"/>
  <c r="G308" i="2"/>
  <c r="Q308" i="2"/>
  <c r="O308" i="2"/>
  <c r="AI308" i="2"/>
  <c r="E308" i="2"/>
  <c r="AE308" i="2"/>
  <c r="I308" i="2"/>
  <c r="H308" i="2"/>
  <c r="J308" i="2"/>
  <c r="P308" i="2"/>
  <c r="AC308" i="2"/>
  <c r="I251" i="2"/>
  <c r="AE251" i="2"/>
  <c r="G251" i="2"/>
  <c r="E251" i="2"/>
  <c r="H251" i="2"/>
  <c r="AI251" i="2"/>
  <c r="O251" i="2"/>
  <c r="Q251" i="2"/>
  <c r="AD251" i="2"/>
  <c r="P251" i="2"/>
  <c r="AC251" i="2"/>
  <c r="J251" i="2"/>
  <c r="H110" i="2"/>
  <c r="I110" i="2"/>
  <c r="AI110" i="2"/>
  <c r="AE110" i="2"/>
  <c r="O110" i="2"/>
  <c r="P110" i="2"/>
  <c r="G110" i="2"/>
  <c r="E110" i="2"/>
  <c r="AD110" i="2"/>
  <c r="AC110" i="2"/>
  <c r="J110" i="2"/>
  <c r="Q110" i="2"/>
  <c r="AE235" i="2"/>
  <c r="AI235" i="2"/>
  <c r="J235" i="2"/>
  <c r="I235" i="2"/>
  <c r="H235" i="2"/>
  <c r="AD235" i="2"/>
  <c r="O235" i="2"/>
  <c r="G235" i="2"/>
  <c r="Q235" i="2"/>
  <c r="AC235" i="2"/>
  <c r="P235" i="2"/>
  <c r="E235" i="2"/>
  <c r="P337" i="2"/>
  <c r="AI337" i="2"/>
  <c r="O337" i="2"/>
  <c r="AC337" i="2"/>
  <c r="J337" i="2"/>
  <c r="AE337" i="2"/>
  <c r="G337" i="2"/>
  <c r="Q337" i="2"/>
  <c r="H337" i="2"/>
  <c r="I337" i="2"/>
  <c r="E337" i="2"/>
  <c r="AD337" i="2"/>
  <c r="AI480" i="2"/>
  <c r="AD480" i="2"/>
  <c r="Q480" i="2"/>
  <c r="O480" i="2"/>
  <c r="AC480" i="2"/>
  <c r="E480" i="2"/>
  <c r="AE480" i="2"/>
  <c r="I480" i="2"/>
  <c r="G480" i="2"/>
  <c r="H480" i="2"/>
  <c r="J480" i="2"/>
  <c r="P480" i="2"/>
  <c r="H390" i="2"/>
  <c r="P390" i="2"/>
  <c r="O390" i="2"/>
  <c r="AC390" i="2"/>
  <c r="AI390" i="2"/>
  <c r="AE390" i="2"/>
  <c r="I390" i="2"/>
  <c r="E390" i="2"/>
  <c r="J390" i="2"/>
  <c r="G390" i="2"/>
  <c r="Q390" i="2"/>
  <c r="AD390" i="2"/>
  <c r="J54" i="2"/>
  <c r="AE54" i="2"/>
  <c r="G54" i="2"/>
  <c r="P54" i="2"/>
  <c r="H54" i="2"/>
  <c r="I54" i="2"/>
  <c r="O54" i="2"/>
  <c r="AI54" i="2"/>
  <c r="E54" i="2"/>
  <c r="AD54" i="2"/>
  <c r="AC54" i="2"/>
  <c r="Q54" i="2"/>
  <c r="AE431" i="2"/>
  <c r="AI431" i="2"/>
  <c r="P431" i="2"/>
  <c r="AD431" i="2"/>
  <c r="G431" i="2"/>
  <c r="O431" i="2"/>
  <c r="I431" i="2"/>
  <c r="J431" i="2"/>
  <c r="AC431" i="2"/>
  <c r="H431" i="2"/>
  <c r="E431" i="2"/>
  <c r="Q431" i="2"/>
  <c r="H78" i="2"/>
  <c r="J78" i="2"/>
  <c r="I78" i="2"/>
  <c r="AD78" i="2"/>
  <c r="AE78" i="2"/>
  <c r="O78" i="2"/>
  <c r="G78" i="2"/>
  <c r="AI78" i="2"/>
  <c r="P78" i="2"/>
  <c r="AC78" i="2"/>
  <c r="Q78" i="2"/>
  <c r="E78" i="2"/>
  <c r="AE394" i="2"/>
  <c r="G394" i="2"/>
  <c r="J394" i="2"/>
  <c r="H394" i="2"/>
  <c r="P394" i="2"/>
  <c r="O394" i="2"/>
  <c r="AI394" i="2"/>
  <c r="AD394" i="2"/>
  <c r="Q394" i="2"/>
  <c r="I394" i="2"/>
  <c r="E394" i="2"/>
  <c r="AC394" i="2"/>
  <c r="AE322" i="2"/>
  <c r="AD322" i="2"/>
  <c r="J322" i="2"/>
  <c r="P322" i="2"/>
  <c r="I322" i="2"/>
  <c r="H322" i="2"/>
  <c r="AI322" i="2"/>
  <c r="G322" i="2"/>
  <c r="Q322" i="2"/>
  <c r="AC322" i="2"/>
  <c r="E322" i="2"/>
  <c r="O322" i="2"/>
  <c r="AE8" i="2"/>
  <c r="G8" i="2"/>
  <c r="J8" i="2"/>
  <c r="AD8" i="2"/>
  <c r="AC8" i="2"/>
  <c r="AI8" i="2"/>
  <c r="O8" i="2"/>
  <c r="P8" i="2"/>
  <c r="Q8" i="2"/>
  <c r="I8" i="2"/>
  <c r="E8" i="2"/>
  <c r="H8" i="2"/>
  <c r="AD457" i="2"/>
  <c r="G457" i="2"/>
  <c r="I457" i="2"/>
  <c r="AC457" i="2"/>
  <c r="AE457" i="2"/>
  <c r="J457" i="2"/>
  <c r="P457" i="2"/>
  <c r="AI457" i="2"/>
  <c r="Q457" i="2"/>
  <c r="H457" i="2"/>
  <c r="E457" i="2"/>
  <c r="O457" i="2"/>
  <c r="AD336" i="2"/>
  <c r="G336" i="2"/>
  <c r="I336" i="2"/>
  <c r="AE336" i="2"/>
  <c r="P336" i="2"/>
  <c r="J336" i="2"/>
  <c r="H336" i="2"/>
  <c r="O336" i="2"/>
  <c r="Q336" i="2"/>
  <c r="AC336" i="2"/>
  <c r="E336" i="2"/>
  <c r="AI336" i="2"/>
  <c r="AI438" i="2"/>
  <c r="H438" i="2"/>
  <c r="O438" i="2"/>
  <c r="AE438" i="2"/>
  <c r="I438" i="2"/>
  <c r="AC438" i="2"/>
  <c r="G438" i="2"/>
  <c r="J438" i="2"/>
  <c r="Q438" i="2"/>
  <c r="P438" i="2"/>
  <c r="E438" i="2"/>
  <c r="AD438" i="2"/>
  <c r="AE483" i="2"/>
  <c r="H483" i="2"/>
  <c r="AC483" i="2"/>
  <c r="P483" i="2"/>
  <c r="G483" i="2"/>
  <c r="AI483" i="2"/>
  <c r="AD483" i="2"/>
  <c r="O483" i="2"/>
  <c r="I483" i="2"/>
  <c r="J483" i="2"/>
  <c r="E483" i="2"/>
  <c r="Q483" i="2"/>
  <c r="AD118" i="2"/>
  <c r="H118" i="2"/>
  <c r="AI118" i="2"/>
  <c r="AC118" i="2"/>
  <c r="P118" i="2"/>
  <c r="AE118" i="2"/>
  <c r="J118" i="2"/>
  <c r="O118" i="2"/>
  <c r="Q118" i="2"/>
  <c r="I118" i="2"/>
  <c r="E118" i="2"/>
  <c r="G118" i="2"/>
  <c r="J300" i="2"/>
  <c r="I300" i="2"/>
  <c r="G300" i="2"/>
  <c r="AC300" i="2"/>
  <c r="AI300" i="2"/>
  <c r="AE300" i="2"/>
  <c r="O300" i="2"/>
  <c r="H300" i="2"/>
  <c r="Q300" i="2"/>
  <c r="AD300" i="2"/>
  <c r="E300" i="2"/>
  <c r="P300" i="2"/>
  <c r="P13" i="2"/>
  <c r="G13" i="2"/>
  <c r="J13" i="2"/>
  <c r="AC13" i="2"/>
  <c r="AD13" i="2"/>
  <c r="AE13" i="2"/>
  <c r="H13" i="2"/>
  <c r="AI13" i="2"/>
  <c r="E13" i="2"/>
  <c r="O13" i="2"/>
  <c r="Q13" i="2"/>
  <c r="I13" i="2"/>
  <c r="I113" i="2"/>
  <c r="AD113" i="2"/>
  <c r="P113" i="2"/>
  <c r="G113" i="2"/>
  <c r="AC113" i="2"/>
  <c r="J113" i="2"/>
  <c r="O113" i="2"/>
  <c r="H113" i="2"/>
  <c r="AI113" i="2"/>
  <c r="AE113" i="2"/>
  <c r="E113" i="2"/>
  <c r="Q113" i="2"/>
  <c r="G391" i="2"/>
  <c r="O391" i="2"/>
  <c r="J391" i="2"/>
  <c r="H391" i="2"/>
  <c r="AI391" i="2"/>
  <c r="P391" i="2"/>
  <c r="I391" i="2"/>
  <c r="AD391" i="2"/>
  <c r="AC391" i="2"/>
  <c r="AE391" i="2"/>
  <c r="Q391" i="2"/>
  <c r="E391" i="2"/>
  <c r="O79" i="2"/>
  <c r="AI79" i="2"/>
  <c r="AE79" i="2"/>
  <c r="P79" i="2"/>
  <c r="I79" i="2"/>
  <c r="AD79" i="2"/>
  <c r="H79" i="2"/>
  <c r="J79" i="2"/>
  <c r="AC79" i="2"/>
  <c r="E79" i="2"/>
  <c r="G79" i="2"/>
  <c r="Q79" i="2"/>
  <c r="G209" i="2"/>
  <c r="P209" i="2"/>
  <c r="AE209" i="2"/>
  <c r="AC209" i="2"/>
  <c r="I209" i="2"/>
  <c r="O209" i="2"/>
  <c r="AD209" i="2"/>
  <c r="AI209" i="2"/>
  <c r="H209" i="2"/>
  <c r="E209" i="2"/>
  <c r="J209" i="2"/>
  <c r="Q209" i="2"/>
  <c r="AI381" i="2"/>
  <c r="J381" i="2"/>
  <c r="AE381" i="2"/>
  <c r="AD381" i="2"/>
  <c r="I381" i="2"/>
  <c r="AC381" i="2"/>
  <c r="O381" i="2"/>
  <c r="G381" i="2"/>
  <c r="P381" i="2"/>
  <c r="E381" i="2"/>
  <c r="H381" i="2"/>
  <c r="Q381" i="2"/>
  <c r="AE216" i="2"/>
  <c r="G216" i="2"/>
  <c r="AD216" i="2"/>
  <c r="H216" i="2"/>
  <c r="P216" i="2"/>
  <c r="O216" i="2"/>
  <c r="I216" i="2"/>
  <c r="J216" i="2"/>
  <c r="AI216" i="2"/>
  <c r="E216" i="2"/>
  <c r="AC216" i="2"/>
  <c r="Q216" i="2"/>
  <c r="G302" i="2"/>
  <c r="P302" i="2"/>
  <c r="AC302" i="2"/>
  <c r="I302" i="2"/>
  <c r="AE302" i="2"/>
  <c r="AI302" i="2"/>
  <c r="AD302" i="2"/>
  <c r="J302" i="2"/>
  <c r="H302" i="2"/>
  <c r="O302" i="2"/>
  <c r="E302" i="2"/>
  <c r="Q302" i="2"/>
  <c r="AD540" i="2"/>
  <c r="O540" i="2"/>
  <c r="J540" i="2"/>
  <c r="I540" i="2"/>
  <c r="AE540" i="2"/>
  <c r="H540" i="2"/>
  <c r="G540" i="2"/>
  <c r="Q540" i="2"/>
  <c r="AC540" i="2"/>
  <c r="AI540" i="2"/>
  <c r="P540" i="2"/>
  <c r="E540" i="2"/>
  <c r="AD307" i="2"/>
  <c r="J307" i="2"/>
  <c r="P307" i="2"/>
  <c r="O307" i="2"/>
  <c r="AE307" i="2"/>
  <c r="I307" i="2"/>
  <c r="G307" i="2"/>
  <c r="E307" i="2"/>
  <c r="AC307" i="2"/>
  <c r="AI307" i="2"/>
  <c r="H307" i="2"/>
  <c r="Q307" i="2"/>
  <c r="AE478" i="2"/>
  <c r="H478" i="2"/>
  <c r="AD478" i="2"/>
  <c r="E478" i="2"/>
  <c r="O478" i="2"/>
  <c r="P478" i="2"/>
  <c r="AC478" i="2"/>
  <c r="Q478" i="2"/>
  <c r="G478" i="2"/>
  <c r="AI478" i="2"/>
  <c r="J478" i="2"/>
  <c r="I478" i="2"/>
  <c r="J447" i="2"/>
  <c r="H447" i="2"/>
  <c r="O447" i="2"/>
  <c r="G447" i="2"/>
  <c r="AD447" i="2"/>
  <c r="AC447" i="2"/>
  <c r="Q447" i="2"/>
  <c r="P447" i="2"/>
  <c r="AI447" i="2"/>
  <c r="I447" i="2"/>
  <c r="AE447" i="2"/>
  <c r="E447" i="2"/>
  <c r="AE96" i="2"/>
  <c r="O96" i="2"/>
  <c r="G96" i="2"/>
  <c r="J96" i="2"/>
  <c r="AD96" i="2"/>
  <c r="AC96" i="2"/>
  <c r="P96" i="2"/>
  <c r="Q96" i="2"/>
  <c r="H96" i="2"/>
  <c r="I96" i="2"/>
  <c r="AI96" i="2"/>
  <c r="E96" i="2"/>
  <c r="P365" i="2"/>
  <c r="H365" i="2"/>
  <c r="O365" i="2"/>
  <c r="AD365" i="2"/>
  <c r="AE365" i="2"/>
  <c r="I365" i="2"/>
  <c r="AI365" i="2"/>
  <c r="Q365" i="2"/>
  <c r="J365" i="2"/>
  <c r="AC365" i="2"/>
  <c r="G365" i="2"/>
  <c r="E365" i="2"/>
  <c r="H99" i="2"/>
  <c r="AE99" i="2"/>
  <c r="AI99" i="2"/>
  <c r="P99" i="2"/>
  <c r="J99" i="2"/>
  <c r="I99" i="2"/>
  <c r="Q99" i="2"/>
  <c r="AC99" i="2"/>
  <c r="AD99" i="2"/>
  <c r="G99" i="2"/>
  <c r="O99" i="2"/>
  <c r="E99" i="2"/>
  <c r="G105" i="2"/>
  <c r="AD105" i="2"/>
  <c r="AC105" i="2"/>
  <c r="I105" i="2"/>
  <c r="AI105" i="2"/>
  <c r="J105" i="2"/>
  <c r="E105" i="2"/>
  <c r="AE105" i="2"/>
  <c r="P105" i="2"/>
  <c r="O105" i="2"/>
  <c r="H105" i="2"/>
  <c r="Q105" i="2"/>
  <c r="H449" i="2"/>
  <c r="O449" i="2"/>
  <c r="I449" i="2"/>
  <c r="AD449" i="2"/>
  <c r="J449" i="2"/>
  <c r="AI449" i="2"/>
  <c r="E449" i="2"/>
  <c r="AE449" i="2"/>
  <c r="AC449" i="2"/>
  <c r="P449" i="2"/>
  <c r="G449" i="2"/>
  <c r="Q449" i="2"/>
  <c r="AE210" i="2"/>
  <c r="AC210" i="2"/>
  <c r="AD210" i="2"/>
  <c r="G210" i="2"/>
  <c r="Q210" i="2"/>
  <c r="O210" i="2"/>
  <c r="I210" i="2"/>
  <c r="P210" i="2"/>
  <c r="J210" i="2"/>
  <c r="AI210" i="2"/>
  <c r="H210" i="2"/>
  <c r="E210" i="2"/>
  <c r="G367" i="2"/>
  <c r="AC367" i="2"/>
  <c r="O367" i="2"/>
  <c r="AD367" i="2"/>
  <c r="E367" i="2"/>
  <c r="AE367" i="2"/>
  <c r="P367" i="2"/>
  <c r="AI367" i="2"/>
  <c r="H367" i="2"/>
  <c r="I367" i="2"/>
  <c r="J367" i="2"/>
  <c r="Q367" i="2"/>
  <c r="AC510" i="2"/>
  <c r="AI510" i="2"/>
  <c r="AD510" i="2"/>
  <c r="P510" i="2"/>
  <c r="I510" i="2"/>
  <c r="AE510" i="2"/>
  <c r="O510" i="2"/>
  <c r="Q510" i="2"/>
  <c r="J510" i="2"/>
  <c r="G510" i="2"/>
  <c r="H510" i="2"/>
  <c r="E510" i="2"/>
  <c r="I486" i="2"/>
  <c r="AI486" i="2"/>
  <c r="P486" i="2"/>
  <c r="O486" i="2"/>
  <c r="AD486" i="2"/>
  <c r="G486" i="2"/>
  <c r="AE486" i="2"/>
  <c r="AC486" i="2"/>
  <c r="Q486" i="2"/>
  <c r="E486" i="2"/>
  <c r="H486" i="2"/>
  <c r="J486" i="2"/>
  <c r="H138" i="2"/>
  <c r="G138" i="2"/>
  <c r="J138" i="2"/>
  <c r="P138" i="2"/>
  <c r="I138" i="2"/>
  <c r="AC138" i="2"/>
  <c r="AE138" i="2"/>
  <c r="AD138" i="2"/>
  <c r="Q138" i="2"/>
  <c r="AI138" i="2"/>
  <c r="O138" i="2"/>
  <c r="E138" i="2"/>
  <c r="AE372" i="2"/>
  <c r="G372" i="2"/>
  <c r="O372" i="2"/>
  <c r="AI372" i="2"/>
  <c r="AC372" i="2"/>
  <c r="I372" i="2"/>
  <c r="H372" i="2"/>
  <c r="E372" i="2"/>
  <c r="J372" i="2"/>
  <c r="P372" i="2"/>
  <c r="Q372" i="2"/>
  <c r="AD372" i="2"/>
  <c r="AE51" i="2"/>
  <c r="P51" i="2"/>
  <c r="J51" i="2"/>
  <c r="H51" i="2"/>
  <c r="G51" i="2"/>
  <c r="AI51" i="2"/>
  <c r="O51" i="2"/>
  <c r="E51" i="2"/>
  <c r="AD51" i="2"/>
  <c r="AC51" i="2"/>
  <c r="I51" i="2"/>
  <c r="Q51" i="2"/>
  <c r="AE10" i="2"/>
  <c r="J10" i="2"/>
  <c r="G10" i="2"/>
  <c r="AI10" i="2"/>
  <c r="E10" i="2"/>
  <c r="H10" i="2"/>
  <c r="O10" i="2"/>
  <c r="AD10" i="2"/>
  <c r="AC10" i="2"/>
  <c r="I10" i="2"/>
  <c r="Q10" i="2"/>
  <c r="P10" i="2"/>
  <c r="AE432" i="2"/>
  <c r="P432" i="2"/>
  <c r="H432" i="2"/>
  <c r="J432" i="2"/>
  <c r="I432" i="2"/>
  <c r="AI432" i="2"/>
  <c r="E432" i="2"/>
  <c r="O432" i="2"/>
  <c r="G432" i="2"/>
  <c r="Q432" i="2"/>
  <c r="AC432" i="2"/>
  <c r="AD432" i="2"/>
  <c r="H298" i="2"/>
  <c r="P298" i="2"/>
  <c r="G298" i="2"/>
  <c r="AC298" i="2"/>
  <c r="O298" i="2"/>
  <c r="AE298" i="2"/>
  <c r="I298" i="2"/>
  <c r="E298" i="2"/>
  <c r="J298" i="2"/>
  <c r="AD298" i="2"/>
  <c r="AI298" i="2"/>
  <c r="Q298" i="2"/>
  <c r="O159" i="2"/>
  <c r="AD159" i="2"/>
  <c r="AI159" i="2"/>
  <c r="G159" i="2"/>
  <c r="E159" i="2"/>
  <c r="AE159" i="2"/>
  <c r="I159" i="2"/>
  <c r="AC159" i="2"/>
  <c r="P159" i="2"/>
  <c r="H159" i="2"/>
  <c r="Q159" i="2"/>
  <c r="J159" i="2"/>
  <c r="I524" i="2"/>
  <c r="G524" i="2"/>
  <c r="H524" i="2"/>
  <c r="AC524" i="2"/>
  <c r="AD524" i="2"/>
  <c r="AE524" i="2"/>
  <c r="P524" i="2"/>
  <c r="E524" i="2"/>
  <c r="J524" i="2"/>
  <c r="AI524" i="2"/>
  <c r="O524" i="2"/>
  <c r="Q524" i="2"/>
  <c r="AC184" i="2"/>
  <c r="AD184" i="2"/>
  <c r="J184" i="2"/>
  <c r="H184" i="2"/>
  <c r="AI184" i="2"/>
  <c r="G184" i="2"/>
  <c r="Q184" i="2"/>
  <c r="O184" i="2"/>
  <c r="I184" i="2"/>
  <c r="P184" i="2"/>
  <c r="AE184" i="2"/>
  <c r="E184" i="2"/>
  <c r="P563" i="2"/>
  <c r="O563" i="2"/>
  <c r="H563" i="2"/>
  <c r="AC563" i="2"/>
  <c r="E563" i="2"/>
  <c r="AI563" i="2"/>
  <c r="AE563" i="2"/>
  <c r="J563" i="2"/>
  <c r="AD563" i="2"/>
  <c r="Q563" i="2"/>
  <c r="I563" i="2"/>
  <c r="G563" i="2"/>
  <c r="AC124" i="2"/>
  <c r="AE124" i="2"/>
  <c r="O124" i="2"/>
  <c r="AD124" i="2"/>
  <c r="J124" i="2"/>
  <c r="AI124" i="2"/>
  <c r="H124" i="2"/>
  <c r="I124" i="2"/>
  <c r="E124" i="2"/>
  <c r="P124" i="2"/>
  <c r="Q124" i="2"/>
  <c r="G124" i="2"/>
  <c r="I565" i="2"/>
  <c r="AI565" i="2"/>
  <c r="G565" i="2"/>
  <c r="O565" i="2"/>
  <c r="AE565" i="2"/>
  <c r="J565" i="2"/>
  <c r="AD565" i="2"/>
  <c r="AC565" i="2"/>
  <c r="Q565" i="2"/>
  <c r="P565" i="2"/>
  <c r="H565" i="2"/>
  <c r="E565" i="2"/>
  <c r="H215" i="2"/>
  <c r="P215" i="2"/>
  <c r="E215" i="2"/>
  <c r="O215" i="2"/>
  <c r="J215" i="2"/>
  <c r="Q215" i="2"/>
  <c r="AE215" i="2"/>
  <c r="AD215" i="2"/>
  <c r="AC215" i="2"/>
  <c r="AI215" i="2"/>
  <c r="G215" i="2"/>
  <c r="I215" i="2"/>
  <c r="AE73" i="2"/>
  <c r="O73" i="2"/>
  <c r="AC73" i="2"/>
  <c r="AI73" i="2"/>
  <c r="G73" i="2"/>
  <c r="I73" i="2"/>
  <c r="J73" i="2"/>
  <c r="P73" i="2"/>
  <c r="H73" i="2"/>
  <c r="Q73" i="2"/>
  <c r="AD73" i="2"/>
  <c r="E73" i="2"/>
  <c r="AD131" i="2"/>
  <c r="I131" i="2"/>
  <c r="J131" i="2"/>
  <c r="P131" i="2"/>
  <c r="O131" i="2"/>
  <c r="H131" i="2"/>
  <c r="AI131" i="2"/>
  <c r="AC131" i="2"/>
  <c r="AE131" i="2"/>
  <c r="E131" i="2"/>
  <c r="Q131" i="2"/>
  <c r="G131" i="2"/>
  <c r="H168" i="2"/>
  <c r="AC168" i="2"/>
  <c r="AD168" i="2"/>
  <c r="AE168" i="2"/>
  <c r="AI168" i="2"/>
  <c r="J168" i="2"/>
  <c r="P168" i="2"/>
  <c r="I168" i="2"/>
  <c r="O168" i="2"/>
  <c r="E168" i="2"/>
  <c r="G168" i="2"/>
  <c r="Q168" i="2"/>
  <c r="G423" i="2"/>
  <c r="AC423" i="2"/>
  <c r="H423" i="2"/>
  <c r="I423" i="2"/>
  <c r="AI423" i="2"/>
  <c r="AD423" i="2"/>
  <c r="J423" i="2"/>
  <c r="O423" i="2"/>
  <c r="Q423" i="2"/>
  <c r="P423" i="2"/>
  <c r="AE423" i="2"/>
  <c r="E423" i="2"/>
  <c r="AC173" i="2"/>
  <c r="O173" i="2"/>
  <c r="E173" i="2"/>
  <c r="H173" i="2"/>
  <c r="P173" i="2"/>
  <c r="Q173" i="2"/>
  <c r="AE173" i="2"/>
  <c r="J173" i="2"/>
  <c r="AI173" i="2"/>
  <c r="G173" i="2"/>
  <c r="AD173" i="2"/>
  <c r="I173" i="2"/>
  <c r="H586" i="2"/>
  <c r="P586" i="2"/>
  <c r="J586" i="2"/>
  <c r="Q586" i="2"/>
  <c r="AI586" i="2"/>
  <c r="O586" i="2"/>
  <c r="I586" i="2"/>
  <c r="E586" i="2"/>
  <c r="AE586" i="2"/>
  <c r="AD586" i="2"/>
  <c r="AC586" i="2"/>
  <c r="G586" i="2"/>
  <c r="H170" i="2"/>
  <c r="P170" i="2"/>
  <c r="AD170" i="2"/>
  <c r="G170" i="2"/>
  <c r="I170" i="2"/>
  <c r="J170" i="2"/>
  <c r="AE170" i="2"/>
  <c r="AC170" i="2"/>
  <c r="Q170" i="2"/>
  <c r="AI170" i="2"/>
  <c r="O170" i="2"/>
  <c r="E170" i="2"/>
  <c r="O40" i="2"/>
  <c r="P40" i="2"/>
  <c r="H40" i="2"/>
  <c r="G40" i="2"/>
  <c r="AE40" i="2"/>
  <c r="AC40" i="2"/>
  <c r="AI40" i="2"/>
  <c r="E40" i="2"/>
  <c r="I40" i="2"/>
  <c r="AD40" i="2"/>
  <c r="Q40" i="2"/>
  <c r="J40" i="2"/>
  <c r="AE581" i="2"/>
  <c r="G581" i="2"/>
  <c r="P581" i="2"/>
  <c r="O581" i="2"/>
  <c r="I581" i="2"/>
  <c r="AI581" i="2"/>
  <c r="J581" i="2"/>
  <c r="Q581" i="2"/>
  <c r="H581" i="2"/>
  <c r="AD581" i="2"/>
  <c r="AC581" i="2"/>
  <c r="E581" i="2"/>
  <c r="G410" i="2"/>
  <c r="AD410" i="2"/>
  <c r="AC410" i="2"/>
  <c r="P410" i="2"/>
  <c r="H410" i="2"/>
  <c r="AE410" i="2"/>
  <c r="AI410" i="2"/>
  <c r="O410" i="2"/>
  <c r="E410" i="2"/>
  <c r="J410" i="2"/>
  <c r="Q410" i="2"/>
  <c r="I410" i="2"/>
  <c r="I352" i="2"/>
  <c r="O352" i="2"/>
  <c r="AD352" i="2"/>
  <c r="AE352" i="2"/>
  <c r="P352" i="2"/>
  <c r="G352" i="2"/>
  <c r="H352" i="2"/>
  <c r="AC352" i="2"/>
  <c r="J352" i="2"/>
  <c r="Q352" i="2"/>
  <c r="AI352" i="2"/>
  <c r="E352" i="2"/>
  <c r="P543" i="2"/>
  <c r="AD543" i="2"/>
  <c r="AC543" i="2"/>
  <c r="H543" i="2"/>
  <c r="AE543" i="2"/>
  <c r="O543" i="2"/>
  <c r="G543" i="2"/>
  <c r="Q543" i="2"/>
  <c r="J543" i="2"/>
  <c r="E543" i="2"/>
  <c r="I543" i="2"/>
  <c r="AI543" i="2"/>
  <c r="AC354" i="2"/>
  <c r="I354" i="2"/>
  <c r="J354" i="2"/>
  <c r="G354" i="2"/>
  <c r="AD354" i="2"/>
  <c r="AI354" i="2"/>
  <c r="AE354" i="2"/>
  <c r="O354" i="2"/>
  <c r="H354" i="2"/>
  <c r="E354" i="2"/>
  <c r="P354" i="2"/>
  <c r="Q354" i="2"/>
  <c r="AE476" i="2"/>
  <c r="AC476" i="2"/>
  <c r="AD476" i="2"/>
  <c r="G476" i="2"/>
  <c r="H476" i="2"/>
  <c r="O476" i="2"/>
  <c r="AI476" i="2"/>
  <c r="J476" i="2"/>
  <c r="Q476" i="2"/>
  <c r="P476" i="2"/>
  <c r="E476" i="2"/>
  <c r="I476" i="2"/>
  <c r="AI176" i="2"/>
  <c r="AD176" i="2"/>
  <c r="AC176" i="2"/>
  <c r="H176" i="2"/>
  <c r="AE176" i="2"/>
  <c r="P176" i="2"/>
  <c r="I176" i="2"/>
  <c r="O176" i="2"/>
  <c r="E176" i="2"/>
  <c r="J176" i="2"/>
  <c r="Q176" i="2"/>
  <c r="G176" i="2"/>
  <c r="AE458" i="2"/>
  <c r="I458" i="2"/>
  <c r="H458" i="2"/>
  <c r="AI458" i="2"/>
  <c r="AD458" i="2"/>
  <c r="J458" i="2"/>
  <c r="P458" i="2"/>
  <c r="E458" i="2"/>
  <c r="G458" i="2"/>
  <c r="AC458" i="2"/>
  <c r="O458" i="2"/>
  <c r="Q458" i="2"/>
  <c r="AE542" i="2"/>
  <c r="J542" i="2"/>
  <c r="I542" i="2"/>
  <c r="E542" i="2"/>
  <c r="O542" i="2"/>
  <c r="P542" i="2"/>
  <c r="H542" i="2"/>
  <c r="Q542" i="2"/>
  <c r="AD542" i="2"/>
  <c r="AC542" i="2"/>
  <c r="G542" i="2"/>
  <c r="AI542" i="2"/>
  <c r="O333" i="2"/>
  <c r="H333" i="2"/>
  <c r="AC333" i="2"/>
  <c r="AI333" i="2"/>
  <c r="AD333" i="2"/>
  <c r="G333" i="2"/>
  <c r="AE333" i="2"/>
  <c r="E333" i="2"/>
  <c r="J333" i="2"/>
  <c r="P333" i="2"/>
  <c r="I333" i="2"/>
  <c r="Q333" i="2"/>
  <c r="O231" i="2"/>
  <c r="J231" i="2"/>
  <c r="Q231" i="2"/>
  <c r="H231" i="2"/>
  <c r="P231" i="2"/>
  <c r="E231" i="2"/>
  <c r="AC231" i="2"/>
  <c r="AI231" i="2"/>
  <c r="AE231" i="2"/>
  <c r="I231" i="2"/>
  <c r="G231" i="2"/>
  <c r="AD231" i="2"/>
  <c r="P143" i="2"/>
  <c r="J143" i="2"/>
  <c r="AD143" i="2"/>
  <c r="Q143" i="2"/>
  <c r="AC143" i="2"/>
  <c r="I143" i="2"/>
  <c r="G143" i="2"/>
  <c r="E143" i="2"/>
  <c r="AE143" i="2"/>
  <c r="O143" i="2"/>
  <c r="AI143" i="2"/>
  <c r="H143" i="2"/>
  <c r="G493" i="2"/>
  <c r="P493" i="2"/>
  <c r="Q493" i="2"/>
  <c r="AC493" i="2"/>
  <c r="AI493" i="2"/>
  <c r="E493" i="2"/>
  <c r="AE493" i="2"/>
  <c r="AD493" i="2"/>
  <c r="O493" i="2"/>
  <c r="H493" i="2"/>
  <c r="I493" i="2"/>
  <c r="J493" i="2"/>
  <c r="O185" i="2"/>
  <c r="AI185" i="2"/>
  <c r="J185" i="2"/>
  <c r="AC185" i="2"/>
  <c r="I185" i="2"/>
  <c r="AE185" i="2"/>
  <c r="AD185" i="2"/>
  <c r="Q185" i="2"/>
  <c r="H185" i="2"/>
  <c r="G185" i="2"/>
  <c r="P185" i="2"/>
  <c r="E185" i="2"/>
  <c r="G358" i="2"/>
  <c r="AE358" i="2"/>
  <c r="AI358" i="2"/>
  <c r="I358" i="2"/>
  <c r="O358" i="2"/>
  <c r="H358" i="2"/>
  <c r="P358" i="2"/>
  <c r="J358" i="2"/>
  <c r="AC358" i="2"/>
  <c r="E358" i="2"/>
  <c r="AD358" i="2"/>
  <c r="Q358" i="2"/>
  <c r="H154" i="2"/>
  <c r="O154" i="2"/>
  <c r="I154" i="2"/>
  <c r="AD154" i="2"/>
  <c r="J154" i="2"/>
  <c r="G154" i="2"/>
  <c r="AI154" i="2"/>
  <c r="AC154" i="2"/>
  <c r="AE154" i="2"/>
  <c r="E154" i="2"/>
  <c r="Q154" i="2"/>
  <c r="P154" i="2"/>
  <c r="I379" i="2"/>
  <c r="G379" i="2"/>
  <c r="AI379" i="2"/>
  <c r="AC379" i="2"/>
  <c r="J379" i="2"/>
  <c r="H379" i="2"/>
  <c r="AD379" i="2"/>
  <c r="P379" i="2"/>
  <c r="O379" i="2"/>
  <c r="E379" i="2"/>
  <c r="AE379" i="2"/>
  <c r="Q379" i="2"/>
  <c r="AC290" i="2"/>
  <c r="O290" i="2"/>
  <c r="AI290" i="2"/>
  <c r="I290" i="2"/>
  <c r="AD290" i="2"/>
  <c r="G290" i="2"/>
  <c r="H290" i="2"/>
  <c r="J290" i="2"/>
  <c r="P290" i="2"/>
  <c r="Q290" i="2"/>
  <c r="AE290" i="2"/>
  <c r="E290" i="2"/>
  <c r="AE415" i="2"/>
  <c r="H415" i="2"/>
  <c r="J415" i="2"/>
  <c r="P415" i="2"/>
  <c r="G415" i="2"/>
  <c r="AC415" i="2"/>
  <c r="I415" i="2"/>
  <c r="Q415" i="2"/>
  <c r="O415" i="2"/>
  <c r="E415" i="2"/>
  <c r="AI415" i="2"/>
  <c r="AD415" i="2"/>
  <c r="P232" i="2"/>
  <c r="AD232" i="2"/>
  <c r="I232" i="2"/>
  <c r="E232" i="2"/>
  <c r="O232" i="2"/>
  <c r="AI232" i="2"/>
  <c r="G232" i="2"/>
  <c r="Q232" i="2"/>
  <c r="AE232" i="2"/>
  <c r="AC232" i="2"/>
  <c r="J232" i="2"/>
  <c r="H232" i="2"/>
  <c r="I531" i="2"/>
  <c r="AC531" i="2"/>
  <c r="O531" i="2"/>
  <c r="G531" i="2"/>
  <c r="AD531" i="2"/>
  <c r="AE531" i="2"/>
  <c r="AI531" i="2"/>
  <c r="Q531" i="2"/>
  <c r="H531" i="2"/>
  <c r="J531" i="2"/>
  <c r="P531" i="2"/>
  <c r="E531" i="2"/>
  <c r="H363" i="2"/>
  <c r="O363" i="2"/>
  <c r="P363" i="2"/>
  <c r="I363" i="2"/>
  <c r="AD363" i="2"/>
  <c r="AE363" i="2"/>
  <c r="AC363" i="2"/>
  <c r="E363" i="2"/>
  <c r="AI363" i="2"/>
  <c r="G363" i="2"/>
  <c r="J363" i="2"/>
  <c r="Q363" i="2"/>
  <c r="P293" i="2"/>
  <c r="O293" i="2"/>
  <c r="AI293" i="2"/>
  <c r="AD293" i="2"/>
  <c r="H293" i="2"/>
  <c r="AC293" i="2"/>
  <c r="J293" i="2"/>
  <c r="G293" i="2"/>
  <c r="E293" i="2"/>
  <c r="AE293" i="2"/>
  <c r="I293" i="2"/>
  <c r="Q293" i="2"/>
  <c r="AE70" i="2"/>
  <c r="AI70" i="2"/>
  <c r="Q70" i="2"/>
  <c r="G70" i="2"/>
  <c r="J70" i="2"/>
  <c r="E70" i="2"/>
  <c r="O70" i="2"/>
  <c r="P70" i="2"/>
  <c r="AD70" i="2"/>
  <c r="I70" i="2"/>
  <c r="H70" i="2"/>
  <c r="AC70" i="2"/>
  <c r="AE386" i="2"/>
  <c r="AC386" i="2"/>
  <c r="I386" i="2"/>
  <c r="G386" i="2"/>
  <c r="P386" i="2"/>
  <c r="AI386" i="2"/>
  <c r="AD386" i="2"/>
  <c r="E386" i="2"/>
  <c r="J386" i="2"/>
  <c r="H386" i="2"/>
  <c r="O386" i="2"/>
  <c r="Q386" i="2"/>
  <c r="AD305" i="2"/>
  <c r="AE305" i="2"/>
  <c r="G305" i="2"/>
  <c r="E305" i="2"/>
  <c r="H305" i="2"/>
  <c r="J305" i="2"/>
  <c r="I305" i="2"/>
  <c r="Q305" i="2"/>
  <c r="AC305" i="2"/>
  <c r="O305" i="2"/>
  <c r="P305" i="2"/>
  <c r="AI305" i="2"/>
  <c r="AE385" i="2"/>
  <c r="AI385" i="2"/>
  <c r="I385" i="2"/>
  <c r="E385" i="2"/>
  <c r="J385" i="2"/>
  <c r="P385" i="2"/>
  <c r="G385" i="2"/>
  <c r="Q385" i="2"/>
  <c r="AD385" i="2"/>
  <c r="H385" i="2"/>
  <c r="AC385" i="2"/>
  <c r="O385" i="2"/>
  <c r="H236" i="2"/>
  <c r="AE236" i="2"/>
  <c r="J236" i="2"/>
  <c r="G236" i="2"/>
  <c r="AI236" i="2"/>
  <c r="O236" i="2"/>
  <c r="AD236" i="2"/>
  <c r="P236" i="2"/>
  <c r="E236" i="2"/>
  <c r="AC236" i="2"/>
  <c r="I236" i="2"/>
  <c r="Q236" i="2"/>
  <c r="AD471" i="2"/>
  <c r="O471" i="2"/>
  <c r="Q471" i="2"/>
  <c r="P471" i="2"/>
  <c r="AI471" i="2"/>
  <c r="E471" i="2"/>
  <c r="AE471" i="2"/>
  <c r="G471" i="2"/>
  <c r="AC471" i="2"/>
  <c r="J471" i="2"/>
  <c r="H471" i="2"/>
  <c r="I471" i="2"/>
  <c r="AD420" i="2"/>
  <c r="J420" i="2"/>
  <c r="P420" i="2"/>
  <c r="O420" i="2"/>
  <c r="AC420" i="2"/>
  <c r="G420" i="2"/>
  <c r="AE420" i="2"/>
  <c r="I420" i="2"/>
  <c r="E420" i="2"/>
  <c r="AI420" i="2"/>
  <c r="Q420" i="2"/>
  <c r="H420" i="2"/>
  <c r="AD339" i="2"/>
  <c r="AI339" i="2"/>
  <c r="H339" i="2"/>
  <c r="AE339" i="2"/>
  <c r="AC339" i="2"/>
  <c r="P339" i="2"/>
  <c r="G339" i="2"/>
  <c r="I339" i="2"/>
  <c r="Q339" i="2"/>
  <c r="E339" i="2"/>
  <c r="J339" i="2"/>
  <c r="O339" i="2"/>
  <c r="I20" i="2"/>
  <c r="AD20" i="2"/>
  <c r="H20" i="2"/>
  <c r="AE20" i="2"/>
  <c r="P20" i="2"/>
  <c r="J20" i="2"/>
  <c r="G20" i="2"/>
  <c r="AC20" i="2"/>
  <c r="E20" i="2"/>
  <c r="Q20" i="2"/>
  <c r="O20" i="2"/>
  <c r="AI20" i="2"/>
  <c r="AD9" i="2"/>
  <c r="J9" i="2"/>
  <c r="AI9" i="2"/>
  <c r="G9" i="2"/>
  <c r="H9" i="2"/>
  <c r="AE9" i="2"/>
  <c r="P9" i="2"/>
  <c r="I9" i="2"/>
  <c r="Q9" i="2"/>
  <c r="E9" i="2"/>
  <c r="AC9" i="2"/>
  <c r="O9" i="2"/>
  <c r="O528" i="2"/>
  <c r="AC528" i="2"/>
  <c r="I528" i="2"/>
  <c r="AE528" i="2"/>
  <c r="J528" i="2"/>
  <c r="H528" i="2"/>
  <c r="AI528" i="2"/>
  <c r="P528" i="2"/>
  <c r="G528" i="2"/>
  <c r="Q528" i="2"/>
  <c r="AD528" i="2"/>
  <c r="E528" i="2"/>
  <c r="O245" i="2"/>
  <c r="AI245" i="2"/>
  <c r="AD245" i="2"/>
  <c r="AE245" i="2"/>
  <c r="I245" i="2"/>
  <c r="P245" i="2"/>
  <c r="G245" i="2"/>
  <c r="AC245" i="2"/>
  <c r="H245" i="2"/>
  <c r="Q245" i="2"/>
  <c r="J245" i="2"/>
  <c r="E245" i="2"/>
  <c r="AI130" i="2"/>
  <c r="O130" i="2"/>
  <c r="G130" i="2"/>
  <c r="J130" i="2"/>
  <c r="H130" i="2"/>
  <c r="AE130" i="2"/>
  <c r="AC130" i="2"/>
  <c r="I130" i="2"/>
  <c r="AD130" i="2"/>
  <c r="Q130" i="2"/>
  <c r="P130" i="2"/>
  <c r="E130" i="2"/>
  <c r="AE397" i="2"/>
  <c r="J397" i="2"/>
  <c r="AD397" i="2"/>
  <c r="AI397" i="2"/>
  <c r="AC397" i="2"/>
  <c r="O397" i="2"/>
  <c r="G397" i="2"/>
  <c r="H397" i="2"/>
  <c r="P397" i="2"/>
  <c r="E397" i="2"/>
  <c r="I397" i="2"/>
  <c r="Q397" i="2"/>
  <c r="G348" i="2"/>
  <c r="H348" i="2"/>
  <c r="AC348" i="2"/>
  <c r="AI348" i="2"/>
  <c r="AE348" i="2"/>
  <c r="I348" i="2"/>
  <c r="P348" i="2"/>
  <c r="O348" i="2"/>
  <c r="AD348" i="2"/>
  <c r="E348" i="2"/>
  <c r="J348" i="2"/>
  <c r="Q348" i="2"/>
  <c r="P90" i="2"/>
  <c r="H90" i="2"/>
  <c r="AC90" i="2"/>
  <c r="G90" i="2"/>
  <c r="AE90" i="2"/>
  <c r="AI90" i="2"/>
  <c r="O90" i="2"/>
  <c r="J90" i="2"/>
  <c r="I90" i="2"/>
  <c r="Q90" i="2"/>
  <c r="AD90" i="2"/>
  <c r="E90" i="2"/>
  <c r="AI404" i="2"/>
  <c r="H404" i="2"/>
  <c r="O404" i="2"/>
  <c r="AE404" i="2"/>
  <c r="I404" i="2"/>
  <c r="AD404" i="2"/>
  <c r="J404" i="2"/>
  <c r="AC404" i="2"/>
  <c r="P404" i="2"/>
  <c r="Q404" i="2"/>
  <c r="G404" i="2"/>
  <c r="E404" i="2"/>
  <c r="AC583" i="2"/>
  <c r="O583" i="2"/>
  <c r="AD583" i="2"/>
  <c r="J583" i="2"/>
  <c r="P583" i="2"/>
  <c r="I583" i="2"/>
  <c r="AE583" i="2"/>
  <c r="G583" i="2"/>
  <c r="Q583" i="2"/>
  <c r="E583" i="2"/>
  <c r="AI583" i="2"/>
  <c r="H583" i="2"/>
  <c r="AD47" i="2"/>
  <c r="O47" i="2"/>
  <c r="P47" i="2"/>
  <c r="J47" i="2"/>
  <c r="AI47" i="2"/>
  <c r="I47" i="2"/>
  <c r="AE47" i="2"/>
  <c r="H47" i="2"/>
  <c r="E47" i="2"/>
  <c r="Q47" i="2"/>
  <c r="G47" i="2"/>
  <c r="AC47" i="2"/>
  <c r="G125" i="2"/>
  <c r="I125" i="2"/>
  <c r="O125" i="2"/>
  <c r="AE125" i="2"/>
  <c r="P125" i="2"/>
  <c r="H125" i="2"/>
  <c r="AI125" i="2"/>
  <c r="AC125" i="2"/>
  <c r="E125" i="2"/>
  <c r="J125" i="2"/>
  <c r="Q125" i="2"/>
  <c r="AD125" i="2"/>
  <c r="AD156" i="2"/>
  <c r="AC156" i="2"/>
  <c r="H156" i="2"/>
  <c r="P156" i="2"/>
  <c r="AE156" i="2"/>
  <c r="I156" i="2"/>
  <c r="AI156" i="2"/>
  <c r="J156" i="2"/>
  <c r="G156" i="2"/>
  <c r="E156" i="2"/>
  <c r="O156" i="2"/>
  <c r="Q156" i="2"/>
  <c r="AD198" i="2"/>
  <c r="H198" i="2"/>
  <c r="J198" i="2"/>
  <c r="G198" i="2"/>
  <c r="AE198" i="2"/>
  <c r="P198" i="2"/>
  <c r="I198" i="2"/>
  <c r="AC198" i="2"/>
  <c r="O198" i="2"/>
  <c r="Q198" i="2"/>
  <c r="AI198" i="2"/>
  <c r="E198" i="2"/>
  <c r="AD297" i="2"/>
  <c r="P297" i="2"/>
  <c r="J297" i="2"/>
  <c r="G297" i="2"/>
  <c r="I297" i="2"/>
  <c r="AC297" i="2"/>
  <c r="AE297" i="2"/>
  <c r="H297" i="2"/>
  <c r="O297" i="2"/>
  <c r="Q297" i="2"/>
  <c r="AI297" i="2"/>
  <c r="E297" i="2"/>
  <c r="AE287" i="2"/>
  <c r="J287" i="2"/>
  <c r="P287" i="2"/>
  <c r="AC287" i="2"/>
  <c r="AI287" i="2"/>
  <c r="I287" i="2"/>
  <c r="O287" i="2"/>
  <c r="G287" i="2"/>
  <c r="E287" i="2"/>
  <c r="Q287" i="2"/>
  <c r="AD287" i="2"/>
  <c r="H287" i="2"/>
  <c r="AI327" i="2"/>
  <c r="H327" i="2"/>
  <c r="I327" i="2"/>
  <c r="O327" i="2"/>
  <c r="G327" i="2"/>
  <c r="P327" i="2"/>
  <c r="AE327" i="2"/>
  <c r="AD327" i="2"/>
  <c r="J327" i="2"/>
  <c r="Q327" i="2"/>
  <c r="E327" i="2"/>
  <c r="AC327" i="2"/>
  <c r="AE498" i="2"/>
  <c r="G498" i="2"/>
  <c r="Q498" i="2"/>
  <c r="I498" i="2"/>
  <c r="J498" i="2"/>
  <c r="E498" i="2"/>
  <c r="O498" i="2"/>
  <c r="P498" i="2"/>
  <c r="AC498" i="2"/>
  <c r="H498" i="2"/>
  <c r="AI498" i="2"/>
  <c r="AD498" i="2"/>
  <c r="AE27" i="2"/>
  <c r="O27" i="2"/>
  <c r="Q27" i="2"/>
  <c r="AD27" i="2"/>
  <c r="AC27" i="2"/>
  <c r="E27" i="2"/>
  <c r="AI27" i="2"/>
  <c r="P27" i="2"/>
  <c r="G27" i="2"/>
  <c r="I27" i="2"/>
  <c r="H27" i="2"/>
  <c r="J27" i="2"/>
  <c r="AE466" i="2"/>
  <c r="P466" i="2"/>
  <c r="J466" i="2"/>
  <c r="AI466" i="2"/>
  <c r="O466" i="2"/>
  <c r="H466" i="2"/>
  <c r="AC466" i="2"/>
  <c r="G466" i="2"/>
  <c r="Q466" i="2"/>
  <c r="I466" i="2"/>
  <c r="AD466" i="2"/>
  <c r="E466" i="2"/>
  <c r="I178" i="2"/>
  <c r="AE178" i="2"/>
  <c r="O178" i="2"/>
  <c r="H178" i="2"/>
  <c r="J178" i="2"/>
  <c r="P178" i="2"/>
  <c r="AI178" i="2"/>
  <c r="AD178" i="2"/>
  <c r="E178" i="2"/>
  <c r="AC178" i="2"/>
  <c r="G178" i="2"/>
  <c r="Q178" i="2"/>
  <c r="G330" i="2"/>
  <c r="O330" i="2"/>
  <c r="AI330" i="2"/>
  <c r="P330" i="2"/>
  <c r="AD330" i="2"/>
  <c r="J330" i="2"/>
  <c r="AE330" i="2"/>
  <c r="H330" i="2"/>
  <c r="E330" i="2"/>
  <c r="AC330" i="2"/>
  <c r="I330" i="2"/>
  <c r="Q330" i="2"/>
  <c r="H271" i="2"/>
  <c r="O271" i="2"/>
  <c r="I271" i="2"/>
  <c r="AE271" i="2"/>
  <c r="E271" i="2"/>
  <c r="AD271" i="2"/>
  <c r="G271" i="2"/>
  <c r="AI271" i="2"/>
  <c r="P271" i="2"/>
  <c r="J271" i="2"/>
  <c r="AC271" i="2"/>
  <c r="Q271" i="2"/>
  <c r="H484" i="2"/>
  <c r="AC484" i="2"/>
  <c r="G484" i="2"/>
  <c r="AD484" i="2"/>
  <c r="Q484" i="2"/>
  <c r="I484" i="2"/>
  <c r="AE484" i="2"/>
  <c r="J484" i="2"/>
  <c r="O484" i="2"/>
  <c r="P484" i="2"/>
  <c r="AI484" i="2"/>
  <c r="E484" i="2"/>
  <c r="AE45" i="2"/>
  <c r="J45" i="2"/>
  <c r="H45" i="2"/>
  <c r="O45" i="2"/>
  <c r="P45" i="2"/>
  <c r="I45" i="2"/>
  <c r="G45" i="2"/>
  <c r="AI45" i="2"/>
  <c r="E45" i="2"/>
  <c r="AD45" i="2"/>
  <c r="AC45" i="2"/>
  <c r="Q45" i="2"/>
  <c r="AD428" i="2"/>
  <c r="AC428" i="2"/>
  <c r="AI428" i="2"/>
  <c r="I428" i="2"/>
  <c r="O428" i="2"/>
  <c r="G428" i="2"/>
  <c r="P428" i="2"/>
  <c r="J428" i="2"/>
  <c r="E428" i="2"/>
  <c r="H428" i="2"/>
  <c r="AE428" i="2"/>
  <c r="Q428" i="2"/>
  <c r="J31" i="2"/>
  <c r="P31" i="2"/>
  <c r="AC31" i="2"/>
  <c r="AI31" i="2"/>
  <c r="Q31" i="2"/>
  <c r="AE31" i="2"/>
  <c r="H31" i="2"/>
  <c r="O31" i="2"/>
  <c r="AD31" i="2"/>
  <c r="G31" i="2"/>
  <c r="E31" i="2"/>
  <c r="I31" i="2"/>
  <c r="H419" i="2"/>
  <c r="AI419" i="2"/>
  <c r="AC419" i="2"/>
  <c r="I419" i="2"/>
  <c r="AD419" i="2"/>
  <c r="AE419" i="2"/>
  <c r="O419" i="2"/>
  <c r="Q419" i="2"/>
  <c r="G419" i="2"/>
  <c r="P419" i="2"/>
  <c r="J419" i="2"/>
  <c r="E419" i="2"/>
  <c r="O434" i="2"/>
  <c r="P434" i="2"/>
  <c r="AD434" i="2"/>
  <c r="G434" i="2"/>
  <c r="E434" i="2"/>
  <c r="AE434" i="2"/>
  <c r="J434" i="2"/>
  <c r="H434" i="2"/>
  <c r="AI434" i="2"/>
  <c r="Q434" i="2"/>
  <c r="I434" i="2"/>
  <c r="AC434" i="2"/>
  <c r="O255" i="2"/>
  <c r="H255" i="2"/>
  <c r="Q255" i="2"/>
  <c r="G255" i="2"/>
  <c r="AE255" i="2"/>
  <c r="E255" i="2"/>
  <c r="AC255" i="2"/>
  <c r="P255" i="2"/>
  <c r="AD255" i="2"/>
  <c r="AI255" i="2"/>
  <c r="I255" i="2"/>
  <c r="J255" i="2"/>
  <c r="G18" i="2"/>
  <c r="J18" i="2"/>
  <c r="AD18" i="2"/>
  <c r="P18" i="2"/>
  <c r="AC18" i="2"/>
  <c r="I18" i="2"/>
  <c r="H18" i="2"/>
  <c r="O18" i="2"/>
  <c r="E18" i="2"/>
  <c r="AI18" i="2"/>
  <c r="AE18" i="2"/>
  <c r="Q18" i="2"/>
  <c r="H262" i="2"/>
  <c r="I262" i="2"/>
  <c r="Q262" i="2"/>
  <c r="P262" i="2"/>
  <c r="AD262" i="2"/>
  <c r="E262" i="2"/>
  <c r="AE262" i="2"/>
  <c r="AC262" i="2"/>
  <c r="G262" i="2"/>
  <c r="AI262" i="2"/>
  <c r="J262" i="2"/>
  <c r="O262" i="2"/>
  <c r="AE85" i="2"/>
  <c r="O85" i="2"/>
  <c r="AI85" i="2"/>
  <c r="P85" i="2"/>
  <c r="G85" i="2"/>
  <c r="H85" i="2"/>
  <c r="J85" i="2"/>
  <c r="AD85" i="2"/>
  <c r="AC85" i="2"/>
  <c r="I85" i="2"/>
  <c r="Q85" i="2"/>
  <c r="E85" i="2"/>
  <c r="AE412" i="2"/>
  <c r="AC412" i="2"/>
  <c r="AI412" i="2"/>
  <c r="O412" i="2"/>
  <c r="AD412" i="2"/>
  <c r="I412" i="2"/>
  <c r="H412" i="2"/>
  <c r="G412" i="2"/>
  <c r="Q412" i="2"/>
  <c r="P412" i="2"/>
  <c r="E412" i="2"/>
  <c r="J412" i="2"/>
  <c r="H514" i="2"/>
  <c r="J514" i="2"/>
  <c r="I514" i="2"/>
  <c r="AE514" i="2"/>
  <c r="G514" i="2"/>
  <c r="P514" i="2"/>
  <c r="AD514" i="2"/>
  <c r="O514" i="2"/>
  <c r="E514" i="2"/>
  <c r="AC514" i="2"/>
  <c r="Q514" i="2"/>
  <c r="AI514" i="2"/>
  <c r="O312" i="2"/>
  <c r="AD312" i="2"/>
  <c r="J312" i="2"/>
  <c r="AC312" i="2"/>
  <c r="G312" i="2"/>
  <c r="AE312" i="2"/>
  <c r="I312" i="2"/>
  <c r="AI312" i="2"/>
  <c r="Q312" i="2"/>
  <c r="P312" i="2"/>
  <c r="E312" i="2"/>
  <c r="H312" i="2"/>
  <c r="I479" i="2"/>
  <c r="G479" i="2"/>
  <c r="J479" i="2"/>
  <c r="P479" i="2"/>
  <c r="AD479" i="2"/>
  <c r="H479" i="2"/>
  <c r="O479" i="2"/>
  <c r="AE479" i="2"/>
  <c r="AI479" i="2"/>
  <c r="Q479" i="2"/>
  <c r="AC479" i="2"/>
  <c r="E479" i="2"/>
  <c r="AE165" i="2"/>
  <c r="G165" i="2"/>
  <c r="AD165" i="2"/>
  <c r="AC165" i="2"/>
  <c r="O165" i="2"/>
  <c r="P165" i="2"/>
  <c r="I165" i="2"/>
  <c r="J165" i="2"/>
  <c r="AI165" i="2"/>
  <c r="H165" i="2"/>
  <c r="E165" i="2"/>
  <c r="Q165" i="2"/>
  <c r="G496" i="2"/>
  <c r="I496" i="2"/>
  <c r="AC496" i="2"/>
  <c r="H496" i="2"/>
  <c r="AI496" i="2"/>
  <c r="J496" i="2"/>
  <c r="E496" i="2"/>
  <c r="AE496" i="2"/>
  <c r="AD496" i="2"/>
  <c r="O496" i="2"/>
  <c r="P496" i="2"/>
  <c r="Q496" i="2"/>
  <c r="AC470" i="2"/>
  <c r="I470" i="2"/>
  <c r="O470" i="2"/>
  <c r="H470" i="2"/>
  <c r="AD470" i="2"/>
  <c r="AI470" i="2"/>
  <c r="E470" i="2"/>
  <c r="G470" i="2"/>
  <c r="P470" i="2"/>
  <c r="Q470" i="2"/>
  <c r="J470" i="2"/>
  <c r="AE470" i="2"/>
  <c r="J460" i="2"/>
  <c r="O460" i="2"/>
  <c r="I460" i="2"/>
  <c r="AC460" i="2"/>
  <c r="AI460" i="2"/>
  <c r="AE460" i="2"/>
  <c r="P460" i="2"/>
  <c r="H460" i="2"/>
  <c r="Q460" i="2"/>
  <c r="G460" i="2"/>
  <c r="E460" i="2"/>
  <c r="AD460" i="2"/>
  <c r="P82" i="2"/>
  <c r="I82" i="2"/>
  <c r="G82" i="2"/>
  <c r="AI82" i="2"/>
  <c r="H82" i="2"/>
  <c r="AD82" i="2"/>
  <c r="J82" i="2"/>
  <c r="O82" i="2"/>
  <c r="AC82" i="2"/>
  <c r="AE82" i="2"/>
  <c r="Q82" i="2"/>
  <c r="E82" i="2"/>
  <c r="P5" i="2"/>
  <c r="O5" i="2"/>
  <c r="G5" i="2"/>
  <c r="AC5" i="2"/>
  <c r="AE5" i="2"/>
  <c r="I5" i="2"/>
  <c r="J5" i="2"/>
  <c r="AI5" i="2"/>
  <c r="H5" i="2"/>
  <c r="E5" i="2"/>
  <c r="AD5" i="2"/>
  <c r="Q5" i="2"/>
  <c r="AI536" i="2"/>
  <c r="G536" i="2"/>
  <c r="O536" i="2"/>
  <c r="AD536" i="2"/>
  <c r="AE536" i="2"/>
  <c r="I536" i="2"/>
  <c r="J536" i="2"/>
  <c r="E536" i="2"/>
  <c r="H536" i="2"/>
  <c r="P536" i="2"/>
  <c r="AC536" i="2"/>
  <c r="Q536" i="2"/>
  <c r="AI12" i="2"/>
  <c r="AE12" i="2"/>
  <c r="P12" i="2"/>
  <c r="E12" i="2"/>
  <c r="J12" i="2"/>
  <c r="O12" i="2"/>
  <c r="I12" i="2"/>
  <c r="Q12" i="2"/>
  <c r="H12" i="2"/>
  <c r="G12" i="2"/>
  <c r="AC12" i="2"/>
  <c r="AD12" i="2"/>
  <c r="AE211" i="2"/>
  <c r="AC211" i="2"/>
  <c r="AD211" i="2"/>
  <c r="I211" i="2"/>
  <c r="Q211" i="2"/>
  <c r="J211" i="2"/>
  <c r="H211" i="2"/>
  <c r="AI211" i="2"/>
  <c r="O211" i="2"/>
  <c r="G211" i="2"/>
  <c r="P211" i="2"/>
  <c r="E211" i="2"/>
  <c r="I503" i="2"/>
  <c r="AD503" i="2"/>
  <c r="AI503" i="2"/>
  <c r="O503" i="2"/>
  <c r="J503" i="2"/>
  <c r="P503" i="2"/>
  <c r="AE503" i="2"/>
  <c r="AC503" i="2"/>
  <c r="Q503" i="2"/>
  <c r="H503" i="2"/>
  <c r="G503" i="2"/>
  <c r="E503" i="2"/>
  <c r="AI406" i="2"/>
  <c r="H406" i="2"/>
  <c r="AD406" i="2"/>
  <c r="I406" i="2"/>
  <c r="AE406" i="2"/>
  <c r="P406" i="2"/>
  <c r="J406" i="2"/>
  <c r="G406" i="2"/>
  <c r="AC406" i="2"/>
  <c r="O406" i="2"/>
  <c r="Q406" i="2"/>
  <c r="E406" i="2"/>
  <c r="AE23" i="2"/>
  <c r="AD23" i="2"/>
  <c r="O23" i="2"/>
  <c r="E23" i="2"/>
  <c r="AI23" i="2"/>
  <c r="G23" i="2"/>
  <c r="AC23" i="2"/>
  <c r="Q23" i="2"/>
  <c r="P23" i="2"/>
  <c r="J23" i="2"/>
  <c r="H23" i="2"/>
  <c r="I23" i="2"/>
  <c r="AC368" i="2"/>
  <c r="AD368" i="2"/>
  <c r="O368" i="2"/>
  <c r="H368" i="2"/>
  <c r="Q368" i="2"/>
  <c r="P368" i="2"/>
  <c r="AE368" i="2"/>
  <c r="AI368" i="2"/>
  <c r="J368" i="2"/>
  <c r="I368" i="2"/>
  <c r="G368" i="2"/>
  <c r="E368" i="2"/>
  <c r="AE89" i="2"/>
  <c r="P89" i="2"/>
  <c r="O89" i="2"/>
  <c r="AD89" i="2"/>
  <c r="H89" i="2"/>
  <c r="AC89" i="2"/>
  <c r="G89" i="2"/>
  <c r="AI89" i="2"/>
  <c r="I89" i="2"/>
  <c r="J89" i="2"/>
  <c r="Q89" i="2"/>
  <c r="E89" i="2"/>
  <c r="AC225" i="2"/>
  <c r="J225" i="2"/>
  <c r="O225" i="2"/>
  <c r="P225" i="2"/>
  <c r="I225" i="2"/>
  <c r="AI225" i="2"/>
  <c r="AE225" i="2"/>
  <c r="AD225" i="2"/>
  <c r="H225" i="2"/>
  <c r="G225" i="2"/>
  <c r="E225" i="2"/>
  <c r="Q225" i="2"/>
  <c r="AC137" i="2"/>
  <c r="J137" i="2"/>
  <c r="H137" i="2"/>
  <c r="P137" i="2"/>
  <c r="AI137" i="2"/>
  <c r="AE137" i="2"/>
  <c r="G137" i="2"/>
  <c r="Q137" i="2"/>
  <c r="I137" i="2"/>
  <c r="O137" i="2"/>
  <c r="AD137" i="2"/>
  <c r="E137" i="2"/>
  <c r="AE204" i="2"/>
  <c r="G204" i="2"/>
  <c r="AC204" i="2"/>
  <c r="P204" i="2"/>
  <c r="AD204" i="2"/>
  <c r="I204" i="2"/>
  <c r="E204" i="2"/>
  <c r="H204" i="2"/>
  <c r="O204" i="2"/>
  <c r="J204" i="2"/>
  <c r="AI204" i="2"/>
  <c r="Q204" i="2"/>
  <c r="AI519" i="2"/>
  <c r="AE519" i="2"/>
  <c r="O519" i="2"/>
  <c r="H519" i="2"/>
  <c r="P519" i="2"/>
  <c r="I519" i="2"/>
  <c r="AC519" i="2"/>
  <c r="J519" i="2"/>
  <c r="G519" i="2"/>
  <c r="AD519" i="2"/>
  <c r="Q519" i="2"/>
  <c r="E519" i="2"/>
  <c r="J440" i="2"/>
  <c r="AD440" i="2"/>
  <c r="G440" i="2"/>
  <c r="AC440" i="2"/>
  <c r="AE440" i="2"/>
  <c r="P440" i="2"/>
  <c r="AI440" i="2"/>
  <c r="E440" i="2"/>
  <c r="I440" i="2"/>
  <c r="O440" i="2"/>
  <c r="H440" i="2"/>
  <c r="Q440" i="2"/>
  <c r="AE39" i="2"/>
  <c r="AD39" i="2"/>
  <c r="G39" i="2"/>
  <c r="H39" i="2"/>
  <c r="P39" i="2"/>
  <c r="J39" i="2"/>
  <c r="O39" i="2"/>
  <c r="E39" i="2"/>
  <c r="AI39" i="2"/>
  <c r="I39" i="2"/>
  <c r="AC39" i="2"/>
  <c r="Q39" i="2"/>
  <c r="AE44" i="2"/>
  <c r="AD44" i="2"/>
  <c r="H44" i="2"/>
  <c r="P44" i="2"/>
  <c r="E44" i="2"/>
  <c r="G44" i="2"/>
  <c r="J44" i="2"/>
  <c r="O44" i="2"/>
  <c r="I44" i="2"/>
  <c r="AI44" i="2"/>
  <c r="AC44" i="2"/>
  <c r="Q44" i="2"/>
  <c r="O361" i="2"/>
  <c r="AD361" i="2"/>
  <c r="AC361" i="2"/>
  <c r="H361" i="2"/>
  <c r="E361" i="2"/>
  <c r="AE361" i="2"/>
  <c r="I361" i="2"/>
  <c r="G361" i="2"/>
  <c r="J361" i="2"/>
  <c r="Q361" i="2"/>
  <c r="AI361" i="2"/>
  <c r="P361" i="2"/>
  <c r="AD53" i="2"/>
  <c r="P53" i="2"/>
  <c r="AI53" i="2"/>
  <c r="H53" i="2"/>
  <c r="AE53" i="2"/>
  <c r="J53" i="2"/>
  <c r="G53" i="2"/>
  <c r="O53" i="2"/>
  <c r="E53" i="2"/>
  <c r="AC53" i="2"/>
  <c r="Q53" i="2"/>
  <c r="I53" i="2"/>
  <c r="P183" i="2"/>
  <c r="J183" i="2"/>
  <c r="O183" i="2"/>
  <c r="G183" i="2"/>
  <c r="I183" i="2"/>
  <c r="AI183" i="2"/>
  <c r="Q183" i="2"/>
  <c r="AD183" i="2"/>
  <c r="H183" i="2"/>
  <c r="AC183" i="2"/>
  <c r="AE183" i="2"/>
  <c r="E183" i="2"/>
  <c r="AI444" i="2"/>
  <c r="O444" i="2"/>
  <c r="AC444" i="2"/>
  <c r="P444" i="2"/>
  <c r="AE444" i="2"/>
  <c r="I444" i="2"/>
  <c r="J444" i="2"/>
  <c r="E444" i="2"/>
  <c r="G444" i="2"/>
  <c r="AD444" i="2"/>
  <c r="H444" i="2"/>
  <c r="Q444" i="2"/>
  <c r="O153" i="2"/>
  <c r="P153" i="2"/>
  <c r="I153" i="2"/>
  <c r="G153" i="2"/>
  <c r="AD153" i="2"/>
  <c r="J153" i="2"/>
  <c r="E153" i="2"/>
  <c r="AE153" i="2"/>
  <c r="AI153" i="2"/>
  <c r="AC153" i="2"/>
  <c r="H153" i="2"/>
  <c r="Q153" i="2"/>
  <c r="J274" i="2"/>
  <c r="AI274" i="2"/>
  <c r="H274" i="2"/>
  <c r="AD274" i="2"/>
  <c r="I274" i="2"/>
  <c r="G274" i="2"/>
  <c r="AE274" i="2"/>
  <c r="AC274" i="2"/>
  <c r="E274" i="2"/>
  <c r="O274" i="2"/>
  <c r="P274" i="2"/>
  <c r="Q274" i="2"/>
  <c r="AI357" i="2"/>
  <c r="AE357" i="2"/>
  <c r="J357" i="2"/>
  <c r="I357" i="2"/>
  <c r="H357" i="2"/>
  <c r="G357" i="2"/>
  <c r="O357" i="2"/>
  <c r="AD357" i="2"/>
  <c r="E357" i="2"/>
  <c r="P357" i="2"/>
  <c r="Q357" i="2"/>
  <c r="AC357" i="2"/>
  <c r="AE544" i="2"/>
  <c r="AD544" i="2"/>
  <c r="I544" i="2"/>
  <c r="P544" i="2"/>
  <c r="G544" i="2"/>
  <c r="AC544" i="2"/>
  <c r="H544" i="2"/>
  <c r="J544" i="2"/>
  <c r="E544" i="2"/>
  <c r="AI544" i="2"/>
  <c r="Q544" i="2"/>
  <c r="O544" i="2"/>
  <c r="F286" i="2" a="1"/>
  <c r="F342" i="2" a="1"/>
  <c r="F373" i="2" a="1"/>
  <c r="F181" i="2" a="1"/>
  <c r="F243" i="2" a="1"/>
  <c r="F37" i="2" a="1"/>
  <c r="F132" i="2" a="1"/>
  <c r="F499" i="2" a="1"/>
  <c r="F487" i="2" a="1"/>
  <c r="F282" i="2" a="1"/>
  <c r="F454" i="2" a="1"/>
  <c r="F477" i="2" a="1"/>
  <c r="F371" i="2" a="1"/>
  <c r="F3" i="2" a="1"/>
  <c r="F61" i="2" a="1"/>
  <c r="F575" i="2" a="1"/>
  <c r="F72" i="2" a="1"/>
  <c r="F430" i="2" a="1"/>
  <c r="F355" i="2" a="1"/>
  <c r="F268" i="2" a="1"/>
  <c r="F453" i="2" a="1"/>
  <c r="F551" i="2" a="1"/>
  <c r="F14" i="2" a="1"/>
  <c r="F571" i="2" a="1"/>
  <c r="F187" i="2" a="1"/>
  <c r="F250" i="2" a="1"/>
  <c r="F414" i="2" a="1"/>
  <c r="F36" i="2" a="1"/>
  <c r="F295" i="2" a="1"/>
  <c r="F393" i="2" a="1"/>
  <c r="F344" i="2" a="1"/>
  <c r="F589" i="2" a="1"/>
  <c r="F359" i="2" a="1"/>
  <c r="F133" i="2" a="1"/>
  <c r="F246" i="2" a="1"/>
  <c r="F101" i="2" a="1"/>
  <c r="F52" i="2" a="1"/>
  <c r="F272" i="2" a="1"/>
  <c r="F577" i="2" a="1"/>
  <c r="F166" i="2" a="1"/>
  <c r="F60" i="2" a="1"/>
  <c r="F49" i="2" a="1"/>
  <c r="F252" i="2" a="1"/>
  <c r="F306" i="2" a="1"/>
  <c r="F513" i="2" a="1"/>
  <c r="F555" i="2" a="1"/>
  <c r="F299" i="2" a="1"/>
  <c r="F403" i="2" a="1"/>
  <c r="F155" i="2" a="1"/>
  <c r="F253" i="2" a="1"/>
  <c r="F485" i="2" a="1"/>
  <c r="F535" i="2" a="1"/>
  <c r="F33" i="2" a="1"/>
  <c r="F238" i="2" a="1"/>
  <c r="F55" i="2" a="1"/>
  <c r="F220" i="2" a="1"/>
  <c r="F467" i="2" a="1"/>
  <c r="F91" i="2" a="1"/>
  <c r="F559" i="2" a="1"/>
  <c r="F98" i="2" a="1"/>
  <c r="F151" i="2" a="1"/>
  <c r="F241" i="2" a="1"/>
  <c r="F142" i="2" a="1"/>
  <c r="F158" i="2" a="1"/>
  <c r="F188" i="2" a="1"/>
  <c r="F148" i="2" a="1"/>
  <c r="F111" i="2" a="1"/>
  <c r="F182" i="2" a="1"/>
  <c r="F227" i="2" a="1"/>
  <c r="F324" i="2" a="1"/>
  <c r="F301" i="2" a="1"/>
  <c r="F400" i="2" a="1"/>
  <c r="F360" i="2" a="1"/>
  <c r="F218" i="2" a="1"/>
  <c r="F411" i="2" a="1"/>
  <c r="F161" i="2" a="1"/>
  <c r="F58" i="2" a="1"/>
  <c r="F217" i="2" a="1"/>
  <c r="F46" i="2" a="1"/>
  <c r="F221" i="2" a="1"/>
  <c r="F318" i="2" a="1"/>
  <c r="F490" i="2" a="1"/>
  <c r="F347" i="2" a="1"/>
  <c r="F6" i="2" a="1"/>
  <c r="F194" i="2" a="1"/>
  <c r="F560" i="2" a="1"/>
  <c r="F244" i="2" a="1"/>
  <c r="F389" i="2" a="1"/>
  <c r="F269" i="2" a="1"/>
  <c r="F491" i="2" a="1"/>
  <c r="F87" i="2" a="1"/>
  <c r="F541" i="2" a="1"/>
  <c r="F128" i="2" a="1"/>
  <c r="F64" i="2" a="1"/>
  <c r="F212" i="2" a="1"/>
  <c r="F11" i="2" a="1"/>
  <c r="F283" i="2" a="1"/>
  <c r="F222" i="2" a="1"/>
  <c r="F25" i="2" a="1"/>
  <c r="F526" i="2" a="1"/>
  <c r="F321" i="2" a="1"/>
  <c r="F196" i="2" a="1"/>
  <c r="F549" i="2" a="1"/>
  <c r="F508" i="2" a="1"/>
  <c r="F587" i="2" a="1"/>
  <c r="F179" i="2" a="1"/>
  <c r="F289" i="2" a="1"/>
  <c r="F375" i="2" a="1"/>
  <c r="F338" i="2" a="1"/>
  <c r="F422" i="2" a="1"/>
  <c r="F334" i="2" a="1"/>
  <c r="F446" i="2" a="1"/>
  <c r="F103" i="2" a="1"/>
  <c r="F326" i="2" a="1"/>
  <c r="F435" i="2" a="1"/>
  <c r="F539" i="2" a="1"/>
  <c r="F441" i="2" a="1"/>
  <c r="F497" i="2" a="1"/>
  <c r="F203" i="2" a="1"/>
  <c r="F22" i="2" a="1"/>
  <c r="F593" i="2" a="1"/>
  <c r="F557" i="2" a="1"/>
  <c r="F588" i="2" a="1"/>
  <c r="F409" i="2" a="1"/>
  <c r="F489" i="2" a="1"/>
  <c r="F83" i="2" a="1"/>
  <c r="F537" i="2" a="1"/>
  <c r="F303" i="2" a="1"/>
  <c r="F346" i="2" a="1"/>
  <c r="F160" i="2" a="1"/>
  <c r="F436" i="2" a="1"/>
  <c r="F314" i="2" a="1"/>
  <c r="F567" i="2" a="1"/>
  <c r="F451" i="2" a="1"/>
  <c r="F76" i="2" a="1"/>
  <c r="F311" i="2" a="1"/>
  <c r="F267" i="2" a="1"/>
  <c r="F275" i="2" a="1"/>
  <c r="F356" i="2" a="1"/>
  <c r="F468" i="2" a="1"/>
  <c r="F377" i="2" a="1"/>
  <c r="F351" i="2" a="1"/>
  <c r="F126" i="2" a="1"/>
  <c r="F462" i="2" a="1"/>
  <c r="F331" i="2" a="1"/>
  <c r="F162" i="2" a="1"/>
  <c r="F558" i="2" a="1"/>
  <c r="F345" i="2" a="1"/>
  <c r="F579" i="2" a="1"/>
  <c r="F388" i="2" a="1"/>
  <c r="F207" i="2" a="1"/>
  <c r="F123" i="2" a="1"/>
  <c r="F329" i="2" a="1"/>
  <c r="F288" i="2" a="1"/>
  <c r="F75" i="2" a="1"/>
  <c r="F530" i="2" a="1"/>
  <c r="F332" i="2" a="1"/>
  <c r="F7" i="2" a="1"/>
  <c r="F370" i="2" a="1"/>
  <c r="F378" i="2" a="1"/>
  <c r="F107" i="2" a="1"/>
  <c r="F146" i="2" a="1"/>
  <c r="F174" i="2" a="1"/>
  <c r="F362" i="2" a="1"/>
  <c r="F189" i="2" a="1"/>
  <c r="F67" i="2" a="1"/>
  <c r="F384" i="2" a="1"/>
  <c r="F28" i="2" a="1"/>
  <c r="F2" i="2" a="1"/>
  <c r="F495" i="2" a="1"/>
  <c r="F416" i="2" a="1"/>
  <c r="F522" i="2" a="1"/>
  <c r="F455" i="2" a="1"/>
  <c r="F59" i="2" a="1"/>
  <c r="F94" i="2" a="1"/>
  <c r="F529" i="2" a="1"/>
  <c r="F382" i="2" a="1"/>
  <c r="F157" i="2" a="1"/>
  <c r="F226" i="2" a="1"/>
  <c r="F506" i="2" a="1"/>
  <c r="F566" i="2" a="1"/>
  <c r="F193" i="2" a="1"/>
  <c r="F84" i="2" a="1"/>
  <c r="F509" i="2" a="1"/>
  <c r="F310" i="2" a="1"/>
  <c r="F534" i="2" a="1"/>
  <c r="F195" i="2" a="1"/>
  <c r="F4" i="2" a="1"/>
  <c r="F88" i="2" a="1"/>
  <c r="F24" i="2" a="1"/>
  <c r="F442" i="2" a="1"/>
  <c r="F315" i="2" a="1"/>
  <c r="F276" i="2" a="1"/>
  <c r="F433" i="2" a="1"/>
  <c r="F258" i="2" a="1"/>
  <c r="F115" i="2" a="1"/>
  <c r="F474" i="2" a="1"/>
  <c r="F264" i="2" a="1"/>
  <c r="F437" i="2" a="1"/>
  <c r="F320" i="2" a="1"/>
  <c r="F445" i="2" a="1"/>
  <c r="F163" i="2" a="1"/>
  <c r="F219" i="2" a="1"/>
  <c r="F304" i="2" a="1"/>
  <c r="F120" i="2" a="1"/>
  <c r="F405" i="2" a="1"/>
  <c r="F116" i="2" a="1"/>
  <c r="F129" i="2" a="1"/>
  <c r="F69" i="2" a="1"/>
  <c r="F547" i="2" a="1"/>
  <c r="F249" i="2" a="1"/>
  <c r="F525" i="2" a="1"/>
  <c r="F278" i="2" a="1"/>
  <c r="F66" i="2" a="1"/>
  <c r="F261" i="2" a="1"/>
  <c r="F398" i="2" a="1"/>
  <c r="F294" i="2" a="1"/>
  <c r="F114" i="2" a="1"/>
  <c r="F281" i="2" a="1"/>
  <c r="F74" i="2" a="1"/>
  <c r="F190" i="2" a="1"/>
  <c r="F285" i="2" a="1"/>
  <c r="F395" i="2" a="1"/>
  <c r="F50" i="2" a="1"/>
  <c r="F494" i="2" a="1"/>
  <c r="F136" i="2" a="1"/>
  <c r="F481" i="2" a="1"/>
  <c r="F192" i="2" a="1"/>
  <c r="F191" i="2" a="1"/>
  <c r="F353" i="2" a="1"/>
  <c r="F230" i="2" a="1"/>
  <c r="F35" i="2" a="1"/>
  <c r="F30" i="2" a="1"/>
  <c r="F564" i="2" a="1"/>
  <c r="F413" i="2" a="1"/>
  <c r="F366" i="2" a="1"/>
  <c r="F248" i="2" a="1"/>
  <c r="F507" i="2" a="1"/>
  <c r="F417" i="2" a="1"/>
  <c r="F93" i="2" a="1"/>
  <c r="F517" i="2" a="1"/>
  <c r="F450" i="2" a="1"/>
  <c r="F545" i="2" a="1"/>
  <c r="F284" i="2" a="1"/>
  <c r="F164" i="2" a="1"/>
  <c r="F112" i="2" a="1"/>
  <c r="F48" i="2" a="1"/>
  <c r="F502" i="2" a="1"/>
  <c r="F172" i="2" a="1"/>
  <c r="F65" i="2" a="1"/>
  <c r="F568" i="2" a="1"/>
  <c r="F569" i="2" a="1"/>
  <c r="F402" i="2" a="1"/>
  <c r="F317" i="2" a="1"/>
  <c r="F26" i="2" a="1"/>
  <c r="F95" i="2" a="1"/>
  <c r="F127" i="2" a="1"/>
  <c r="F561" i="2" a="1"/>
  <c r="F205" i="2" a="1"/>
  <c r="F316" i="2" a="1"/>
  <c r="F122" i="2" a="1"/>
  <c r="F553" i="2" a="1"/>
  <c r="F527" i="2" a="1"/>
  <c r="F152" i="2" a="1"/>
  <c r="F81" i="2" a="1"/>
  <c r="F463" i="2" a="1"/>
  <c r="F32" i="2" a="1"/>
  <c r="F273" i="2" a="1"/>
  <c r="F16" i="2" a="1"/>
  <c r="F100" i="2" a="1"/>
  <c r="F260" i="2" a="1"/>
  <c r="F492" i="2" a="1"/>
  <c r="F374" i="2" a="1"/>
  <c r="F501" i="2" a="1"/>
  <c r="F201" i="2" a="1"/>
  <c r="F475" i="2" a="1"/>
  <c r="F139" i="2" a="1"/>
  <c r="F149" i="2" a="1"/>
  <c r="F277" i="2" a="1"/>
  <c r="F574" i="2" a="1"/>
  <c r="F429" i="2" a="1"/>
  <c r="F186" i="2" a="1"/>
  <c r="F280" i="2" a="1"/>
  <c r="F504" i="2" a="1"/>
  <c r="F380" i="2" a="1"/>
  <c r="F364" i="2" a="1"/>
  <c r="F465" i="2" a="1"/>
  <c r="F546" i="2" a="1"/>
  <c r="F15" i="2" a="1"/>
  <c r="F469" i="2" a="1"/>
  <c r="F177" i="2" a="1"/>
  <c r="F237" i="2" a="1"/>
  <c r="F572" i="2" a="1"/>
  <c r="F63" i="2" a="1"/>
  <c r="F512" i="2" a="1"/>
  <c r="F456" i="2" a="1"/>
  <c r="F426" i="2" a="1"/>
  <c r="F167" i="2" a="1"/>
  <c r="F516" i="2" a="1"/>
  <c r="F448" i="2" a="1"/>
  <c r="F548" i="2" a="1"/>
  <c r="F206" i="2" a="1"/>
  <c r="F102" i="2" a="1"/>
  <c r="F482" i="2" a="1"/>
  <c r="F119" i="2" a="1"/>
  <c r="F199" i="2" a="1"/>
  <c r="F175" i="2" a="1"/>
  <c r="F585" i="2" a="1"/>
  <c r="F518" i="2" a="1"/>
  <c r="F488" i="2" a="1"/>
  <c r="F171" i="2" a="1"/>
  <c r="F296" i="2" a="1"/>
  <c r="F42" i="2" a="1"/>
  <c r="F515" i="2" a="1"/>
  <c r="F259" i="2" a="1"/>
  <c r="F425" i="2" a="1"/>
  <c r="F472" i="2" a="1"/>
  <c r="F443" i="2" a="1"/>
  <c r="F523" i="2" a="1"/>
  <c r="F140" i="2" a="1"/>
  <c r="F68" i="2" a="1"/>
  <c r="F223" i="2" a="1"/>
  <c r="F121" i="2" a="1"/>
  <c r="F521" i="2" a="1"/>
  <c r="F240" i="2" a="1"/>
  <c r="F150" i="2" a="1"/>
  <c r="F108" i="2" a="1"/>
  <c r="F582" i="2" a="1"/>
  <c r="F270" i="2" a="1"/>
  <c r="F228" i="2" a="1"/>
  <c r="F308" i="2" a="1"/>
  <c r="F480" i="2" a="1"/>
  <c r="F79" i="2" a="1"/>
  <c r="F209" i="2" a="1"/>
  <c r="F381" i="2" a="1"/>
  <c r="F216" i="2" a="1"/>
  <c r="F399" i="2" a="1"/>
  <c r="F473" i="2" a="1"/>
  <c r="F242" i="2" a="1"/>
  <c r="F57" i="2" a="1"/>
  <c r="F56" i="2" a="1"/>
  <c r="F197" i="2" a="1"/>
  <c r="F247" i="2" a="1"/>
  <c r="F584" i="2" a="1"/>
  <c r="F92" i="2" a="1"/>
  <c r="F134" i="2" a="1"/>
  <c r="F424" i="2" a="1"/>
  <c r="F349" i="2" a="1"/>
  <c r="F319" i="2" a="1"/>
  <c r="F200" i="2" a="1"/>
  <c r="F266" i="2" a="1"/>
  <c r="F520" i="2" a="1"/>
  <c r="F576" i="2" a="1"/>
  <c r="F169" i="2" a="1"/>
  <c r="F145" i="2" a="1"/>
  <c r="F461" i="2" a="1"/>
  <c r="F214" i="2" a="1"/>
  <c r="F239" i="2" a="1"/>
  <c r="F180" i="2" a="1"/>
  <c r="F459" i="2" a="1"/>
  <c r="F590" i="2" a="1"/>
  <c r="F408" i="2" a="1"/>
  <c r="F19" i="2" a="1"/>
  <c r="F292" i="2" a="1"/>
  <c r="F141" i="2" a="1"/>
  <c r="F144" i="2" a="1"/>
  <c r="F38" i="2" a="1"/>
  <c r="F224" i="2" a="1"/>
  <c r="F554" i="2" a="1"/>
  <c r="F376" i="2" a="1"/>
  <c r="F573" i="2" a="1"/>
  <c r="F592" i="2" a="1"/>
  <c r="F392" i="2" a="1"/>
  <c r="F343" i="2" a="1"/>
  <c r="F117" i="2" a="1"/>
  <c r="F570" i="2" a="1"/>
  <c r="F234" i="2" a="1"/>
  <c r="F591" i="2" a="1"/>
  <c r="F309" i="2" a="1"/>
  <c r="F71" i="2" a="1"/>
  <c r="F350" i="2" a="1"/>
  <c r="F233" i="2" a="1"/>
  <c r="F464" i="2" a="1"/>
  <c r="F407" i="2" a="1"/>
  <c r="F265" i="2" a="1"/>
  <c r="F340" i="2" a="1"/>
  <c r="F80" i="2" a="1"/>
  <c r="F208" i="2" a="1"/>
  <c r="F254" i="2" a="1"/>
  <c r="F77" i="2" a="1"/>
  <c r="F552" i="2" a="1"/>
  <c r="F147" i="2" a="1"/>
  <c r="F532" i="2" a="1"/>
  <c r="F511" i="2" a="1"/>
  <c r="F202" i="2" a="1"/>
  <c r="F213" i="2" a="1"/>
  <c r="F279" i="2" a="1"/>
  <c r="F109" i="2" a="1"/>
  <c r="F135" i="2" a="1"/>
  <c r="F43" i="2" a="1"/>
  <c r="F427" i="2" a="1"/>
  <c r="F29" i="2" a="1"/>
  <c r="F291" i="2" a="1"/>
  <c r="F580" i="2" a="1"/>
  <c r="F323" i="2" a="1"/>
  <c r="F257" i="2" a="1"/>
  <c r="F34" i="2" a="1"/>
  <c r="F104" i="2" a="1"/>
  <c r="F251" i="2" a="1"/>
  <c r="F110" i="2" a="1"/>
  <c r="F235" i="2" a="1"/>
  <c r="F390" i="2" a="1"/>
  <c r="F439" i="2" a="1"/>
  <c r="F328" i="2" a="1"/>
  <c r="F97" i="2" a="1"/>
  <c r="F17" i="2" a="1"/>
  <c r="F538" i="2" a="1"/>
  <c r="F550" i="2" a="1"/>
  <c r="F578" i="2" a="1"/>
  <c r="F313" i="2" a="1"/>
  <c r="F86" i="2" a="1"/>
  <c r="F229" i="2" a="1"/>
  <c r="F556" i="2" a="1"/>
  <c r="F341" i="2" a="1"/>
  <c r="F383" i="2" a="1"/>
  <c r="F396" i="2" a="1"/>
  <c r="F418" i="2" a="1"/>
  <c r="F387" i="2" a="1"/>
  <c r="F505" i="2" a="1"/>
  <c r="F533" i="2" a="1"/>
  <c r="F256" i="2" a="1"/>
  <c r="F62" i="2" a="1"/>
  <c r="F369" i="2" a="1"/>
  <c r="F41" i="2" a="1"/>
  <c r="F452" i="2" a="1"/>
  <c r="F401" i="2" a="1"/>
  <c r="F421" i="2" a="1"/>
  <c r="F500" i="2" a="1"/>
  <c r="F562" i="2" a="1"/>
  <c r="F263" i="2" a="1"/>
  <c r="F21" i="2" a="1"/>
  <c r="F54" i="2" a="1"/>
  <c r="F13" i="2" a="1"/>
  <c r="F106" i="2" a="1"/>
  <c r="F394" i="2" a="1"/>
  <c r="F8" i="2" a="1"/>
  <c r="F336" i="2" a="1"/>
  <c r="F483" i="2" a="1"/>
  <c r="F300" i="2" a="1"/>
  <c r="F113" i="2" a="1"/>
  <c r="F307" i="2" a="1"/>
  <c r="F367" i="2" a="1"/>
  <c r="F10" i="2" a="1"/>
  <c r="F159" i="2" a="1"/>
  <c r="F563" i="2" a="1"/>
  <c r="F124" i="2" a="1"/>
  <c r="F410" i="2" a="1"/>
  <c r="F352" i="2" a="1"/>
  <c r="F176" i="2" a="1"/>
  <c r="F293" i="2" a="1"/>
  <c r="F236" i="2" a="1"/>
  <c r="F420" i="2" a="1"/>
  <c r="F20" i="2" a="1"/>
  <c r="F528" i="2" a="1"/>
  <c r="F245" i="2" a="1"/>
  <c r="F47" i="2" a="1"/>
  <c r="F125" i="2" a="1"/>
  <c r="F287" i="2" a="1"/>
  <c r="F178" i="2" a="1"/>
  <c r="F330" i="2" a="1"/>
  <c r="F271" i="2" a="1"/>
  <c r="F45" i="2" a="1"/>
  <c r="F428" i="2" a="1"/>
  <c r="F434" i="2" a="1"/>
  <c r="F18" i="2" a="1"/>
  <c r="F514" i="2" a="1"/>
  <c r="F44" i="2" a="1"/>
  <c r="F361" i="2" a="1"/>
  <c r="F53" i="2" a="1"/>
  <c r="F325" i="2" a="1"/>
  <c r="F302" i="2" a="1"/>
  <c r="F540" i="2" a="1"/>
  <c r="F486" i="2" a="1"/>
  <c r="F131" i="2" a="1"/>
  <c r="F168" i="2" a="1"/>
  <c r="F543" i="2" a="1"/>
  <c r="F354" i="2" a="1"/>
  <c r="F231" i="2" a="1"/>
  <c r="F493" i="2" a="1"/>
  <c r="F358" i="2" a="1"/>
  <c r="F154" i="2" a="1"/>
  <c r="F379" i="2" a="1"/>
  <c r="F415" i="2" a="1"/>
  <c r="F70" i="2" a="1"/>
  <c r="F471" i="2" a="1"/>
  <c r="F339" i="2" a="1"/>
  <c r="F9" i="2" a="1"/>
  <c r="F397" i="2" a="1"/>
  <c r="F348" i="2" a="1"/>
  <c r="F583" i="2" a="1"/>
  <c r="F156" i="2" a="1"/>
  <c r="F498" i="2" a="1"/>
  <c r="F27" i="2" a="1"/>
  <c r="F255" i="2" a="1"/>
  <c r="F262" i="2" a="1"/>
  <c r="F85" i="2" a="1"/>
  <c r="F337" i="2" a="1"/>
  <c r="F431" i="2" a="1"/>
  <c r="F322" i="2" a="1"/>
  <c r="F457" i="2" a="1"/>
  <c r="F438" i="2" a="1"/>
  <c r="F118" i="2" a="1"/>
  <c r="F105" i="2" a="1"/>
  <c r="F449" i="2" a="1"/>
  <c r="F432" i="2" a="1"/>
  <c r="F215" i="2" a="1"/>
  <c r="F173" i="2" a="1"/>
  <c r="F476" i="2" a="1"/>
  <c r="F327" i="2" a="1"/>
  <c r="F31" i="2" a="1"/>
  <c r="F412" i="2" a="1"/>
  <c r="F312" i="2" a="1"/>
  <c r="F165" i="2" a="1"/>
  <c r="F496" i="2" a="1"/>
  <c r="F470" i="2" a="1"/>
  <c r="F460" i="2" a="1"/>
  <c r="F225" i="2" a="1"/>
  <c r="F204" i="2" a="1"/>
  <c r="F153" i="2" a="1"/>
  <c r="F363" i="2" a="1"/>
  <c r="F386" i="2" a="1"/>
  <c r="F305" i="2" a="1"/>
  <c r="F385" i="2" a="1"/>
  <c r="F130" i="2" a="1"/>
  <c r="F90" i="2" a="1"/>
  <c r="F404" i="2" a="1"/>
  <c r="F335" i="2" a="1"/>
  <c r="F78" i="2" a="1"/>
  <c r="F391" i="2" a="1"/>
  <c r="F478" i="2" a="1"/>
  <c r="F447" i="2" a="1"/>
  <c r="F96" i="2" a="1"/>
  <c r="F365" i="2" a="1"/>
  <c r="F99" i="2" a="1"/>
  <c r="F210" i="2" a="1"/>
  <c r="F510" i="2" a="1"/>
  <c r="F138" i="2" a="1"/>
  <c r="F372" i="2" a="1"/>
  <c r="F51" i="2" a="1"/>
  <c r="F298" i="2" a="1"/>
  <c r="F524" i="2" a="1"/>
  <c r="F184" i="2" a="1"/>
  <c r="F565" i="2" a="1"/>
  <c r="F73" i="2" a="1"/>
  <c r="F423" i="2" a="1"/>
  <c r="F586" i="2" a="1"/>
  <c r="F170" i="2" a="1"/>
  <c r="F40" i="2" a="1"/>
  <c r="F581" i="2" a="1"/>
  <c r="F458" i="2" a="1"/>
  <c r="F542" i="2" a="1"/>
  <c r="F333" i="2" a="1"/>
  <c r="F143" i="2" a="1"/>
  <c r="F185" i="2" a="1"/>
  <c r="F290" i="2" a="1"/>
  <c r="F232" i="2" a="1"/>
  <c r="F531" i="2" a="1"/>
  <c r="F198" i="2" a="1"/>
  <c r="F479" i="2" a="1"/>
  <c r="F12" i="2" a="1"/>
  <c r="F503" i="2" a="1"/>
  <c r="F23" i="2" a="1"/>
  <c r="F89" i="2" a="1"/>
  <c r="F137" i="2" a="1"/>
  <c r="F519" i="2" a="1"/>
  <c r="F39" i="2" a="1"/>
  <c r="F297" i="2" a="1"/>
  <c r="F544" i="2" a="1"/>
  <c r="F82" i="2" a="1"/>
  <c r="F536" i="2" a="1"/>
  <c r="F368" i="2" a="1"/>
  <c r="F466" i="2" a="1"/>
  <c r="F484" i="2" a="1"/>
  <c r="F419" i="2" a="1"/>
  <c r="F5" i="2" a="1"/>
  <c r="F211" i="2" a="1"/>
  <c r="F406" i="2" a="1"/>
  <c r="F440" i="2" a="1"/>
  <c r="F444" i="2" a="1"/>
  <c r="F357" i="2" a="1"/>
  <c r="F274" i="2" a="1"/>
  <c r="F183" i="2" a="1"/>
  <c r="AK183" i="2" l="1"/>
  <c r="AK85" i="2"/>
  <c r="AK444" i="2"/>
  <c r="F183" i="2"/>
  <c r="F274" i="2"/>
  <c r="F357" i="2"/>
  <c r="F444" i="2"/>
  <c r="F440" i="2"/>
  <c r="F406" i="2"/>
  <c r="F211" i="2"/>
  <c r="F5" i="2"/>
  <c r="F419" i="2"/>
  <c r="F484" i="2"/>
  <c r="F466" i="2"/>
  <c r="F368" i="2"/>
  <c r="F536" i="2"/>
  <c r="F82" i="2"/>
  <c r="F544" i="2"/>
  <c r="F297" i="2"/>
  <c r="F39" i="2"/>
  <c r="F519" i="2"/>
  <c r="F137" i="2"/>
  <c r="F89" i="2"/>
  <c r="F23" i="2"/>
  <c r="F503" i="2"/>
  <c r="F12" i="2"/>
  <c r="F479" i="2"/>
  <c r="F198" i="2"/>
  <c r="F531" i="2"/>
  <c r="F232" i="2"/>
  <c r="F290" i="2"/>
  <c r="F185" i="2"/>
  <c r="F143" i="2"/>
  <c r="F333" i="2"/>
  <c r="F542" i="2"/>
  <c r="F458" i="2"/>
  <c r="F581" i="2"/>
  <c r="F40" i="2"/>
  <c r="F170" i="2"/>
  <c r="F586" i="2"/>
  <c r="F423" i="2"/>
  <c r="F73" i="2"/>
  <c r="F565" i="2"/>
  <c r="F184" i="2"/>
  <c r="F524" i="2"/>
  <c r="F298" i="2"/>
  <c r="F51" i="2"/>
  <c r="F372" i="2"/>
  <c r="F138" i="2"/>
  <c r="F510" i="2"/>
  <c r="F210" i="2"/>
  <c r="F99" i="2"/>
  <c r="F365" i="2"/>
  <c r="F96" i="2"/>
  <c r="F447" i="2"/>
  <c r="F478" i="2"/>
  <c r="F391" i="2"/>
  <c r="F78" i="2"/>
  <c r="F335" i="2"/>
  <c r="F404" i="2"/>
  <c r="F90" i="2"/>
  <c r="F130" i="2"/>
  <c r="F385" i="2"/>
  <c r="F305" i="2"/>
  <c r="F386" i="2"/>
  <c r="F363" i="2"/>
  <c r="F153" i="2"/>
  <c r="F204" i="2"/>
  <c r="F225" i="2"/>
  <c r="F460" i="2"/>
  <c r="F470" i="2"/>
  <c r="F496" i="2"/>
  <c r="F165" i="2"/>
  <c r="F312" i="2"/>
  <c r="F412" i="2"/>
  <c r="F31" i="2"/>
  <c r="F327" i="2"/>
  <c r="F476" i="2"/>
  <c r="F173" i="2"/>
  <c r="F215" i="2"/>
  <c r="F432" i="2"/>
  <c r="F449" i="2"/>
  <c r="F105" i="2"/>
  <c r="F118" i="2"/>
  <c r="F438" i="2"/>
  <c r="F457" i="2"/>
  <c r="F322" i="2"/>
  <c r="F431" i="2"/>
  <c r="F337" i="2"/>
  <c r="F85" i="2"/>
  <c r="F262" i="2"/>
  <c r="F255" i="2"/>
  <c r="F27" i="2"/>
  <c r="F498" i="2"/>
  <c r="F156" i="2"/>
  <c r="F583" i="2"/>
  <c r="F348" i="2"/>
  <c r="F397" i="2"/>
  <c r="F9" i="2"/>
  <c r="F339" i="2"/>
  <c r="F471" i="2"/>
  <c r="F70" i="2"/>
  <c r="F415" i="2"/>
  <c r="F379" i="2"/>
  <c r="F154" i="2"/>
  <c r="F358" i="2"/>
  <c r="F493" i="2"/>
  <c r="F231" i="2"/>
  <c r="F354" i="2"/>
  <c r="F543" i="2"/>
  <c r="F168" i="2"/>
  <c r="F131" i="2"/>
  <c r="F486" i="2"/>
  <c r="F540" i="2"/>
  <c r="F302" i="2"/>
  <c r="F325" i="2"/>
  <c r="F53" i="2"/>
  <c r="F361" i="2"/>
  <c r="F44" i="2"/>
  <c r="F514" i="2"/>
  <c r="F18" i="2"/>
  <c r="F434" i="2"/>
  <c r="F428" i="2"/>
  <c r="F45" i="2"/>
  <c r="F271" i="2"/>
  <c r="F330" i="2"/>
  <c r="F178" i="2"/>
  <c r="F287" i="2"/>
  <c r="F125" i="2"/>
  <c r="F47" i="2"/>
  <c r="F245" i="2"/>
  <c r="F528" i="2"/>
  <c r="F20" i="2"/>
  <c r="F420" i="2"/>
  <c r="F236" i="2"/>
  <c r="F293" i="2"/>
  <c r="F176" i="2"/>
  <c r="F352" i="2"/>
  <c r="F410" i="2"/>
  <c r="F124" i="2"/>
  <c r="F563" i="2"/>
  <c r="F159" i="2"/>
  <c r="F10" i="2"/>
  <c r="F367" i="2"/>
  <c r="F307" i="2"/>
  <c r="F113" i="2"/>
  <c r="F300" i="2"/>
  <c r="F483" i="2"/>
  <c r="F336" i="2"/>
  <c r="F8" i="2"/>
  <c r="F394" i="2"/>
  <c r="F106" i="2"/>
  <c r="F13" i="2"/>
  <c r="F54" i="2"/>
  <c r="F21" i="2"/>
  <c r="F263" i="2"/>
  <c r="F562" i="2"/>
  <c r="F500" i="2"/>
  <c r="F421" i="2"/>
  <c r="F401" i="2"/>
  <c r="F452" i="2"/>
  <c r="F41" i="2"/>
  <c r="F369" i="2"/>
  <c r="F62" i="2"/>
  <c r="F256" i="2"/>
  <c r="F533" i="2"/>
  <c r="F505" i="2"/>
  <c r="F387" i="2"/>
  <c r="F418" i="2"/>
  <c r="F396" i="2"/>
  <c r="F383" i="2"/>
  <c r="F341" i="2"/>
  <c r="F556" i="2"/>
  <c r="F229" i="2"/>
  <c r="F86" i="2"/>
  <c r="F313" i="2"/>
  <c r="F578" i="2"/>
  <c r="F550" i="2"/>
  <c r="F538" i="2"/>
  <c r="F17" i="2"/>
  <c r="F97" i="2"/>
  <c r="F328" i="2"/>
  <c r="F439" i="2"/>
  <c r="F390" i="2"/>
  <c r="F235" i="2"/>
  <c r="F110" i="2"/>
  <c r="F251" i="2"/>
  <c r="F104" i="2"/>
  <c r="F34" i="2"/>
  <c r="F257" i="2"/>
  <c r="F323" i="2"/>
  <c r="F580" i="2"/>
  <c r="F291" i="2"/>
  <c r="F29" i="2"/>
  <c r="F427" i="2"/>
  <c r="F43" i="2"/>
  <c r="F135" i="2"/>
  <c r="F109" i="2"/>
  <c r="F279" i="2"/>
  <c r="F213" i="2"/>
  <c r="F202" i="2"/>
  <c r="F511" i="2"/>
  <c r="F532" i="2"/>
  <c r="F147" i="2"/>
  <c r="F552" i="2"/>
  <c r="F77" i="2"/>
  <c r="F254" i="2"/>
  <c r="F208" i="2"/>
  <c r="F80" i="2"/>
  <c r="F340" i="2"/>
  <c r="F265" i="2"/>
  <c r="F407" i="2"/>
  <c r="F464" i="2"/>
  <c r="F233" i="2"/>
  <c r="F350" i="2"/>
  <c r="F71" i="2"/>
  <c r="F309" i="2"/>
  <c r="F591" i="2"/>
  <c r="F234" i="2"/>
  <c r="F570" i="2"/>
  <c r="F117" i="2"/>
  <c r="F343" i="2"/>
  <c r="F392" i="2"/>
  <c r="F592" i="2"/>
  <c r="F573" i="2"/>
  <c r="F376" i="2"/>
  <c r="F554" i="2"/>
  <c r="F224" i="2"/>
  <c r="F38" i="2"/>
  <c r="F144" i="2"/>
  <c r="F141" i="2"/>
  <c r="F292" i="2"/>
  <c r="F19" i="2"/>
  <c r="F408" i="2"/>
  <c r="F590" i="2"/>
  <c r="F459" i="2"/>
  <c r="F180" i="2"/>
  <c r="F239" i="2"/>
  <c r="F214" i="2"/>
  <c r="F461" i="2"/>
  <c r="F145" i="2"/>
  <c r="F169" i="2"/>
  <c r="F576" i="2"/>
  <c r="F520" i="2"/>
  <c r="F266" i="2"/>
  <c r="F200" i="2"/>
  <c r="F319" i="2"/>
  <c r="F349" i="2"/>
  <c r="F424" i="2"/>
  <c r="F134" i="2"/>
  <c r="F92" i="2"/>
  <c r="F584" i="2"/>
  <c r="F247" i="2"/>
  <c r="F197" i="2"/>
  <c r="F56" i="2"/>
  <c r="F57" i="2"/>
  <c r="F242" i="2"/>
  <c r="F473" i="2"/>
  <c r="F399" i="2"/>
  <c r="F216" i="2"/>
  <c r="F381" i="2"/>
  <c r="F209" i="2"/>
  <c r="F79" i="2"/>
  <c r="F480" i="2"/>
  <c r="F308" i="2"/>
  <c r="F228" i="2"/>
  <c r="F270" i="2"/>
  <c r="F582" i="2"/>
  <c r="F108" i="2"/>
  <c r="F150" i="2"/>
  <c r="F240" i="2"/>
  <c r="F521" i="2"/>
  <c r="F121" i="2"/>
  <c r="F223" i="2"/>
  <c r="F68" i="2"/>
  <c r="F140" i="2"/>
  <c r="F523" i="2"/>
  <c r="F443" i="2"/>
  <c r="F472" i="2"/>
  <c r="F425" i="2"/>
  <c r="F259" i="2"/>
  <c r="F515" i="2"/>
  <c r="F42" i="2"/>
  <c r="F296" i="2"/>
  <c r="F171" i="2"/>
  <c r="F488" i="2"/>
  <c r="F518" i="2"/>
  <c r="F585" i="2"/>
  <c r="F175" i="2"/>
  <c r="F199" i="2"/>
  <c r="F119" i="2"/>
  <c r="F482" i="2"/>
  <c r="F102" i="2"/>
  <c r="F206" i="2"/>
  <c r="F548" i="2"/>
  <c r="F448" i="2"/>
  <c r="F516" i="2"/>
  <c r="F167" i="2"/>
  <c r="F426" i="2"/>
  <c r="F456" i="2"/>
  <c r="F512" i="2"/>
  <c r="F63" i="2"/>
  <c r="F572" i="2"/>
  <c r="F237" i="2"/>
  <c r="F177" i="2"/>
  <c r="F469" i="2"/>
  <c r="F15" i="2"/>
  <c r="F546" i="2"/>
  <c r="F465" i="2"/>
  <c r="F364" i="2"/>
  <c r="F380" i="2"/>
  <c r="F504" i="2"/>
  <c r="F280" i="2"/>
  <c r="F186" i="2"/>
  <c r="F429" i="2"/>
  <c r="F574" i="2"/>
  <c r="F277" i="2"/>
  <c r="F149" i="2"/>
  <c r="F139" i="2"/>
  <c r="F475" i="2"/>
  <c r="F201" i="2"/>
  <c r="F501" i="2"/>
  <c r="F374" i="2"/>
  <c r="F492" i="2"/>
  <c r="F260" i="2"/>
  <c r="F100" i="2"/>
  <c r="F16" i="2"/>
  <c r="F273" i="2"/>
  <c r="F32" i="2"/>
  <c r="F463" i="2"/>
  <c r="F81" i="2"/>
  <c r="F152" i="2"/>
  <c r="F527" i="2"/>
  <c r="F553" i="2"/>
  <c r="F122" i="2"/>
  <c r="F316" i="2"/>
  <c r="F205" i="2"/>
  <c r="F561" i="2"/>
  <c r="F127" i="2"/>
  <c r="F95" i="2"/>
  <c r="F26" i="2"/>
  <c r="F317" i="2"/>
  <c r="F402" i="2"/>
  <c r="F569" i="2"/>
  <c r="F568" i="2"/>
  <c r="F65" i="2"/>
  <c r="F172" i="2"/>
  <c r="F502" i="2"/>
  <c r="F48" i="2"/>
  <c r="F112" i="2"/>
  <c r="F164" i="2"/>
  <c r="F284" i="2"/>
  <c r="F545" i="2"/>
  <c r="F450" i="2"/>
  <c r="F517" i="2"/>
  <c r="F93" i="2"/>
  <c r="F417" i="2"/>
  <c r="F507" i="2"/>
  <c r="F248" i="2"/>
  <c r="F366" i="2"/>
  <c r="F413" i="2"/>
  <c r="F564" i="2"/>
  <c r="F30" i="2"/>
  <c r="F35" i="2"/>
  <c r="F230" i="2"/>
  <c r="F353" i="2"/>
  <c r="F191" i="2"/>
  <c r="F192" i="2"/>
  <c r="F481" i="2"/>
  <c r="F136" i="2"/>
  <c r="F494" i="2"/>
  <c r="F50" i="2"/>
  <c r="F395" i="2"/>
  <c r="F285" i="2"/>
  <c r="F190" i="2"/>
  <c r="F74" i="2"/>
  <c r="F281" i="2"/>
  <c r="F114" i="2"/>
  <c r="F294" i="2"/>
  <c r="F398" i="2"/>
  <c r="F261" i="2"/>
  <c r="F66" i="2"/>
  <c r="F278" i="2"/>
  <c r="F525" i="2"/>
  <c r="F249" i="2"/>
  <c r="F547" i="2"/>
  <c r="F69" i="2"/>
  <c r="F129" i="2"/>
  <c r="F116" i="2"/>
  <c r="F405" i="2"/>
  <c r="F120" i="2"/>
  <c r="F304" i="2"/>
  <c r="F219" i="2"/>
  <c r="F163" i="2"/>
  <c r="F445" i="2"/>
  <c r="F320" i="2"/>
  <c r="F437" i="2"/>
  <c r="F264" i="2"/>
  <c r="F474" i="2"/>
  <c r="F115" i="2"/>
  <c r="F258" i="2"/>
  <c r="F433" i="2"/>
  <c r="F276" i="2"/>
  <c r="F315" i="2"/>
  <c r="F442" i="2"/>
  <c r="F24" i="2"/>
  <c r="F88" i="2"/>
  <c r="F4" i="2"/>
  <c r="F195" i="2"/>
  <c r="F534" i="2"/>
  <c r="F310" i="2"/>
  <c r="F509" i="2"/>
  <c r="F84" i="2"/>
  <c r="F193" i="2"/>
  <c r="F566" i="2"/>
  <c r="F506" i="2"/>
  <c r="F226" i="2"/>
  <c r="F157" i="2"/>
  <c r="F382" i="2"/>
  <c r="F529" i="2"/>
  <c r="F94" i="2"/>
  <c r="F59" i="2"/>
  <c r="F455" i="2"/>
  <c r="F522" i="2"/>
  <c r="F416" i="2"/>
  <c r="F495" i="2"/>
  <c r="F2" i="2"/>
  <c r="F28" i="2"/>
  <c r="F384" i="2"/>
  <c r="F67" i="2"/>
  <c r="F189" i="2"/>
  <c r="F362" i="2"/>
  <c r="F174" i="2"/>
  <c r="F146" i="2"/>
  <c r="F107" i="2"/>
  <c r="F378" i="2"/>
  <c r="F370" i="2"/>
  <c r="F7" i="2"/>
  <c r="F332" i="2"/>
  <c r="F530" i="2"/>
  <c r="F75" i="2"/>
  <c r="F288" i="2"/>
  <c r="F329" i="2"/>
  <c r="F123" i="2"/>
  <c r="F207" i="2"/>
  <c r="F388" i="2"/>
  <c r="F579" i="2"/>
  <c r="F345" i="2"/>
  <c r="F558" i="2"/>
  <c r="F162" i="2"/>
  <c r="F331" i="2"/>
  <c r="F462" i="2"/>
  <c r="F126" i="2"/>
  <c r="F351" i="2"/>
  <c r="F377" i="2"/>
  <c r="F468" i="2"/>
  <c r="F356" i="2"/>
  <c r="F275" i="2"/>
  <c r="F267" i="2"/>
  <c r="F311" i="2"/>
  <c r="F76" i="2"/>
  <c r="F451" i="2"/>
  <c r="F567" i="2"/>
  <c r="F314" i="2"/>
  <c r="F436" i="2"/>
  <c r="F160" i="2"/>
  <c r="F346" i="2"/>
  <c r="F303" i="2"/>
  <c r="F537" i="2"/>
  <c r="F83" i="2"/>
  <c r="F489" i="2"/>
  <c r="F409" i="2"/>
  <c r="F588" i="2"/>
  <c r="F557" i="2"/>
  <c r="F593" i="2"/>
  <c r="F22" i="2"/>
  <c r="F203" i="2"/>
  <c r="F497" i="2"/>
  <c r="F441" i="2"/>
  <c r="F539" i="2"/>
  <c r="F435" i="2"/>
  <c r="F326" i="2"/>
  <c r="F103" i="2"/>
  <c r="F446" i="2"/>
  <c r="F334" i="2"/>
  <c r="F422" i="2"/>
  <c r="F338" i="2"/>
  <c r="F375" i="2"/>
  <c r="F289" i="2"/>
  <c r="F179" i="2"/>
  <c r="F587" i="2"/>
  <c r="F508" i="2"/>
  <c r="F549" i="2"/>
  <c r="F196" i="2"/>
  <c r="F321" i="2"/>
  <c r="F526" i="2"/>
  <c r="F25" i="2"/>
  <c r="F222" i="2"/>
  <c r="F283" i="2"/>
  <c r="F11" i="2"/>
  <c r="F212" i="2"/>
  <c r="F64" i="2"/>
  <c r="F128" i="2"/>
  <c r="F541" i="2"/>
  <c r="F87" i="2"/>
  <c r="F491" i="2"/>
  <c r="F269" i="2"/>
  <c r="F389" i="2"/>
  <c r="F244" i="2"/>
  <c r="F560" i="2"/>
  <c r="F194" i="2"/>
  <c r="F6" i="2"/>
  <c r="F347" i="2"/>
  <c r="F490" i="2"/>
  <c r="F318" i="2"/>
  <c r="F221" i="2"/>
  <c r="F46" i="2"/>
  <c r="F217" i="2"/>
  <c r="F58" i="2"/>
  <c r="F161" i="2"/>
  <c r="F411" i="2"/>
  <c r="F218" i="2"/>
  <c r="F360" i="2"/>
  <c r="F400" i="2"/>
  <c r="F301" i="2"/>
  <c r="F324" i="2"/>
  <c r="F227" i="2"/>
  <c r="F182" i="2"/>
  <c r="F111" i="2"/>
  <c r="F148" i="2"/>
  <c r="F188" i="2"/>
  <c r="F158" i="2"/>
  <c r="F142" i="2"/>
  <c r="F241" i="2"/>
  <c r="F151" i="2"/>
  <c r="F98" i="2"/>
  <c r="F559" i="2"/>
  <c r="F91" i="2"/>
  <c r="F467" i="2"/>
  <c r="F220" i="2"/>
  <c r="F55" i="2"/>
  <c r="F238" i="2"/>
  <c r="F33" i="2"/>
  <c r="F535" i="2"/>
  <c r="F485" i="2"/>
  <c r="F253" i="2"/>
  <c r="F155" i="2"/>
  <c r="F403" i="2"/>
  <c r="F299" i="2"/>
  <c r="F555" i="2"/>
  <c r="F513" i="2"/>
  <c r="F306" i="2"/>
  <c r="F252" i="2"/>
  <c r="F49" i="2"/>
  <c r="F60" i="2"/>
  <c r="F166" i="2"/>
  <c r="F577" i="2"/>
  <c r="F272" i="2"/>
  <c r="F52" i="2"/>
  <c r="F101" i="2"/>
  <c r="F246" i="2"/>
  <c r="F133" i="2"/>
  <c r="F359" i="2"/>
  <c r="F589" i="2"/>
  <c r="F344" i="2"/>
  <c r="F393" i="2"/>
  <c r="F295" i="2"/>
  <c r="F36" i="2"/>
  <c r="F414" i="2"/>
  <c r="F250" i="2"/>
  <c r="F187" i="2"/>
  <c r="F571" i="2"/>
  <c r="F14" i="2"/>
  <c r="F551" i="2"/>
  <c r="F453" i="2"/>
  <c r="F268" i="2"/>
  <c r="F355" i="2"/>
  <c r="F430" i="2"/>
  <c r="F72" i="2"/>
  <c r="F575" i="2"/>
  <c r="F61" i="2"/>
  <c r="F3" i="2"/>
  <c r="F371" i="2"/>
  <c r="F477" i="2"/>
  <c r="F454" i="2"/>
  <c r="F282" i="2"/>
  <c r="F487" i="2"/>
  <c r="F499" i="2"/>
  <c r="F132" i="2"/>
  <c r="F37" i="2"/>
  <c r="F243" i="2"/>
  <c r="F181" i="2"/>
  <c r="F373" i="2"/>
  <c r="F342" i="2"/>
  <c r="F286" i="2"/>
  <c r="AK327" i="2"/>
  <c r="AK519" i="2"/>
  <c r="AK225" i="2"/>
  <c r="AK503" i="2"/>
  <c r="AK536" i="2"/>
  <c r="AK484" i="2"/>
  <c r="AK125" i="2"/>
  <c r="AK178" i="2"/>
  <c r="AK544" i="2"/>
  <c r="AK274" i="2"/>
  <c r="AK361" i="2"/>
  <c r="AK39" i="2"/>
  <c r="AK23" i="2"/>
  <c r="AK357" i="2"/>
  <c r="AK27" i="2"/>
  <c r="AK44" i="2"/>
  <c r="AK440" i="2"/>
  <c r="AK89" i="2"/>
  <c r="AK368" i="2"/>
  <c r="AK12" i="2"/>
  <c r="AK82" i="2"/>
  <c r="AK460" i="2"/>
  <c r="AK498" i="2"/>
  <c r="AK415" i="2"/>
  <c r="AK154" i="2"/>
  <c r="AK493" i="2"/>
  <c r="AK231" i="2"/>
  <c r="AK215" i="2"/>
  <c r="AK124" i="2"/>
  <c r="AK432" i="2"/>
  <c r="AK10" i="2"/>
  <c r="AK372" i="2"/>
  <c r="AK138" i="2"/>
  <c r="AK367" i="2"/>
  <c r="AK449" i="2"/>
  <c r="AK365" i="2"/>
  <c r="AK391" i="2"/>
  <c r="AK438" i="2"/>
  <c r="AK150" i="2"/>
  <c r="AK335" i="2"/>
  <c r="AK293" i="2"/>
  <c r="AK137" i="2"/>
  <c r="AK406" i="2"/>
  <c r="AK211" i="2"/>
  <c r="AK5" i="2"/>
  <c r="AK165" i="2"/>
  <c r="AK514" i="2"/>
  <c r="AK18" i="2"/>
  <c r="AK434" i="2"/>
  <c r="AK466" i="2"/>
  <c r="AK287" i="2"/>
  <c r="AK583" i="2"/>
  <c r="AK90" i="2"/>
  <c r="AK397" i="2"/>
  <c r="AK245" i="2"/>
  <c r="AK528" i="2"/>
  <c r="AK236" i="2"/>
  <c r="AK386" i="2"/>
  <c r="AK379" i="2"/>
  <c r="AK358" i="2"/>
  <c r="AK185" i="2"/>
  <c r="AK143" i="2"/>
  <c r="AK476" i="2"/>
  <c r="AK352" i="2"/>
  <c r="AK170" i="2"/>
  <c r="AK173" i="2"/>
  <c r="AK168" i="2"/>
  <c r="AK73" i="2"/>
  <c r="AK565" i="2"/>
  <c r="AK510" i="2"/>
  <c r="AK210" i="2"/>
  <c r="AK478" i="2"/>
  <c r="AK540" i="2"/>
  <c r="AK216" i="2"/>
  <c r="AK263" i="2"/>
  <c r="AK312" i="2"/>
  <c r="AK45" i="2"/>
  <c r="AK271" i="2"/>
  <c r="AK404" i="2"/>
  <c r="AK20" i="2"/>
  <c r="AK232" i="2"/>
  <c r="AK176" i="2"/>
  <c r="AK543" i="2"/>
  <c r="AK410" i="2"/>
  <c r="AK581" i="2"/>
  <c r="AK40" i="2"/>
  <c r="AK586" i="2"/>
  <c r="AK423" i="2"/>
  <c r="AK184" i="2"/>
  <c r="AK159" i="2"/>
  <c r="AK298" i="2"/>
  <c r="AK105" i="2"/>
  <c r="AK307" i="2"/>
  <c r="AK302" i="2"/>
  <c r="AK8" i="2"/>
  <c r="AK394" i="2"/>
  <c r="AK582" i="2"/>
  <c r="AK240" i="2"/>
  <c r="AK580" i="2"/>
  <c r="AK153" i="2"/>
  <c r="AK53" i="2"/>
  <c r="AK204" i="2"/>
  <c r="AK470" i="2"/>
  <c r="AK496" i="2"/>
  <c r="AK479" i="2"/>
  <c r="AK412" i="2"/>
  <c r="AK262" i="2"/>
  <c r="AK255" i="2"/>
  <c r="AK419" i="2"/>
  <c r="AK31" i="2"/>
  <c r="AK428" i="2"/>
  <c r="AK330" i="2"/>
  <c r="AK297" i="2"/>
  <c r="AK198" i="2"/>
  <c r="AK156" i="2"/>
  <c r="AK47" i="2"/>
  <c r="AK348" i="2"/>
  <c r="AK130" i="2"/>
  <c r="AK9" i="2"/>
  <c r="AK339" i="2"/>
  <c r="AK420" i="2"/>
  <c r="AK471" i="2"/>
  <c r="AK385" i="2"/>
  <c r="AK305" i="2"/>
  <c r="AK70" i="2"/>
  <c r="AK363" i="2"/>
  <c r="AK531" i="2"/>
  <c r="AK290" i="2"/>
  <c r="AK333" i="2"/>
  <c r="AK542" i="2"/>
  <c r="AK458" i="2"/>
  <c r="AK354" i="2"/>
  <c r="AK131" i="2"/>
  <c r="AK563" i="2"/>
  <c r="AK524" i="2"/>
  <c r="AK51" i="2"/>
  <c r="AK486" i="2"/>
  <c r="AK99" i="2"/>
  <c r="AK96" i="2"/>
  <c r="AK447" i="2"/>
  <c r="AK381" i="2"/>
  <c r="AK209" i="2"/>
  <c r="AK483" i="2"/>
  <c r="AK106" i="2"/>
  <c r="AK13" i="2"/>
  <c r="AK118" i="2"/>
  <c r="AK336" i="2"/>
  <c r="AK457" i="2"/>
  <c r="AK110" i="2"/>
  <c r="AK251" i="2"/>
  <c r="AK308" i="2"/>
  <c r="AK21" i="2"/>
  <c r="AK270" i="2"/>
  <c r="AK108" i="2"/>
  <c r="AK34" i="2"/>
  <c r="AK325" i="2"/>
  <c r="AK323" i="2"/>
  <c r="AK223" i="2"/>
  <c r="AK291" i="2"/>
  <c r="AK68" i="2"/>
  <c r="AK140" i="2"/>
  <c r="AK523" i="2"/>
  <c r="AK500" i="2"/>
  <c r="AK135" i="2"/>
  <c r="AK472" i="2"/>
  <c r="AK109" i="2"/>
  <c r="AK239" i="2"/>
  <c r="AK208" i="2"/>
  <c r="AK340" i="2"/>
  <c r="AK265" i="2"/>
  <c r="AK407" i="2"/>
  <c r="AK71" i="2"/>
  <c r="AK548" i="2"/>
  <c r="AK117" i="2"/>
  <c r="AK349" i="2"/>
  <c r="AK92" i="2"/>
  <c r="AK448" i="2"/>
  <c r="AK556" i="2"/>
  <c r="AK86" i="2"/>
  <c r="AK57" i="2"/>
  <c r="AK550" i="2"/>
  <c r="AK97" i="2"/>
  <c r="AK78" i="2"/>
  <c r="AK431" i="2"/>
  <c r="AK390" i="2"/>
  <c r="AK337" i="2"/>
  <c r="AK228" i="2"/>
  <c r="AK29" i="2"/>
  <c r="AK459" i="2"/>
  <c r="AK259" i="2"/>
  <c r="AK369" i="2"/>
  <c r="AK515" i="2"/>
  <c r="AK42" i="2"/>
  <c r="AK171" i="2"/>
  <c r="AK256" i="2"/>
  <c r="AK520" i="2"/>
  <c r="AK266" i="2"/>
  <c r="AK199" i="2"/>
  <c r="AK233" i="2"/>
  <c r="AK119" i="2"/>
  <c r="AK234" i="2"/>
  <c r="AK570" i="2"/>
  <c r="AK206" i="2"/>
  <c r="AK200" i="2"/>
  <c r="AK26" i="2"/>
  <c r="AK424" i="2"/>
  <c r="AK554" i="2"/>
  <c r="AK224" i="2"/>
  <c r="AK292" i="2"/>
  <c r="AK15" i="2"/>
  <c r="AK427" i="2"/>
  <c r="AK590" i="2"/>
  <c r="AK213" i="2"/>
  <c r="AK202" i="2"/>
  <c r="AK532" i="2"/>
  <c r="AK147" i="2"/>
  <c r="AK552" i="2"/>
  <c r="AK452" i="2"/>
  <c r="AK77" i="2"/>
  <c r="AK41" i="2"/>
  <c r="AK461" i="2"/>
  <c r="AK576" i="2"/>
  <c r="AK488" i="2"/>
  <c r="AK518" i="2"/>
  <c r="AK62" i="2"/>
  <c r="AK175" i="2"/>
  <c r="AK533" i="2"/>
  <c r="AK309" i="2"/>
  <c r="AK505" i="2"/>
  <c r="AK387" i="2"/>
  <c r="AK418" i="2"/>
  <c r="AK343" i="2"/>
  <c r="AK573" i="2"/>
  <c r="AK341" i="2"/>
  <c r="AK229" i="2"/>
  <c r="AK56" i="2"/>
  <c r="AK313" i="2"/>
  <c r="AK65" i="2"/>
  <c r="AK242" i="2"/>
  <c r="AK172" i="2"/>
  <c r="AK473" i="2"/>
  <c r="AK574" i="2"/>
  <c r="AK399" i="2"/>
  <c r="AK79" i="2"/>
  <c r="AK113" i="2"/>
  <c r="AK300" i="2"/>
  <c r="AK322" i="2"/>
  <c r="AK54" i="2"/>
  <c r="AK480" i="2"/>
  <c r="AK235" i="2"/>
  <c r="AK104" i="2"/>
  <c r="AK257" i="2"/>
  <c r="AK521" i="2"/>
  <c r="AK121" i="2"/>
  <c r="AK562" i="2"/>
  <c r="AK443" i="2"/>
  <c r="AK43" i="2"/>
  <c r="AK421" i="2"/>
  <c r="AK180" i="2"/>
  <c r="AK279" i="2"/>
  <c r="AK511" i="2"/>
  <c r="AK401" i="2"/>
  <c r="AK214" i="2"/>
  <c r="AK145" i="2"/>
  <c r="AK425" i="2"/>
  <c r="AK254" i="2"/>
  <c r="AK169" i="2"/>
  <c r="AK296" i="2"/>
  <c r="AK585" i="2"/>
  <c r="AK80" i="2"/>
  <c r="AK464" i="2"/>
  <c r="AK350" i="2"/>
  <c r="AK591" i="2"/>
  <c r="AK482" i="2"/>
  <c r="AK102" i="2"/>
  <c r="AK592" i="2"/>
  <c r="AK516" i="2"/>
  <c r="AK38" i="2"/>
  <c r="AK141" i="2"/>
  <c r="AK512" i="2"/>
  <c r="AK502" i="2"/>
  <c r="AK144" i="2"/>
  <c r="AK456" i="2"/>
  <c r="AK569" i="2"/>
  <c r="AK237" i="2"/>
  <c r="AK197" i="2"/>
  <c r="AK568" i="2"/>
  <c r="AK578" i="2"/>
  <c r="AK538" i="2"/>
  <c r="AK17" i="2"/>
  <c r="AK408" i="2"/>
  <c r="AK572" i="2"/>
  <c r="AK517" i="2"/>
  <c r="AK277" i="2"/>
  <c r="AK507" i="2"/>
  <c r="AK248" i="2"/>
  <c r="AK366" i="2"/>
  <c r="AK230" i="2"/>
  <c r="AK191" i="2"/>
  <c r="AK374" i="2"/>
  <c r="AK100" i="2"/>
  <c r="AK380" i="2"/>
  <c r="AK50" i="2"/>
  <c r="AK527" i="2"/>
  <c r="AK249" i="2"/>
  <c r="AK69" i="2"/>
  <c r="AK186" i="2"/>
  <c r="AK439" i="2"/>
  <c r="AK19" i="2"/>
  <c r="AK48" i="2"/>
  <c r="AK112" i="2"/>
  <c r="AK149" i="2"/>
  <c r="AK465" i="2"/>
  <c r="AK201" i="2"/>
  <c r="AK564" i="2"/>
  <c r="AK35" i="2"/>
  <c r="AK501" i="2"/>
  <c r="AK284" i="2"/>
  <c r="AK492" i="2"/>
  <c r="AK260" i="2"/>
  <c r="AK136" i="2"/>
  <c r="AK395" i="2"/>
  <c r="AK463" i="2"/>
  <c r="AK81" i="2"/>
  <c r="AK278" i="2"/>
  <c r="AK398" i="2"/>
  <c r="AK525" i="2"/>
  <c r="AK7" i="2"/>
  <c r="AK319" i="2"/>
  <c r="AK392" i="2"/>
  <c r="AK396" i="2"/>
  <c r="AK317" i="2"/>
  <c r="AK134" i="2"/>
  <c r="AK383" i="2"/>
  <c r="AK584" i="2"/>
  <c r="AK376" i="2"/>
  <c r="AK167" i="2"/>
  <c r="AK402" i="2"/>
  <c r="AK426" i="2"/>
  <c r="AK247" i="2"/>
  <c r="AK177" i="2"/>
  <c r="AK469" i="2"/>
  <c r="AK328" i="2"/>
  <c r="AK429" i="2"/>
  <c r="AK63" i="2"/>
  <c r="AK546" i="2"/>
  <c r="AK413" i="2"/>
  <c r="AK30" i="2"/>
  <c r="AK353" i="2"/>
  <c r="AK192" i="2"/>
  <c r="AK164" i="2"/>
  <c r="AK494" i="2"/>
  <c r="AK504" i="2"/>
  <c r="AK93" i="2"/>
  <c r="AK417" i="2"/>
  <c r="AK139" i="2"/>
  <c r="AK475" i="2"/>
  <c r="AK481" i="2"/>
  <c r="AK364" i="2"/>
  <c r="AK16" i="2"/>
  <c r="AK273" i="2"/>
  <c r="AK32" i="2"/>
  <c r="AK285" i="2"/>
  <c r="AK107" i="2"/>
  <c r="AK378" i="2"/>
  <c r="AK127" i="2"/>
  <c r="AK261" i="2"/>
  <c r="AK66" i="2"/>
  <c r="AK545" i="2"/>
  <c r="AK450" i="2"/>
  <c r="AK152" i="2"/>
  <c r="AK190" i="2"/>
  <c r="AK74" i="2"/>
  <c r="AK316" i="2"/>
  <c r="AK114" i="2"/>
  <c r="AK561" i="2"/>
  <c r="AK547" i="2"/>
  <c r="AK331" i="2"/>
  <c r="AK462" i="2"/>
  <c r="AK129" i="2"/>
  <c r="AK351" i="2"/>
  <c r="AK468" i="2"/>
  <c r="AK116" i="2"/>
  <c r="AK356" i="2"/>
  <c r="AK276" i="2"/>
  <c r="AK530" i="2"/>
  <c r="AK275" i="2"/>
  <c r="AK267" i="2"/>
  <c r="AK311" i="2"/>
  <c r="AK193" i="2"/>
  <c r="AK288" i="2"/>
  <c r="AK382" i="2"/>
  <c r="AK529" i="2"/>
  <c r="AK388" i="2"/>
  <c r="AK320" i="2"/>
  <c r="AK522" i="2"/>
  <c r="AK416" i="2"/>
  <c r="AK160" i="2"/>
  <c r="AK566" i="2"/>
  <c r="AK451" i="2"/>
  <c r="AK314" i="2"/>
  <c r="AK329" i="2"/>
  <c r="AK304" i="2"/>
  <c r="AK436" i="2"/>
  <c r="AK219" i="2"/>
  <c r="AK455" i="2"/>
  <c r="AK207" i="2"/>
  <c r="AK495" i="2"/>
  <c r="AK384" i="2"/>
  <c r="AK579" i="2"/>
  <c r="AK474" i="2"/>
  <c r="AK174" i="2"/>
  <c r="AK553" i="2"/>
  <c r="AK122" i="2"/>
  <c r="AK281" i="2"/>
  <c r="AK205" i="2"/>
  <c r="AK294" i="2"/>
  <c r="AK280" i="2"/>
  <c r="AK95" i="2"/>
  <c r="AK126" i="2"/>
  <c r="AK377" i="2"/>
  <c r="AK332" i="2"/>
  <c r="AK315" i="2"/>
  <c r="AK442" i="2"/>
  <c r="AK88" i="2"/>
  <c r="AK4" i="2"/>
  <c r="AK195" i="2"/>
  <c r="AK534" i="2"/>
  <c r="AK84" i="2"/>
  <c r="AK226" i="2"/>
  <c r="AK76" i="2"/>
  <c r="AK75" i="2"/>
  <c r="AK157" i="2"/>
  <c r="AK567" i="2"/>
  <c r="AK123" i="2"/>
  <c r="AK120" i="2"/>
  <c r="AK59" i="2"/>
  <c r="AK445" i="2"/>
  <c r="AK437" i="2"/>
  <c r="AK28" i="2"/>
  <c r="AK346" i="2"/>
  <c r="AK264" i="2"/>
  <c r="AK345" i="2"/>
  <c r="AK303" i="2"/>
  <c r="AK67" i="2"/>
  <c r="AK588" i="2"/>
  <c r="AK370" i="2"/>
  <c r="AK24" i="2"/>
  <c r="AK310" i="2"/>
  <c r="AK509" i="2"/>
  <c r="AK506" i="2"/>
  <c r="AK405" i="2"/>
  <c r="AK94" i="2"/>
  <c r="AK163" i="2"/>
  <c r="AK2" i="2"/>
  <c r="AK537" i="2"/>
  <c r="AK162" i="2"/>
  <c r="AK25" i="2"/>
  <c r="AK222" i="2"/>
  <c r="AK283" i="2"/>
  <c r="AK217" i="2"/>
  <c r="AK411" i="2"/>
  <c r="AK301" i="2"/>
  <c r="AK148" i="2"/>
  <c r="AK389" i="2"/>
  <c r="AK441" i="2"/>
  <c r="AK55" i="2"/>
  <c r="AK244" i="2"/>
  <c r="AK347" i="2"/>
  <c r="AK155" i="2"/>
  <c r="AK115" i="2"/>
  <c r="AK446" i="2"/>
  <c r="AK526" i="2"/>
  <c r="AK258" i="2"/>
  <c r="AK409" i="2"/>
  <c r="AK433" i="2"/>
  <c r="AK557" i="2"/>
  <c r="AK318" i="2"/>
  <c r="AK46" i="2"/>
  <c r="AK11" i="2"/>
  <c r="AK593" i="2"/>
  <c r="AK338" i="2"/>
  <c r="AK375" i="2"/>
  <c r="AK324" i="2"/>
  <c r="AK64" i="2"/>
  <c r="AK128" i="2"/>
  <c r="AK87" i="2"/>
  <c r="AK111" i="2"/>
  <c r="AK158" i="2"/>
  <c r="AK435" i="2"/>
  <c r="AK587" i="2"/>
  <c r="AK250" i="2"/>
  <c r="AK334" i="2"/>
  <c r="AK83" i="2"/>
  <c r="AK189" i="2"/>
  <c r="AK489" i="2"/>
  <c r="AK422" i="2"/>
  <c r="AK362" i="2"/>
  <c r="AK558" i="2"/>
  <c r="AK146" i="2"/>
  <c r="AK58" i="2"/>
  <c r="AK161" i="2"/>
  <c r="AK22" i="2"/>
  <c r="AK218" i="2"/>
  <c r="AK360" i="2"/>
  <c r="AK400" i="2"/>
  <c r="AK227" i="2"/>
  <c r="AK269" i="2"/>
  <c r="AK188" i="2"/>
  <c r="AK539" i="2"/>
  <c r="AK142" i="2"/>
  <c r="AK241" i="2"/>
  <c r="AK151" i="2"/>
  <c r="AK194" i="2"/>
  <c r="AK403" i="2"/>
  <c r="AK221" i="2"/>
  <c r="AK212" i="2"/>
  <c r="AK203" i="2"/>
  <c r="AK289" i="2"/>
  <c r="AK541" i="2"/>
  <c r="AK182" i="2"/>
  <c r="AK491" i="2"/>
  <c r="AK497" i="2"/>
  <c r="AK560" i="2"/>
  <c r="AK6" i="2"/>
  <c r="AK559" i="2"/>
  <c r="AK467" i="2"/>
  <c r="AK571" i="2"/>
  <c r="AK179" i="2"/>
  <c r="AK238" i="2"/>
  <c r="AK98" i="2"/>
  <c r="AK508" i="2"/>
  <c r="AK33" i="2"/>
  <c r="AK414" i="2"/>
  <c r="AK91" i="2"/>
  <c r="AK326" i="2"/>
  <c r="AK549" i="2"/>
  <c r="AK490" i="2"/>
  <c r="AK196" i="2"/>
  <c r="AK321" i="2"/>
  <c r="AK14" i="2"/>
  <c r="AK453" i="2"/>
  <c r="AK306" i="2"/>
  <c r="AK252" i="2"/>
  <c r="AK282" i="2"/>
  <c r="AK487" i="2"/>
  <c r="AK132" i="2"/>
  <c r="AK577" i="2"/>
  <c r="AK52" i="2"/>
  <c r="AK101" i="2"/>
  <c r="AK243" i="2"/>
  <c r="AK589" i="2"/>
  <c r="AK344" i="2"/>
  <c r="AK61" i="2"/>
  <c r="AK393" i="2"/>
  <c r="AK342" i="2"/>
  <c r="AK3" i="2"/>
  <c r="AK371" i="2"/>
  <c r="AK295" i="2"/>
  <c r="AK513" i="2"/>
  <c r="AK477" i="2"/>
  <c r="AK454" i="2"/>
  <c r="AK72" i="2"/>
  <c r="AK575" i="2"/>
  <c r="AK37" i="2"/>
  <c r="AK272" i="2"/>
  <c r="AK246" i="2"/>
  <c r="AK359" i="2"/>
  <c r="AK373" i="2"/>
  <c r="AK535" i="2"/>
  <c r="AK187" i="2"/>
  <c r="AK485" i="2"/>
  <c r="AK551" i="2"/>
  <c r="AK355" i="2"/>
  <c r="AK430" i="2"/>
  <c r="AK49" i="2"/>
  <c r="AK60" i="2"/>
  <c r="AK499" i="2"/>
  <c r="AK555" i="2"/>
  <c r="AK181" i="2"/>
  <c r="AK133" i="2"/>
  <c r="AK36" i="2"/>
  <c r="AK103" i="2"/>
  <c r="AK253" i="2"/>
  <c r="AK220" i="2"/>
  <c r="AK268" i="2"/>
  <c r="AK166" i="2"/>
  <c r="AK299" i="2"/>
  <c r="AK286" i="2"/>
  <c r="L246" i="2" a="1"/>
  <c r="N373" i="2" a="1"/>
  <c r="M282" i="2" a="1"/>
  <c r="K559" i="2" a="1"/>
  <c r="N539" i="2" a="1"/>
  <c r="M91" i="2" a="1"/>
  <c r="K321" i="2" a="1"/>
  <c r="M286" i="2" a="1"/>
  <c r="N253" i="2" a="1"/>
  <c r="M220" i="2" a="1"/>
  <c r="K101" i="2" a="1"/>
  <c r="N435" i="2" a="1"/>
  <c r="L179" i="2" a="1"/>
  <c r="N182" i="2" a="1"/>
  <c r="M375" i="2" a="1"/>
  <c r="L195" i="2" a="1"/>
  <c r="M94" i="2" a="1"/>
  <c r="K253" i="2" a="1"/>
  <c r="L555" i="2" a="1"/>
  <c r="N252" i="2" a="1"/>
  <c r="L25" i="2" a="1"/>
  <c r="M491" i="2" a="1"/>
  <c r="K579" i="2" a="1"/>
  <c r="N115" i="2" a="1"/>
  <c r="K249" i="2" a="1"/>
  <c r="N72" i="2" a="1"/>
  <c r="L244" i="2" a="1"/>
  <c r="L182" i="2" a="1"/>
  <c r="N189" i="2" a="1"/>
  <c r="L320" i="2" a="1"/>
  <c r="N320" i="2" a="1"/>
  <c r="L61" i="2" a="1"/>
  <c r="M14" i="2" a="1"/>
  <c r="M52" i="2" a="1"/>
  <c r="M539" i="2" a="1"/>
  <c r="M318" i="2" a="1"/>
  <c r="M67" i="2" a="1"/>
  <c r="L499" i="2" a="1"/>
  <c r="K373" i="2" a="1"/>
  <c r="M373" i="2" a="1"/>
  <c r="K158" i="2" a="1"/>
  <c r="M253" i="2" a="1"/>
  <c r="K188" i="2" a="1"/>
  <c r="L332" i="2" a="1"/>
  <c r="L393" i="2" a="1"/>
  <c r="M359" i="2" a="1"/>
  <c r="L253" i="2" a="1"/>
  <c r="L400" i="2" a="1"/>
  <c r="N221" i="2" a="1"/>
  <c r="M388" i="2" a="1"/>
  <c r="K529" i="2" a="1"/>
  <c r="N414" i="2" a="1"/>
  <c r="N222" i="2" a="1"/>
  <c r="L217" i="2" a="1"/>
  <c r="L579" i="2" a="1"/>
  <c r="N190" i="2" a="1"/>
  <c r="N306" i="2" a="1"/>
  <c r="K326" i="2" a="1"/>
  <c r="M485" i="2" a="1"/>
  <c r="L128" i="2" a="1"/>
  <c r="K129" i="2" a="1"/>
  <c r="L88" i="2" a="1"/>
  <c r="M219" i="2" a="1"/>
  <c r="L346" i="2" a="1"/>
  <c r="N181" i="2" a="1"/>
  <c r="L593" i="2" a="1"/>
  <c r="N174" i="2" a="1"/>
  <c r="L67" i="2" a="1"/>
  <c r="K446" i="2" a="1"/>
  <c r="M547" i="2" a="1"/>
  <c r="N59" i="2" a="1"/>
  <c r="M329" i="2" a="1"/>
  <c r="N310" i="2" a="1"/>
  <c r="K122" i="2" a="1"/>
  <c r="N468" i="2" a="1"/>
  <c r="L469" i="2" a="1"/>
  <c r="M504" i="2" a="1"/>
  <c r="L545" i="2" a="1"/>
  <c r="M550" i="2" a="1"/>
  <c r="L119" i="2" a="1"/>
  <c r="N356" i="2" a="1"/>
  <c r="K545" i="2" a="1"/>
  <c r="K191" i="2" a="1"/>
  <c r="L292" i="2" a="1"/>
  <c r="M192" i="2" a="1"/>
  <c r="L395" i="2" a="1"/>
  <c r="K554" i="2" a="1"/>
  <c r="N340" i="2" a="1"/>
  <c r="M108" i="2" a="1"/>
  <c r="M84" i="2" a="1"/>
  <c r="K398" i="2" a="1"/>
  <c r="K546" i="2" a="1"/>
  <c r="L517" i="2" a="1"/>
  <c r="K525" i="2" a="1"/>
  <c r="L15" i="2" a="1"/>
  <c r="N321" i="2" a="1"/>
  <c r="M3" i="2" a="1"/>
  <c r="N196" i="2" a="1"/>
  <c r="K217" i="2" a="1"/>
  <c r="N490" i="2" a="1"/>
  <c r="L158" i="2" a="1"/>
  <c r="K393" i="2" a="1"/>
  <c r="M551" i="2" a="1"/>
  <c r="M393" i="2" a="1"/>
  <c r="M58" i="2" a="1"/>
  <c r="M148" i="2" a="1"/>
  <c r="L264" i="2" a="1"/>
  <c r="M422" i="2" a="1"/>
  <c r="L14" i="2" a="1"/>
  <c r="M477" i="2" a="1"/>
  <c r="L389" i="2" a="1"/>
  <c r="M188" i="2" a="1"/>
  <c r="M120" i="2" a="1"/>
  <c r="L442" i="2" a="1"/>
  <c r="M272" i="2" a="1"/>
  <c r="N87" i="2" a="1"/>
  <c r="K389" i="2" a="1"/>
  <c r="K28" i="2" a="1"/>
  <c r="M310" i="2" a="1"/>
  <c r="N384" i="2" a="1"/>
  <c r="K60" i="2" a="1"/>
  <c r="K587" i="2" a="1"/>
  <c r="N326" i="2" a="1"/>
  <c r="K182" i="2" a="1"/>
  <c r="K33" i="2" a="1"/>
  <c r="N299" i="2" a="1"/>
  <c r="M203" i="2" a="1"/>
  <c r="K166" i="2" a="1"/>
  <c r="K49" i="2" a="1"/>
  <c r="N179" i="2" a="1"/>
  <c r="K203" i="2" a="1"/>
  <c r="L218" i="2" a="1"/>
  <c r="K593" i="2" a="1"/>
  <c r="N61" i="2" a="1"/>
  <c r="L403" i="2" a="1"/>
  <c r="K103" i="2" a="1"/>
  <c r="L22" i="2" a="1"/>
  <c r="L489" i="2" a="1"/>
  <c r="K123" i="2" a="1"/>
  <c r="N288" i="2" a="1"/>
  <c r="L549" i="2" a="1"/>
  <c r="L344" i="2" a="1"/>
  <c r="M441" i="2" a="1"/>
  <c r="N151" i="2" a="1"/>
  <c r="L261" i="2" a="1"/>
  <c r="K588" i="2" a="1"/>
  <c r="L272" i="2" a="1"/>
  <c r="M508" i="2" a="1"/>
  <c r="N241" i="2" a="1"/>
  <c r="N267" i="2" a="1"/>
  <c r="K261" i="2" a="1"/>
  <c r="L295" i="2" a="1"/>
  <c r="M33" i="2" a="1"/>
  <c r="K128" i="2" a="1"/>
  <c r="K238" i="2" a="1"/>
  <c r="K487" i="2" a="1"/>
  <c r="L196" i="2" a="1"/>
  <c r="N411" i="2" a="1"/>
  <c r="L338" i="2" a="1"/>
  <c r="N566" i="2" a="1"/>
  <c r="N268" i="2" a="1"/>
  <c r="L243" i="2" a="1"/>
  <c r="K435" i="2" a="1"/>
  <c r="M207" i="2" a="1"/>
  <c r="N69" i="2" a="1"/>
  <c r="N166" i="2" a="1"/>
  <c r="K151" i="2" a="1"/>
  <c r="L567" i="2" a="1"/>
  <c r="N525" i="2" a="1"/>
  <c r="M499" i="2" a="1"/>
  <c r="M111" i="2" a="1"/>
  <c r="N446" i="2" a="1"/>
  <c r="L258" i="2" a="1"/>
  <c r="K281" i="2" a="1"/>
  <c r="M162" i="2" a="1"/>
  <c r="K306" i="2" a="1"/>
  <c r="L558" i="2" a="1"/>
  <c r="L58" i="2" a="1"/>
  <c r="N455" i="2" a="1"/>
  <c r="L537" i="2" a="1"/>
  <c r="M416" i="2" a="1"/>
  <c r="M116" i="2" a="1"/>
  <c r="N481" i="2" a="1"/>
  <c r="L277" i="2" a="1"/>
  <c r="K481" i="2" a="1"/>
  <c r="N277" i="2" a="1"/>
  <c r="M418" i="2" a="1"/>
  <c r="N547" i="2" a="1"/>
  <c r="L351" i="2" a="1"/>
  <c r="L578" i="2" a="1"/>
  <c r="M366" i="2" a="1"/>
  <c r="L408" i="2" a="1"/>
  <c r="L570" i="2" a="1"/>
  <c r="N480" i="2" a="1"/>
  <c r="L462" i="2" a="1"/>
  <c r="K564" i="2" a="1"/>
  <c r="N177" i="2" a="1"/>
  <c r="N191" i="2" a="1"/>
  <c r="K555" i="2" a="1"/>
  <c r="M132" i="2" a="1"/>
  <c r="M250" i="2" a="1"/>
  <c r="L146" i="2" a="1"/>
  <c r="N338" i="2" a="1"/>
  <c r="K589" i="2" a="1"/>
  <c r="N243" i="2" a="1"/>
  <c r="K194" i="2" a="1"/>
  <c r="M115" i="2" a="1"/>
  <c r="L377" i="2" a="1"/>
  <c r="K252" i="2" a="1"/>
  <c r="N499" i="2" a="1"/>
  <c r="N218" i="2" a="1"/>
  <c r="M530" i="2" a="1"/>
  <c r="N526" i="2" a="1"/>
  <c r="L98" i="2" a="1"/>
  <c r="L433" i="2" a="1"/>
  <c r="L66" i="2" a="1"/>
  <c r="K162" i="2" a="1"/>
  <c r="K37" i="2" a="1"/>
  <c r="N272" i="2" a="1"/>
  <c r="N560" i="2" a="1"/>
  <c r="L411" i="2" a="1"/>
  <c r="N575" i="2" a="1"/>
  <c r="N146" i="2" a="1"/>
  <c r="N304" i="2" a="1"/>
  <c r="N430" i="2" a="1"/>
  <c r="L535" i="2" a="1"/>
  <c r="N561" i="2" a="1"/>
  <c r="L571" i="2" a="1"/>
  <c r="K509" i="2" a="1"/>
  <c r="N94" i="2" a="1"/>
  <c r="N212" i="2" a="1"/>
  <c r="N441" i="2" a="1"/>
  <c r="N334" i="2" a="1"/>
  <c r="L409" i="2" a="1"/>
  <c r="M303" i="2" a="1"/>
  <c r="M403" i="2" a="1"/>
  <c r="K414" i="2" a="1"/>
  <c r="M258" i="2" a="1"/>
  <c r="M436" i="2" a="1"/>
  <c r="M579" i="2" a="1"/>
  <c r="M304" i="2" a="1"/>
  <c r="M351" i="2" a="1"/>
  <c r="M230" i="2" a="1"/>
  <c r="M429" i="2" a="1"/>
  <c r="K230" i="2" a="1"/>
  <c r="N399" i="2" a="1"/>
  <c r="K482" i="2" a="1"/>
  <c r="M525" i="2" a="1"/>
  <c r="L250" i="2" a="1"/>
  <c r="N128" i="2" a="1"/>
  <c r="K6" i="2" a="1"/>
  <c r="M252" i="2" a="1"/>
  <c r="L301" i="2" a="1"/>
  <c r="M146" i="2" a="1"/>
  <c r="M133" i="2" a="1"/>
  <c r="K467" i="2" a="1"/>
  <c r="N91" i="2" a="1"/>
  <c r="N283" i="2" a="1"/>
  <c r="M55" i="2" a="1"/>
  <c r="M555" i="2" a="1"/>
  <c r="M36" i="2" a="1"/>
  <c r="N375" i="2" a="1"/>
  <c r="N593" i="2" a="1"/>
  <c r="K116" i="2" a="1"/>
  <c r="L487" i="2" a="1"/>
  <c r="N403" i="2" a="1"/>
  <c r="K289" i="2" a="1"/>
  <c r="L529" i="2" a="1"/>
  <c r="N116" i="2" a="1"/>
  <c r="N571" i="2" a="1"/>
  <c r="M238" i="2" a="1"/>
  <c r="M75" i="2" a="1"/>
  <c r="N513" i="2" a="1"/>
  <c r="L252" i="2" a="1"/>
  <c r="L238" i="2" a="1"/>
  <c r="M400" i="2" a="1"/>
  <c r="N477" i="2" a="1"/>
  <c r="K508" i="2" a="1"/>
  <c r="K526" i="2" a="1"/>
  <c r="K416" i="2" a="1"/>
  <c r="M166" i="2" a="1"/>
  <c r="N55" i="2" a="1"/>
  <c r="N433" i="2" a="1"/>
  <c r="K342" i="2" a="1"/>
  <c r="K25" i="2" a="1"/>
  <c r="M314" i="2" a="1"/>
  <c r="N120" i="2" a="1"/>
  <c r="L46" i="2" a="1"/>
  <c r="K445" i="2" a="1"/>
  <c r="L126" i="2" a="1"/>
  <c r="K207" i="2" a="1"/>
  <c r="L188" i="2" a="1"/>
  <c r="N497" i="2" a="1"/>
  <c r="L84" i="2" a="1"/>
  <c r="K311" i="2" a="1"/>
  <c r="N388" i="2" a="1"/>
  <c r="L139" i="2" a="1"/>
  <c r="M584" i="2" a="1"/>
  <c r="M501" i="2" a="1"/>
  <c r="M566" i="2" a="1"/>
  <c r="M69" i="2" a="1"/>
  <c r="L63" i="2" a="1"/>
  <c r="K574" i="2" a="1"/>
  <c r="N86" i="2" a="1"/>
  <c r="N291" i="2" a="1"/>
  <c r="K74" i="2" a="1"/>
  <c r="K136" i="2" a="1"/>
  <c r="L50" i="2" a="1"/>
  <c r="K344" i="2" a="1"/>
  <c r="L132" i="2" a="1"/>
  <c r="K375" i="2" a="1"/>
  <c r="M433" i="2" a="1"/>
  <c r="K282" i="2" a="1"/>
  <c r="N227" i="2" a="1"/>
  <c r="K227" i="2" a="1"/>
  <c r="L76" i="2" a="1"/>
  <c r="L37" i="2" a="1"/>
  <c r="M558" i="2" a="1"/>
  <c r="K382" i="2" a="1"/>
  <c r="K454" i="2" a="1"/>
  <c r="L269" i="2" a="1"/>
  <c r="M66" i="2" a="1"/>
  <c r="N33" i="2" a="1"/>
  <c r="K299" i="2" a="1"/>
  <c r="K433" i="2" a="1"/>
  <c r="M355" i="2" a="1"/>
  <c r="M222" i="2" a="1"/>
  <c r="L321" i="2" a="1"/>
  <c r="M25" i="2" a="1"/>
  <c r="N52" i="2" a="1"/>
  <c r="K549" i="2" a="1"/>
  <c r="M83" i="2" a="1"/>
  <c r="N422" i="2" a="1"/>
  <c r="K304" i="2" a="1"/>
  <c r="L331" i="2" a="1"/>
  <c r="L123" i="2" a="1"/>
  <c r="L360" i="2" a="1"/>
  <c r="M324" i="2" a="1"/>
  <c r="M24" i="2" a="1"/>
  <c r="N4" i="2" a="1"/>
  <c r="K506" i="2" a="1"/>
  <c r="K417" i="2" a="1"/>
  <c r="M424" i="2" a="1"/>
  <c r="M191" i="2" a="1"/>
  <c r="K88" i="2" a="1"/>
  <c r="M60" i="2" a="1"/>
  <c r="L155" i="2" a="1"/>
  <c r="M283" i="2" a="1"/>
  <c r="M454" i="2" a="1"/>
  <c r="N362" i="2" a="1"/>
  <c r="M72" i="2" a="1"/>
  <c r="L6" i="2" a="1"/>
  <c r="L437" i="2" a="1"/>
  <c r="M103" i="2" a="1"/>
  <c r="N508" i="2" a="1"/>
  <c r="L120" i="2" a="1"/>
  <c r="K272" i="2" a="1"/>
  <c r="N98" i="2" a="1"/>
  <c r="L474" i="2" a="1"/>
  <c r="N355" i="2" a="1"/>
  <c r="N577" i="2" a="1"/>
  <c r="K148" i="2" a="1"/>
  <c r="K258" i="2" a="1"/>
  <c r="N541" i="2" a="1"/>
  <c r="L371" i="2" a="1"/>
  <c r="K36" i="2" a="1"/>
  <c r="K14" i="2" a="1"/>
  <c r="M587" i="2" a="1"/>
  <c r="K462" i="2" a="1"/>
  <c r="L52" i="2" a="1"/>
  <c r="K250" i="2" a="1"/>
  <c r="N588" i="2" a="1"/>
  <c r="N84" i="2" a="1"/>
  <c r="L445" i="2" a="1"/>
  <c r="K241" i="2" a="1"/>
  <c r="N324" i="2" a="1"/>
  <c r="M362" i="2" a="1"/>
  <c r="L373" i="2" a="1"/>
  <c r="M453" i="2" a="1"/>
  <c r="K403" i="2" a="1"/>
  <c r="N25" i="2" a="1"/>
  <c r="N101" i="2" a="1"/>
  <c r="L559" i="2" a="1"/>
  <c r="L189" i="2" a="1"/>
  <c r="N567" i="2" a="1"/>
  <c r="L101" i="2" a="1"/>
  <c r="L161" i="2" a="1"/>
  <c r="M195" i="2" a="1"/>
  <c r="L55" i="2" a="1"/>
  <c r="M560" i="2" a="1"/>
  <c r="L356" i="2" a="1"/>
  <c r="K359" i="2" a="1"/>
  <c r="M269" i="2" a="1"/>
  <c r="N405" i="2" a="1"/>
  <c r="M264" i="2" a="1"/>
  <c r="L589" i="2" a="1"/>
  <c r="M241" i="2" a="1"/>
  <c r="M163" i="2" a="1"/>
  <c r="L7" i="2" a="1"/>
  <c r="K558" i="2" a="1"/>
  <c r="N378" i="2" a="1"/>
  <c r="N504" i="2" a="1"/>
  <c r="N418" i="2" a="1"/>
  <c r="N473" i="2" a="1"/>
  <c r="N579" i="2" a="1"/>
  <c r="K413" i="2" a="1"/>
  <c r="N383" i="2" a="1"/>
  <c r="N398" i="2" a="1"/>
  <c r="N376" i="2" a="1"/>
  <c r="M315" i="2" a="1"/>
  <c r="M50" i="2" a="1"/>
  <c r="M564" i="2" a="1"/>
  <c r="N546" i="2" a="1"/>
  <c r="N49" i="2" a="1"/>
  <c r="M6" i="2" a="1"/>
  <c r="M87" i="2" a="1"/>
  <c r="M430" i="2" a="1"/>
  <c r="M490" i="2" a="1"/>
  <c r="M217" i="2" a="1"/>
  <c r="K94" i="2" a="1"/>
  <c r="M246" i="2" a="1"/>
  <c r="N559" i="2" a="1"/>
  <c r="L148" i="2" a="1"/>
  <c r="N280" i="2" a="1"/>
  <c r="K11" i="2" a="1"/>
  <c r="K318" i="2" a="1"/>
  <c r="N294" i="2" a="1"/>
  <c r="L490" i="2" a="1"/>
  <c r="M487" i="2" a="1"/>
  <c r="M128" i="2" a="1"/>
  <c r="N14" i="2" a="1"/>
  <c r="L436" i="2" a="1"/>
  <c r="M37" i="2" a="1"/>
  <c r="L160" i="2" a="1"/>
  <c r="K513" i="2" a="1"/>
  <c r="K362" i="2" a="1"/>
  <c r="N555" i="2" a="1"/>
  <c r="L541" i="2" a="1"/>
  <c r="M88" i="2" a="1"/>
  <c r="K388" i="2" a="1"/>
  <c r="L454" i="2" a="1"/>
  <c r="K301" i="2" a="1"/>
  <c r="K219" i="2" a="1"/>
  <c r="K95" i="2" a="1"/>
  <c r="N264" i="2" a="1"/>
  <c r="L190" i="2" a="1"/>
  <c r="N273" i="2" a="1"/>
  <c r="L74" i="2" a="1"/>
  <c r="M17" i="2" a="1"/>
  <c r="N436" i="2" a="1"/>
  <c r="M577" i="2" a="1"/>
  <c r="M227" i="2" a="1"/>
  <c r="N155" i="2" a="1"/>
  <c r="M535" i="2" a="1"/>
  <c r="K451" i="2" a="1"/>
  <c r="L103" i="2" a="1"/>
  <c r="M98" i="2" a="1"/>
  <c r="K146" i="2" a="1"/>
  <c r="M589" i="2" a="1"/>
  <c r="N250" i="2" a="1"/>
  <c r="M462" i="2" a="1"/>
  <c r="K355" i="2" a="1"/>
  <c r="N301" i="2" a="1"/>
  <c r="K157" i="2" a="1"/>
  <c r="L275" i="2" a="1"/>
  <c r="L506" i="2" a="1"/>
  <c r="K155" i="2" a="1"/>
  <c r="N46" i="2" a="1"/>
  <c r="K179" i="2" a="1"/>
  <c r="M356" i="2" a="1"/>
  <c r="N127" i="2" a="1"/>
  <c r="L24" i="2" a="1"/>
  <c r="K320" i="2" a="1"/>
  <c r="K553" i="2" a="1"/>
  <c r="M494" i="2" a="1"/>
  <c r="N343" i="2" a="1"/>
  <c r="M16" i="2" a="1"/>
  <c r="L48" i="2" a="1"/>
  <c r="K567" i="2" a="1"/>
  <c r="N136" i="2" a="1"/>
  <c r="K196" i="2" a="1"/>
  <c r="K347" i="2" a="1"/>
  <c r="K246" i="2" a="1"/>
  <c r="M526" i="2" a="1"/>
  <c r="L64" i="2" a="1"/>
  <c r="M289" i="2" a="1"/>
  <c r="L28" i="2" a="1"/>
  <c r="L347" i="2" a="1"/>
  <c r="L205" i="2" a="1"/>
  <c r="L575" i="2" a="1"/>
  <c r="K46" i="2" a="1"/>
  <c r="M489" i="2" a="1"/>
  <c r="N275" i="2" a="1"/>
  <c r="M399" i="2" a="1"/>
  <c r="L149" i="2" a="1"/>
  <c r="L69" i="2" a="1"/>
  <c r="M465" i="2" a="1"/>
  <c r="K356" i="2" a="1"/>
  <c r="L316" i="2" a="1"/>
  <c r="K328" i="2" a="1"/>
  <c r="K202" i="2" a="1"/>
  <c r="L94" i="2" a="1"/>
  <c r="L152" i="2" a="1"/>
  <c r="N16" i="2" a="1"/>
  <c r="K317" i="2" a="1"/>
  <c r="K561" i="2" a="1"/>
  <c r="N172" i="2" a="1"/>
  <c r="N75" i="2" a="1"/>
  <c r="M260" i="2" a="1"/>
  <c r="N256" i="2" a="1"/>
  <c r="L113" i="2" a="1"/>
  <c r="L340" i="2" a="1"/>
  <c r="L426" i="2" a="1"/>
  <c r="N515" i="2" a="1"/>
  <c r="K431" i="2" a="1"/>
  <c r="K340" i="2" a="1"/>
  <c r="N240" i="2" a="1"/>
  <c r="K295" i="2" a="1"/>
  <c r="L241" i="2" a="1"/>
  <c r="L577" i="2" a="1"/>
  <c r="N160" i="2" a="1"/>
  <c r="M360" i="2" a="1"/>
  <c r="K212" i="2" a="1"/>
  <c r="K495" i="2" a="1"/>
  <c r="L142" i="2" a="1"/>
  <c r="L285" i="2" a="1"/>
  <c r="L60" i="2" a="1"/>
  <c r="K174" i="2" a="1"/>
  <c r="K303" i="2" a="1"/>
  <c r="N332" i="2" a="1"/>
  <c r="N439" i="2" a="1"/>
  <c r="N93" i="2" a="1"/>
  <c r="L280" i="2" a="1"/>
  <c r="K366" i="2" a="1"/>
  <c r="K107" i="2" a="1"/>
  <c r="L553" i="2" a="1"/>
  <c r="K550" i="2" a="1"/>
  <c r="M135" i="2" a="1"/>
  <c r="N157" i="2" a="1"/>
  <c r="L463" i="2" a="1"/>
  <c r="K364" i="2" a="1"/>
  <c r="M592" i="2" a="1"/>
  <c r="L281" i="2" a="1"/>
  <c r="K177" i="2" a="1"/>
  <c r="K310" i="2" a="1"/>
  <c r="L164" i="2" a="1"/>
  <c r="L576" i="2" a="1"/>
  <c r="L307" i="2" a="1"/>
  <c r="L256" i="2" a="1"/>
  <c r="M167" i="2" a="1"/>
  <c r="M461" i="2" a="1"/>
  <c r="K15" i="2" a="1"/>
  <c r="K256" i="2" a="1"/>
  <c r="N108" i="2" a="1"/>
  <c r="L184" i="2" a="1"/>
  <c r="K477" i="2" a="1"/>
  <c r="N318" i="2" a="1"/>
  <c r="K535" i="2" a="1"/>
  <c r="N193" i="2" a="1"/>
  <c r="K87" i="2" a="1"/>
  <c r="K411" i="2" a="1"/>
  <c r="N344" i="2" a="1"/>
  <c r="N360" i="2" a="1"/>
  <c r="K346" i="2" a="1"/>
  <c r="N347" i="2" a="1"/>
  <c r="L345" i="2" a="1"/>
  <c r="L416" i="2" a="1"/>
  <c r="L561" i="2" a="1"/>
  <c r="N550" i="2" a="1"/>
  <c r="K512" i="2" a="1"/>
  <c r="N107" i="2" a="1"/>
  <c r="K112" i="2" a="1"/>
  <c r="N527" i="2" a="1"/>
  <c r="K463" i="2" a="1"/>
  <c r="N456" i="2" a="1"/>
  <c r="L43" i="2" a="1"/>
  <c r="K405" i="2" a="1"/>
  <c r="K494" i="2" a="1"/>
  <c r="N164" i="2" a="1"/>
  <c r="N129" i="2" a="1"/>
  <c r="L273" i="2" a="1"/>
  <c r="M65" i="2" a="1"/>
  <c r="L446" i="2" a="1"/>
  <c r="K465" i="2" a="1"/>
  <c r="K515" i="2" a="1"/>
  <c r="N63" i="2" a="1"/>
  <c r="M549" i="2" a="1"/>
  <c r="M61" i="2" a="1"/>
  <c r="M212" i="2" a="1"/>
  <c r="L111" i="2" a="1"/>
  <c r="N282" i="2" a="1"/>
  <c r="L166" i="2" a="1"/>
  <c r="N487" i="2" a="1"/>
  <c r="N67" i="2" a="1"/>
  <c r="L526" i="2" a="1"/>
  <c r="M474" i="2" a="1"/>
  <c r="N3" i="2" a="1"/>
  <c r="M179" i="2" a="1"/>
  <c r="L221" i="2" a="1"/>
  <c r="M59" i="2" a="1"/>
  <c r="N454" i="2" a="1"/>
  <c r="M218" i="2" a="1"/>
  <c r="N22" i="2" a="1"/>
  <c r="M506" i="2" a="1"/>
  <c r="K575" i="2" a="1"/>
  <c r="L187" i="2" a="1"/>
  <c r="N158" i="2" a="1"/>
  <c r="N286" i="2" a="1"/>
  <c r="M306" i="2" a="1"/>
  <c r="K64" i="2" a="1"/>
  <c r="L388" i="2" a="1"/>
  <c r="K181" i="2" a="1"/>
  <c r="L441" i="2" a="1"/>
  <c r="L539" i="2" a="1"/>
  <c r="N122" i="2" a="1"/>
  <c r="M161" i="2" a="1"/>
  <c r="M384" i="2" a="1"/>
  <c r="K345" i="2" a="1"/>
  <c r="K220" i="2" a="1"/>
  <c r="N11" i="2" a="1"/>
  <c r="N495" i="2" a="1"/>
  <c r="L451" i="2" a="1"/>
  <c r="K91" i="2" a="1"/>
  <c r="K441" i="2" a="1"/>
  <c r="M193" i="2" a="1"/>
  <c r="N74" i="2" a="1"/>
  <c r="L534" i="2" a="1"/>
  <c r="L32" i="2" a="1"/>
  <c r="K192" i="2" a="1"/>
  <c r="L399" i="2" a="1"/>
  <c r="K144" i="2" a="1"/>
  <c r="L566" i="2" a="1"/>
  <c r="M32" i="2" a="1"/>
  <c r="N331" i="2" a="1"/>
  <c r="L564" i="2" a="1"/>
  <c r="L425" i="2" a="1"/>
  <c r="K437" i="2" a="1"/>
  <c r="M164" i="2" a="1"/>
  <c r="N141" i="2" a="1"/>
  <c r="N152" i="2" a="1"/>
  <c r="N220" i="2" a="1"/>
  <c r="L497" i="2" a="1"/>
  <c r="M46" i="2" a="1"/>
  <c r="N60" i="2" a="1"/>
  <c r="K268" i="2" a="1"/>
  <c r="L467" i="2" a="1"/>
  <c r="L310" i="2" a="1"/>
  <c r="L414" i="2" a="1"/>
  <c r="K222" i="2" a="1"/>
  <c r="K422" i="2" a="1"/>
  <c r="M382" i="2" a="1"/>
  <c r="K497" i="2" a="1"/>
  <c r="L226" i="2" a="1"/>
  <c r="M455" i="2" a="1"/>
  <c r="M347" i="2" a="1"/>
  <c r="L49" i="2" a="1"/>
  <c r="N453" i="2" a="1"/>
  <c r="N142" i="2" a="1"/>
  <c r="L370" i="2" a="1"/>
  <c r="N238" i="2" a="1"/>
  <c r="K7" i="2" a="1"/>
  <c r="N103" i="2" a="1"/>
  <c r="N219" i="2" a="1"/>
  <c r="L72" i="2" a="1"/>
  <c r="M409" i="2" a="1"/>
  <c r="N207" i="2" a="1"/>
  <c r="K76" i="2" a="1"/>
  <c r="L3" i="2" a="1"/>
  <c r="K283" i="2" a="1"/>
  <c r="K315" i="2" a="1"/>
  <c r="N557" i="2" a="1"/>
  <c r="L329" i="2" a="1"/>
  <c r="K316" i="2" a="1"/>
  <c r="M413" i="2" a="1"/>
  <c r="L429" i="2" a="1"/>
  <c r="M402" i="2" a="1"/>
  <c r="L315" i="2" a="1"/>
  <c r="K72" i="2" a="1"/>
  <c r="L83" i="2" a="1"/>
  <c r="M371" i="2" a="1"/>
  <c r="K541" i="2" a="1"/>
  <c r="K126" i="2" a="1"/>
  <c r="M575" i="2" a="1"/>
  <c r="K189" i="2" a="1"/>
  <c r="M226" i="2" a="1"/>
  <c r="L33" i="2" a="1"/>
  <c r="N303" i="2" a="1"/>
  <c r="L115" i="2" a="1"/>
  <c r="N64" i="2" a="1"/>
  <c r="N83" i="2" a="1"/>
  <c r="L95" i="2" a="1"/>
  <c r="L398" i="2" a="1"/>
  <c r="N530" i="2" a="1"/>
  <c r="M299" i="2" a="1"/>
  <c r="K360" i="2" a="1"/>
  <c r="K218" i="2" a="1"/>
  <c r="K264" i="2" a="1"/>
  <c r="N558" i="2" a="1"/>
  <c r="K160" i="2" a="1"/>
  <c r="N88" i="2" a="1"/>
  <c r="L492" i="2" a="1"/>
  <c r="N149" i="2" a="1"/>
  <c r="L16" i="2" a="1"/>
  <c r="N30" i="2" a="1"/>
  <c r="M349" i="2" a="1"/>
  <c r="K66" i="2" a="1"/>
  <c r="M277" i="2" a="1"/>
  <c r="M513" i="2" a="1"/>
  <c r="M155" i="2" a="1"/>
  <c r="L220" i="2" a="1"/>
  <c r="L162" i="2" a="1"/>
  <c r="K571" i="2" a="1"/>
  <c r="K132" i="2" a="1"/>
  <c r="K491" i="2" a="1"/>
  <c r="L560" i="2" a="1"/>
  <c r="N522" i="2" a="1"/>
  <c r="K3" i="2" a="1"/>
  <c r="L430" i="2" a="1"/>
  <c r="M541" i="2" a="1"/>
  <c r="M64" i="2" a="1"/>
  <c r="M509" i="2" a="1"/>
  <c r="L181" i="2" a="1"/>
  <c r="K557" i="2" a="1"/>
  <c r="M334" i="2" a="1"/>
  <c r="L530" i="2" a="1"/>
  <c r="K52" i="2" a="1"/>
  <c r="M338" i="2" a="1"/>
  <c r="K58" i="2" a="1"/>
  <c r="M342" i="2" a="1"/>
  <c r="K430" i="2" a="1"/>
  <c r="K539" i="2" a="1"/>
  <c r="N249" i="2" a="1"/>
  <c r="N535" i="2" a="1"/>
  <c r="L375" i="2" a="1"/>
  <c r="N311" i="2" a="1"/>
  <c r="L342" i="2" a="1"/>
  <c r="N148" i="2" a="1"/>
  <c r="K276" i="2" a="1"/>
  <c r="K163" i="2" a="1"/>
  <c r="K22" i="2" a="1"/>
  <c r="M11" i="2" a="1"/>
  <c r="L157" i="2" a="1"/>
  <c r="N509" i="2" a="1"/>
  <c r="L551" i="2" a="1"/>
  <c r="M187" i="2" a="1"/>
  <c r="K69" i="2" a="1"/>
  <c r="L2" i="2" a="1"/>
  <c r="M442" i="2" a="1"/>
  <c r="M273" i="2" a="1"/>
  <c r="L456" i="2" a="1"/>
  <c r="L547" i="2" a="1"/>
  <c r="M56" i="2" a="1"/>
  <c r="N281" i="2" a="1"/>
  <c r="M546" i="2" a="1"/>
  <c r="K273" i="2" a="1"/>
  <c r="M578" i="2" a="1"/>
  <c r="N109" i="2" a="1"/>
  <c r="M7" i="2" a="1"/>
  <c r="L294" i="2" a="1"/>
  <c r="N92" i="2" a="1"/>
  <c r="N364" i="2" a="1"/>
  <c r="L268" i="2" a="1"/>
  <c r="K55" i="2" a="1"/>
  <c r="L334" i="2" a="1"/>
  <c r="N359" i="2" a="1"/>
  <c r="L194" i="2" a="1"/>
  <c r="L222" i="2" a="1"/>
  <c r="N445" i="2" a="1"/>
  <c r="N246" i="2" a="1"/>
  <c r="M389" i="2" a="1"/>
  <c r="K83" i="2" a="1"/>
  <c r="N132" i="2" a="1"/>
  <c r="L362" i="2" a="1"/>
  <c r="K2" i="2" a="1"/>
  <c r="N314" i="2" a="1"/>
  <c r="L324" i="2" a="1"/>
  <c r="L491" i="2" a="1"/>
  <c r="M571" i="2" a="1"/>
  <c r="N6" i="2" a="1"/>
  <c r="M101" i="2" a="1"/>
  <c r="M414" i="2" a="1"/>
  <c r="N329" i="2" a="1"/>
  <c r="M537" i="2" a="1"/>
  <c r="M129" i="2" a="1"/>
  <c r="M194" i="2" a="1"/>
  <c r="M446" i="2" a="1"/>
  <c r="K534" i="2" a="1"/>
  <c r="M267" i="2" a="1"/>
  <c r="M151" i="2" a="1"/>
  <c r="M559" i="2" a="1"/>
  <c r="N489" i="2" a="1"/>
  <c r="L207" i="2" a="1"/>
  <c r="N2" i="2" a="1"/>
  <c r="L380" i="2" a="1"/>
  <c r="M38" i="2" a="1"/>
  <c r="N81" i="2" a="1"/>
  <c r="N573" i="2" a="1"/>
  <c r="K450" i="2" a="1"/>
  <c r="L477" i="2" a="1"/>
  <c r="L203" i="2" a="1"/>
  <c r="K453" i="2" a="1"/>
  <c r="M244" i="2" a="1"/>
  <c r="N123" i="2" a="1"/>
  <c r="K243" i="2" a="1"/>
  <c r="K98" i="2" a="1"/>
  <c r="M316" i="2" a="1"/>
  <c r="M158" i="2" a="1"/>
  <c r="K4" i="2" a="1"/>
  <c r="K436" i="2" a="1"/>
  <c r="N58" i="2" a="1"/>
  <c r="N203" i="2" a="1"/>
  <c r="M345" i="2" a="1"/>
  <c r="L303" i="2" a="1"/>
  <c r="M495" i="2" a="1"/>
  <c r="M326" i="2" a="1"/>
  <c r="N194" i="2" a="1"/>
  <c r="K115" i="2" a="1"/>
  <c r="M451" i="2" a="1"/>
  <c r="M160" i="2" a="1"/>
  <c r="K288" i="2" a="1"/>
  <c r="N95" i="2" a="1"/>
  <c r="M30" i="2" a="1"/>
  <c r="N242" i="2" a="1"/>
  <c r="K149" i="2" a="1"/>
  <c r="M574" i="2" a="1"/>
  <c r="N350" i="2" a="1"/>
  <c r="K294" i="2" a="1"/>
  <c r="K527" i="2" a="1"/>
  <c r="N549" i="2" a="1"/>
  <c r="L359" i="2" a="1"/>
  <c r="L289" i="2" a="1"/>
  <c r="L453" i="2" a="1"/>
  <c r="M332" i="2" a="1"/>
  <c r="L455" i="2" a="1"/>
  <c r="L151" i="2" a="1"/>
  <c r="M331" i="2" a="1"/>
  <c r="K409" i="2" a="1"/>
  <c r="M593" i="2" a="1"/>
  <c r="N346" i="2" a="1"/>
  <c r="K455" i="2" a="1"/>
  <c r="M374" i="2" a="1"/>
  <c r="L100" i="2" a="1"/>
  <c r="K505" i="2" a="1"/>
  <c r="N501" i="2" a="1"/>
  <c r="K568" i="2" a="1"/>
  <c r="N201" i="2" a="1"/>
  <c r="N112" i="2" a="1"/>
  <c r="L591" i="2" a="1"/>
  <c r="L21" i="2" a="1"/>
  <c r="N261" i="2" a="1"/>
  <c r="L465" i="2" a="1"/>
  <c r="L473" i="2" a="1"/>
  <c r="L501" i="2" a="1"/>
  <c r="L475" i="2" a="1"/>
  <c r="M97" i="2" a="1"/>
  <c r="M380" i="2" a="1"/>
  <c r="K63" i="2" a="1"/>
  <c r="K427" i="2" a="1"/>
  <c r="L383" i="2" a="1"/>
  <c r="M202" i="2" a="1"/>
  <c r="M71" i="2" a="1"/>
  <c r="L500" i="2" a="1"/>
  <c r="K424" i="2" a="1"/>
  <c r="K401" i="2" a="1"/>
  <c r="K13" i="2" a="1"/>
  <c r="N187" i="2" a="1"/>
  <c r="N37" i="2" a="1"/>
  <c r="K400" i="2" a="1"/>
  <c r="L286" i="2" a="1"/>
  <c r="N351" i="2" a="1"/>
  <c r="K329" i="2" a="1"/>
  <c r="N188" i="2" a="1"/>
  <c r="L174" i="2" a="1"/>
  <c r="K67" i="2" a="1"/>
  <c r="K489" i="2" a="1"/>
  <c r="M437" i="2" a="1"/>
  <c r="L219" i="2" a="1"/>
  <c r="L191" i="2" a="1"/>
  <c r="L374" i="2" a="1"/>
  <c r="N206" i="2" a="1"/>
  <c r="M139" i="2" a="1"/>
  <c r="L197" i="2" a="1"/>
  <c r="N475" i="2" a="1"/>
  <c r="K19" i="2" a="1"/>
  <c r="L233" i="2" a="1"/>
  <c r="L110" i="2" a="1"/>
  <c r="M398" i="2" a="1"/>
  <c r="M149" i="2" a="1"/>
  <c r="K186" i="2" a="1"/>
  <c r="K30" i="2" a="1"/>
  <c r="L248" i="2" a="1"/>
  <c r="N65" i="2" a="1"/>
  <c r="K139" i="2" a="1"/>
  <c r="M242" i="2" a="1"/>
  <c r="L106" i="2" a="1"/>
  <c r="L424" i="2" a="1"/>
  <c r="M279" i="2" a="1"/>
  <c r="M233" i="2" a="1"/>
  <c r="M140" i="2" a="1"/>
  <c r="L319" i="2" a="1"/>
  <c r="L239" i="2" a="1"/>
  <c r="N270" i="2" a="1"/>
  <c r="N232" i="2" a="1"/>
  <c r="N587" i="2" a="1"/>
  <c r="L133" i="2" a="1"/>
  <c r="L508" i="2" a="1"/>
  <c r="L513" i="2" a="1"/>
  <c r="K474" i="2" a="1"/>
  <c r="K351" i="2" a="1"/>
  <c r="M221" i="2" a="1"/>
  <c r="L384" i="2" a="1"/>
  <c r="K522" i="2" a="1"/>
  <c r="M497" i="2" a="1"/>
  <c r="M405" i="2" a="1"/>
  <c r="N76" i="2" a="1"/>
  <c r="N366" i="2" a="1"/>
  <c r="K93" i="2" a="1"/>
  <c r="K464" i="2" a="1"/>
  <c r="M517" i="2" a="1"/>
  <c r="M569" i="2" a="1"/>
  <c r="K277" i="2" a="1"/>
  <c r="L186" i="2" a="1"/>
  <c r="N533" i="2" a="1"/>
  <c r="M157" i="2" a="1"/>
  <c r="N205" i="2" a="1"/>
  <c r="N248" i="2" a="1"/>
  <c r="L313" i="2" a="1"/>
  <c r="N413" i="2" a="1"/>
  <c r="L546" i="2" a="1"/>
  <c r="N569" i="2" a="1"/>
  <c r="M572" i="2" a="1"/>
  <c r="N197" i="2" a="1"/>
  <c r="L257" i="2" a="1"/>
  <c r="K343" i="2" a="1"/>
  <c r="N133" i="2" a="1"/>
  <c r="M522" i="2" a="1"/>
  <c r="N534" i="2" a="1"/>
  <c r="N32" i="2" a="1"/>
  <c r="K17" i="2" a="1"/>
  <c r="K270" i="2" a="1"/>
  <c r="L364" i="2" a="1"/>
  <c r="L413" i="2" a="1"/>
  <c r="N229" i="2" a="1"/>
  <c r="K108" i="2" a="1"/>
  <c r="N121" i="2" a="1"/>
  <c r="N293" i="2" a="1"/>
  <c r="K323" i="2" a="1"/>
  <c r="K415" i="2" a="1"/>
  <c r="M257" i="2" a="1"/>
  <c r="L70" i="2" a="1"/>
  <c r="M225" i="2" a="1"/>
  <c r="M475" i="2" a="1"/>
  <c r="N417" i="2" a="1"/>
  <c r="K308" i="2" a="1"/>
  <c r="N309" i="2" a="1"/>
  <c r="K57" i="2" a="1"/>
  <c r="L254" i="2" a="1"/>
  <c r="N408" i="2" a="1"/>
  <c r="N407" i="2" a="1"/>
  <c r="K263" i="2" a="1"/>
  <c r="K210" i="2" a="1"/>
  <c r="K125" i="2" a="1"/>
  <c r="N529" i="2" a="1"/>
  <c r="N258" i="2" a="1"/>
  <c r="L405" i="2" a="1"/>
  <c r="L468" i="2" a="1"/>
  <c r="L30" i="2" a="1"/>
  <c r="K490" i="2" a="1"/>
  <c r="K269" i="2" a="1"/>
  <c r="M4" i="2" a="1"/>
  <c r="L75" i="2" a="1"/>
  <c r="N537" i="2" a="1"/>
  <c r="K84" i="2" a="1"/>
  <c r="L378" i="2" a="1"/>
  <c r="M278" i="2" a="1"/>
  <c r="K408" i="2" a="1"/>
  <c r="M488" i="2" a="1"/>
  <c r="N553" i="2" a="1"/>
  <c r="M229" i="2" a="1"/>
  <c r="K48" i="2" a="1"/>
  <c r="L172" i="2" a="1"/>
  <c r="K337" i="2" a="1"/>
  <c r="L427" i="2" a="1"/>
  <c r="M263" i="2" a="1"/>
  <c r="L443" i="2" a="1"/>
  <c r="N467" i="2" a="1"/>
  <c r="M2" i="2" a="1"/>
  <c r="N485" i="2" a="1"/>
  <c r="K142" i="2" a="1"/>
  <c r="K499" i="2" a="1"/>
  <c r="K370" i="2" a="1"/>
  <c r="M553" i="2" a="1"/>
  <c r="K59" i="2" a="1"/>
  <c r="N448" i="2" a="1"/>
  <c r="M456" i="2" a="1"/>
  <c r="M189" i="2" a="1"/>
  <c r="M261" i="2" a="1"/>
  <c r="M48" i="2" a="1"/>
  <c r="K556" i="2" a="1"/>
  <c r="N102" i="2" a="1"/>
  <c r="N591" i="2" a="1"/>
  <c r="K518" i="2" a="1"/>
  <c r="M591" i="2" a="1"/>
  <c r="K449" i="2" a="1"/>
  <c r="K338" i="2" a="1"/>
  <c r="K442" i="2" a="1"/>
  <c r="K551" i="2" a="1"/>
  <c r="M22" i="2" a="1"/>
  <c r="N393" i="2" a="1"/>
  <c r="M114" i="2" a="1"/>
  <c r="K501" i="2" a="1"/>
  <c r="M311" i="2" a="1"/>
  <c r="N349" i="2" a="1"/>
  <c r="K38" i="2" a="1"/>
  <c r="N474" i="2" a="1"/>
  <c r="M74" i="2" a="1"/>
  <c r="M19" i="2" a="1"/>
  <c r="K584" i="2" a="1"/>
  <c r="K309" i="2" a="1"/>
  <c r="N233" i="2" a="1"/>
  <c r="N409" i="2" a="1"/>
  <c r="M534" i="2" a="1"/>
  <c r="N114" i="2" a="1"/>
  <c r="L366" i="2" a="1"/>
  <c r="N574" i="2" a="1"/>
  <c r="M472" i="2" a="1"/>
  <c r="N296" i="2" a="1"/>
  <c r="L552" i="2" a="1"/>
  <c r="M404" i="2" a="1"/>
  <c r="K432" i="2" a="1"/>
  <c r="L31" i="2" a="1"/>
  <c r="L404" i="2" a="1"/>
  <c r="N276" i="2" a="1"/>
  <c r="M353" i="2" a="1"/>
  <c r="L391" i="2" a="1"/>
  <c r="K77" i="2" a="1"/>
  <c r="N488" i="2" a="1"/>
  <c r="L568" i="2" a="1"/>
  <c r="L147" i="2" a="1"/>
  <c r="L438" i="2" a="1"/>
  <c r="M434" i="2" a="1"/>
  <c r="K105" i="2" a="1"/>
  <c r="L130" i="2" a="1"/>
  <c r="N540" i="2" a="1"/>
  <c r="L504" i="2" a="1"/>
  <c r="N139" i="2" a="1"/>
  <c r="M511" i="2" a="1"/>
  <c r="N313" i="2" a="1"/>
  <c r="K208" i="2" a="1"/>
  <c r="M119" i="2" a="1"/>
  <c r="K562" i="2" a="1"/>
  <c r="K206" i="2" a="1"/>
  <c r="N323" i="2" a="1"/>
  <c r="M159" i="2" a="1"/>
  <c r="L330" i="2" a="1"/>
  <c r="K96" i="2" a="1"/>
  <c r="N297" i="2" a="1"/>
  <c r="L215" i="2" a="1"/>
  <c r="K330" i="2" a="1"/>
  <c r="K201" i="2" a="1"/>
  <c r="L247" i="2" a="1"/>
  <c r="L582" i="2" a="1"/>
  <c r="K573" i="2" a="1"/>
  <c r="M552" i="2" a="1"/>
  <c r="K570" i="2" a="1"/>
  <c r="K443" i="2" a="1"/>
  <c r="L516" i="2" a="1"/>
  <c r="M427" i="2" a="1"/>
  <c r="M457" i="2" a="1"/>
  <c r="K358" i="2" a="1"/>
  <c r="L39" i="2" a="1"/>
  <c r="K173" i="2" a="1"/>
  <c r="K521" i="2" a="1"/>
  <c r="L9" i="2" a="1"/>
  <c r="M245" i="2" a="1"/>
  <c r="K154" i="2" a="1"/>
  <c r="K244" i="2" a="1"/>
  <c r="N437" i="2" a="1"/>
  <c r="M445" i="2" a="1"/>
  <c r="L507" i="2" a="1"/>
  <c r="M426" i="2" a="1"/>
  <c r="N226" i="2" a="1"/>
  <c r="M248" i="2" a="1"/>
  <c r="M224" i="2" a="1"/>
  <c r="K349" i="2" a="1"/>
  <c r="N578" i="2" a="1"/>
  <c r="L104" i="2" a="1"/>
  <c r="K385" i="2" a="1"/>
  <c r="M251" i="2" a="1"/>
  <c r="L304" i="2" a="1"/>
  <c r="L382" i="2" a="1"/>
  <c r="K152" i="2" a="1"/>
  <c r="K313" i="2" a="1"/>
  <c r="M243" i="2" a="1"/>
  <c r="K221" i="2" a="1"/>
  <c r="M288" i="2" a="1"/>
  <c r="L355" i="2" a="1"/>
  <c r="K120" i="2" a="1"/>
  <c r="L314" i="2" a="1"/>
  <c r="M377" i="2" a="1"/>
  <c r="M86" i="2" a="1"/>
  <c r="K502" i="2" a="1"/>
  <c r="K164" i="2" a="1"/>
  <c r="L562" i="2" a="1"/>
  <c r="N284" i="2" a="1"/>
  <c r="K190" i="2" a="1"/>
  <c r="N237" i="2" a="1"/>
  <c r="N502" i="2" a="1"/>
  <c r="L550" i="2" a="1"/>
  <c r="K418" i="2" a="1"/>
  <c r="K229" i="2" a="1"/>
  <c r="M480" i="2" a="1"/>
  <c r="N491" i="2" a="1"/>
  <c r="K61" i="2" a="1"/>
  <c r="N217" i="2" a="1"/>
  <c r="L59" i="2" a="1"/>
  <c r="N400" i="2" a="1"/>
  <c r="L288" i="2" a="1"/>
  <c r="N134" i="2" a="1"/>
  <c r="M527" i="2" a="1"/>
  <c r="L136" i="2" a="1"/>
  <c r="L134" i="2" a="1"/>
  <c r="K530" i="2" a="1"/>
  <c r="K248" i="2" a="1"/>
  <c r="M481" i="2" a="1"/>
  <c r="L122" i="2" a="1"/>
  <c r="N532" i="2" a="1"/>
  <c r="M254" i="2" a="1"/>
  <c r="L180" i="2" a="1"/>
  <c r="L145" i="2" a="1"/>
  <c r="L354" i="2" a="1"/>
  <c r="N589" i="2" a="1"/>
  <c r="K286" i="2" a="1"/>
  <c r="M182" i="2" a="1"/>
  <c r="N506" i="2" a="1"/>
  <c r="L318" i="2" a="1"/>
  <c r="M275" i="2" a="1"/>
  <c r="L127" i="2" a="1"/>
  <c r="K81" i="2" a="1"/>
  <c r="L284" i="2" a="1"/>
  <c r="N392" i="2" a="1"/>
  <c r="M468" i="2" a="1"/>
  <c r="M417" i="2" a="1"/>
  <c r="N230" i="2" a="1"/>
  <c r="M450" i="2" a="1"/>
  <c r="M239" i="2" a="1"/>
  <c r="L518" i="2" a="1"/>
  <c r="M344" i="2" a="1"/>
  <c r="L485" i="2" a="1"/>
  <c r="N341" i="2" a="1"/>
  <c r="K200" i="2" a="1"/>
  <c r="M201" i="2" a="1"/>
  <c r="L448" i="2" a="1"/>
  <c r="N43" i="2" a="1"/>
  <c r="N483" i="2" a="1"/>
  <c r="K271" i="2" a="1"/>
  <c r="K410" i="2" a="1"/>
  <c r="M210" i="2" a="1"/>
  <c r="K31" i="2" a="1"/>
  <c r="K280" i="2" a="1"/>
  <c r="K548" i="2" a="1"/>
  <c r="K65" i="2" a="1"/>
  <c r="N135" i="2" a="1"/>
  <c r="L279" i="2" a="1"/>
  <c r="L584" i="2" a="1"/>
  <c r="K590" i="2" a="1"/>
  <c r="L170" i="2" a="1"/>
  <c r="L5" i="2" a="1"/>
  <c r="L563" i="2" a="1"/>
  <c r="K466" i="2" a="1"/>
  <c r="K372" i="2" a="1"/>
  <c r="L230" i="2" a="1"/>
  <c r="L569" i="2" a="1"/>
  <c r="M121" i="2" a="1"/>
  <c r="L92" i="2" a="1"/>
  <c r="N590" i="2" a="1"/>
  <c r="K80" i="2" a="1"/>
  <c r="L270" i="2" a="1"/>
  <c r="M266" i="2" a="1"/>
  <c r="L235" i="2" a="1"/>
  <c r="M40" i="2" a="1"/>
  <c r="L312" i="2" a="1"/>
  <c r="N124" i="2" a="1"/>
  <c r="L434" i="2" a="1"/>
  <c r="K476" i="2" a="1"/>
  <c r="K377" i="2" a="1"/>
  <c r="M126" i="2" a="1"/>
  <c r="N80" i="2" a="1"/>
  <c r="K322" i="2" a="1"/>
  <c r="L102" i="2" a="1"/>
  <c r="M43" i="2" a="1"/>
  <c r="M256" i="2" a="1"/>
  <c r="K580" i="2" a="1"/>
  <c r="K102" i="2" a="1"/>
  <c r="N580" i="2" a="1"/>
  <c r="L447" i="2" a="1"/>
  <c r="K90" i="2" a="1"/>
  <c r="N228" i="2" a="1"/>
  <c r="N493" i="2" a="1"/>
  <c r="N300" i="2" a="1"/>
  <c r="N85" i="2" a="1"/>
  <c r="M483" i="2" a="1"/>
  <c r="L470" i="2" a="1"/>
  <c r="M181" i="2" a="1"/>
  <c r="K537" i="2" a="1"/>
  <c r="M411" i="2" a="1"/>
  <c r="M63" i="2" a="1"/>
  <c r="M112" i="2" a="1"/>
  <c r="N316" i="2" a="1"/>
  <c r="N517" i="2" a="1"/>
  <c r="K150" i="2" a="1"/>
  <c r="M533" i="2" a="1"/>
  <c r="K117" i="2" a="1"/>
  <c r="M49" i="2" a="1"/>
  <c r="N315" i="2" a="1"/>
  <c r="L525" i="2" a="1"/>
  <c r="L557" i="2" a="1"/>
  <c r="L283" i="2" a="1"/>
  <c r="M346" i="2" a="1"/>
  <c r="N551" i="2" a="1"/>
  <c r="M435" i="2" a="1"/>
  <c r="L306" i="2" a="1"/>
  <c r="N377" i="2" a="1"/>
  <c r="M107" i="2" a="1"/>
  <c r="L422" i="2" a="1"/>
  <c r="N554" i="2" a="1"/>
  <c r="N57" i="2" a="1"/>
  <c r="N195" i="2" a="1"/>
  <c r="K332" i="2" a="1"/>
  <c r="K517" i="2" a="1"/>
  <c r="M554" i="2" a="1"/>
  <c r="M343" i="2" a="1"/>
  <c r="N482" i="2" a="1"/>
  <c r="K175" i="2" a="1"/>
  <c r="L482" i="2" a="1"/>
  <c r="L96" i="2" a="1"/>
  <c r="K133" i="2" a="1"/>
  <c r="K324" i="2" a="1"/>
  <c r="L267" i="2" a="1"/>
  <c r="K566" i="2" a="1"/>
  <c r="M196" i="2" a="1"/>
  <c r="M276" i="2" a="1"/>
  <c r="K285" i="2" a="1"/>
  <c r="N50" i="2" a="1"/>
  <c r="M473" i="2" a="1"/>
  <c r="L259" i="2" a="1"/>
  <c r="M463" i="2" a="1"/>
  <c r="L224" i="2" a="1"/>
  <c r="K439" i="2" a="1"/>
  <c r="N247" i="2" a="1"/>
  <c r="L431" i="2" a="1"/>
  <c r="K172" i="2" a="1"/>
  <c r="K257" i="2" a="1"/>
  <c r="L523" i="2" a="1"/>
  <c r="M295" i="2" a="1"/>
  <c r="K187" i="2" a="1"/>
  <c r="N269" i="2" a="1"/>
  <c r="M378" i="2" a="1"/>
  <c r="L276" i="2" a="1"/>
  <c r="N389" i="2" a="1"/>
  <c r="M529" i="2" a="1"/>
  <c r="N100" i="2" a="1"/>
  <c r="K100" i="2" a="1"/>
  <c r="L512" i="2" a="1"/>
  <c r="L41" i="2" a="1"/>
  <c r="L116" i="2" a="1"/>
  <c r="K167" i="2" a="1"/>
  <c r="N15" i="2" a="1"/>
  <c r="K376" i="2" a="1"/>
  <c r="K8" i="2" a="1"/>
  <c r="M41" i="2" a="1"/>
  <c r="L212" i="2" a="1"/>
  <c r="K547" i="2" a="1"/>
  <c r="M492" i="2" a="1"/>
  <c r="L129" i="2" a="1"/>
  <c r="L167" i="2" a="1"/>
  <c r="N147" i="2" a="1"/>
  <c r="M573" i="2" a="1"/>
  <c r="N51" i="2" a="1"/>
  <c r="M211" i="2" a="1"/>
  <c r="M20" i="2" a="1"/>
  <c r="K131" i="2" a="1"/>
  <c r="N496" i="2" a="1"/>
  <c r="K507" i="2" a="1"/>
  <c r="L369" i="2" a="1"/>
  <c r="L317" i="2" a="1"/>
  <c r="K134" i="2" a="1"/>
  <c r="K106" i="2" a="1"/>
  <c r="M548" i="2" a="1"/>
  <c r="M390" i="2" a="1"/>
  <c r="M493" i="2" a="1"/>
  <c r="L44" i="2" a="1"/>
  <c r="L352" i="2" a="1"/>
  <c r="M412" i="2" a="1"/>
  <c r="M586" i="2" a="1"/>
  <c r="L237" i="2" a="1"/>
  <c r="M234" i="2" a="1"/>
  <c r="N251" i="2" a="1"/>
  <c r="N117" i="2" a="1"/>
  <c r="M144" i="2" a="1"/>
  <c r="M259" i="2" a="1"/>
  <c r="L19" i="2" a="1"/>
  <c r="N214" i="2" a="1"/>
  <c r="M29" i="2" a="1"/>
  <c r="M363" i="2" a="1"/>
  <c r="L225" i="2" a="1"/>
  <c r="M333" i="2" a="1"/>
  <c r="N104" i="2" a="1"/>
  <c r="L363" i="2" a="1"/>
  <c r="N285" i="2" a="1"/>
  <c r="K32" i="2" a="1"/>
  <c r="K552" i="2" a="1"/>
  <c r="M381" i="2" a="1"/>
  <c r="K265" i="2" a="1"/>
  <c r="K237" i="2" a="1"/>
  <c r="N208" i="2" a="1"/>
  <c r="N308" i="2" a="1"/>
  <c r="M62" i="2" a="1"/>
  <c r="L308" i="2" a="1"/>
  <c r="L432" i="2" a="1"/>
  <c r="M45" i="2" a="1"/>
  <c r="N307" i="2" a="1"/>
  <c r="M339" i="2" a="1"/>
  <c r="M449" i="2" a="1"/>
  <c r="L137" i="2" a="1"/>
  <c r="L367" i="2" a="1"/>
  <c r="K44" i="2" a="1"/>
  <c r="N244" i="2" a="1"/>
  <c r="N162" i="2" a="1"/>
  <c r="L311" i="2" a="1"/>
  <c r="L265" i="2" a="1"/>
  <c r="L97" i="2" a="1"/>
  <c r="L93" i="2" a="1"/>
  <c r="K141" i="2" a="1"/>
  <c r="L505" i="2" a="1"/>
  <c r="L77" i="2" a="1"/>
  <c r="N518" i="2" a="1"/>
  <c r="M142" i="2" a="1"/>
  <c r="M123" i="2" a="1"/>
  <c r="L402" i="2" a="1"/>
  <c r="M545" i="2" a="1"/>
  <c r="K111" i="2" a="1"/>
  <c r="L326" i="2" a="1"/>
  <c r="L227" i="2" a="1"/>
  <c r="L495" i="2" a="1"/>
  <c r="N111" i="2" a="1"/>
  <c r="M567" i="2" a="1"/>
  <c r="M556" i="2" a="1"/>
  <c r="M205" i="2" a="1"/>
  <c r="K380" i="2" a="1"/>
  <c r="K516" i="2" a="1"/>
  <c r="N442" i="2" a="1"/>
  <c r="K475" i="2" a="1"/>
  <c r="L260" i="2" a="1"/>
  <c r="K331" i="2" a="1"/>
  <c r="L214" i="2" a="1"/>
  <c r="N369" i="2" a="1"/>
  <c r="L202" i="2" a="1"/>
  <c r="K259" i="2" a="1"/>
  <c r="L299" i="2" a="1"/>
  <c r="L91" i="2" a="1"/>
  <c r="M76" i="2" a="1"/>
  <c r="K371" i="2" a="1"/>
  <c r="K314" i="2" a="1"/>
  <c r="K24" i="2" a="1"/>
  <c r="L249" i="2" a="1"/>
  <c r="L229" i="2" a="1"/>
  <c r="N512" i="2" a="1"/>
  <c r="N353" i="2" a="1"/>
  <c r="M323" i="2" a="1"/>
  <c r="N192" i="2" a="1"/>
  <c r="N545" i="2" a="1"/>
  <c r="K292" i="2" a="1"/>
  <c r="M122" i="2" a="1"/>
  <c r="K569" i="2" a="1"/>
  <c r="L387" i="2" a="1"/>
  <c r="L38" i="2" a="1"/>
  <c r="N431" i="2" a="1"/>
  <c r="N295" i="2" a="1"/>
  <c r="M174" i="2" a="1"/>
  <c r="N28" i="2" a="1"/>
  <c r="M467" i="2" a="1"/>
  <c r="K193" i="2" a="1"/>
  <c r="M280" i="2" a="1"/>
  <c r="L81" i="2" a="1"/>
  <c r="M177" i="2" a="1"/>
  <c r="N97" i="2" a="1"/>
  <c r="N465" i="2" a="1"/>
  <c r="L34" i="2" a="1"/>
  <c r="L353" i="2" a="1"/>
  <c r="L494" i="2" a="1"/>
  <c r="N426" i="2" a="1"/>
  <c r="K50" i="2" a="1"/>
  <c r="K426" i="2" a="1"/>
  <c r="M35" i="2" a="1"/>
  <c r="K533" i="2" a="1"/>
  <c r="M458" i="2" a="1"/>
  <c r="N42" i="2" a="1"/>
  <c r="N113" i="2" a="1"/>
  <c r="K390" i="2" a="1"/>
  <c r="M300" i="2" a="1"/>
  <c r="K448" i="2" a="1"/>
  <c r="M150" i="2" a="1"/>
  <c r="L112" i="2" a="1"/>
  <c r="L515" i="2" a="1"/>
  <c r="L452" i="2" a="1"/>
  <c r="N10" i="2" a="1"/>
  <c r="N40" i="2" a="1"/>
  <c r="L193" i="2" a="1"/>
  <c r="N19" i="2" a="1"/>
  <c r="N79" i="2" a="1"/>
  <c r="K18" i="2" a="1"/>
  <c r="K458" i="2" a="1"/>
  <c r="K255" i="2" a="1"/>
  <c r="L143" i="2" a="1"/>
  <c r="K460" i="2" a="1"/>
  <c r="K504" i="2" a="1"/>
  <c r="N7" i="2" a="1"/>
  <c r="N523" i="2" a="1"/>
  <c r="L200" i="2" a="1"/>
  <c r="K399" i="2" a="1"/>
  <c r="L171" i="2" a="1"/>
  <c r="K251" i="2" a="1"/>
  <c r="N570" i="2" a="1"/>
  <c r="L140" i="2" a="1"/>
  <c r="L13" i="2" a="1"/>
  <c r="M9" i="2" a="1"/>
  <c r="N53" i="2" a="1"/>
  <c r="M354" i="2" a="1"/>
  <c r="L165" i="2" a="1"/>
  <c r="N410" i="2" a="1"/>
  <c r="M26" i="2" a="1"/>
  <c r="K520" i="2" a="1"/>
  <c r="L390" i="2" a="1"/>
  <c r="L206" i="2" a="1"/>
  <c r="K402" i="2" a="1"/>
  <c r="K425" i="2" a="1"/>
  <c r="M237" i="2" a="1"/>
  <c r="K532" i="2" a="1"/>
  <c r="N263" i="2" a="1"/>
  <c r="N386" i="2" a="1"/>
  <c r="N440" i="2" a="1"/>
  <c r="M290" i="2" a="1"/>
  <c r="L209" i="2" a="1"/>
  <c r="N305" i="2" a="1"/>
  <c r="M395" i="2" a="1"/>
  <c r="N492" i="2" a="1"/>
  <c r="M213" i="2" a="1"/>
  <c r="L540" i="2" a="1"/>
  <c r="L80" i="2" a="1"/>
  <c r="M292" i="2" a="1"/>
  <c r="L169" i="2" a="1"/>
  <c r="M110" i="2" a="1"/>
  <c r="M42" i="2" a="1"/>
  <c r="M337" i="2" a="1"/>
  <c r="N524" i="2" a="1"/>
  <c r="L419" i="2" a="1"/>
  <c r="K365" i="2" a="1"/>
  <c r="K528" i="2" a="1"/>
  <c r="N486" i="2" a="1"/>
  <c r="K39" i="2" a="1"/>
  <c r="L524" i="2" a="1"/>
  <c r="K161" i="2" a="1"/>
  <c r="K485" i="2" a="1"/>
  <c r="L282" i="2" a="1"/>
  <c r="N35" i="2" a="1"/>
  <c r="N319" i="2" a="1"/>
  <c r="K384" i="2" a="1"/>
  <c r="M95" i="2" a="1"/>
  <c r="L407" i="2" a="1"/>
  <c r="L392" i="2" a="1"/>
  <c r="M197" i="2" a="1"/>
  <c r="L251" i="2" a="1"/>
  <c r="L20" i="2" a="1"/>
  <c r="L457" i="2" a="1"/>
  <c r="K305" i="2" a="1"/>
  <c r="M216" i="2" a="1"/>
  <c r="N20" i="2" a="1"/>
  <c r="M361" i="2" a="1"/>
  <c r="K492" i="2" a="1"/>
  <c r="N38" i="2" a="1"/>
  <c r="K457" i="2" a="1"/>
  <c r="N175" i="2" a="1"/>
  <c r="L556" i="2" a="1"/>
  <c r="N452" i="2" a="1"/>
  <c r="M172" i="2" a="1"/>
  <c r="L175" i="2" a="1"/>
  <c r="M582" i="2" a="1"/>
  <c r="K565" i="2" a="1"/>
  <c r="M484" i="2" a="1"/>
  <c r="N302" i="2" a="1"/>
  <c r="N385" i="2" a="1"/>
  <c r="L483" i="2" a="1"/>
  <c r="L509" i="2" a="1"/>
  <c r="N494" i="2" a="1"/>
  <c r="N145" i="2" a="1"/>
  <c r="M512" i="2" a="1"/>
  <c r="M520" i="2" a="1"/>
  <c r="K319" i="2" a="1"/>
  <c r="N427" i="2" a="1"/>
  <c r="K592" i="2" a="1"/>
  <c r="L68" i="2" a="1"/>
  <c r="N138" i="2" a="1"/>
  <c r="N287" i="2" a="1"/>
  <c r="K118" i="2" a="1"/>
  <c r="N404" i="2" a="1"/>
  <c r="K298" i="2" a="1"/>
  <c r="M297" i="2" a="1"/>
  <c r="N395" i="2" a="1"/>
  <c r="L141" i="2" a="1"/>
  <c r="N335" i="2" a="1"/>
  <c r="N144" i="2" a="1"/>
  <c r="M145" i="2" a="1"/>
  <c r="L117" i="2" a="1"/>
  <c r="M109" i="2" a="1"/>
  <c r="M57" i="2" a="1"/>
  <c r="K180" i="2" a="1"/>
  <c r="M34" i="2" a="1"/>
  <c r="K577" i="2" a="1"/>
  <c r="K35" i="2" a="1"/>
  <c r="K586" i="2" a="1"/>
  <c r="K293" i="2" a="1"/>
  <c r="K234" i="2" a="1"/>
  <c r="L420" i="2" a="1"/>
  <c r="M588" i="2" a="1"/>
  <c r="L464" i="2" a="1"/>
  <c r="K43" i="2" a="1"/>
  <c r="K236" i="2" a="1"/>
  <c r="L502" i="2" a="1"/>
  <c r="N396" i="2" a="1"/>
  <c r="M438" i="2" a="1"/>
  <c r="N428" i="2" a="1"/>
  <c r="K361" i="2" a="1"/>
  <c r="M127" i="2" a="1"/>
  <c r="L472" i="2" a="1"/>
  <c r="L298" i="2" a="1"/>
  <c r="K368" i="2" a="1"/>
  <c r="L293" i="2" a="1"/>
  <c r="K113" i="2" a="1"/>
  <c r="N236" i="2" a="1"/>
  <c r="N519" i="2" a="1"/>
  <c r="N66" i="2" a="1"/>
  <c r="L242" i="2" a="1"/>
  <c r="N78" i="2" a="1"/>
  <c r="N199" i="2" a="1"/>
  <c r="K247" i="2" a="1"/>
  <c r="M214" i="2" a="1"/>
  <c r="M186" i="2" a="1"/>
  <c r="L520" i="2" a="1"/>
  <c r="N325" i="2" a="1"/>
  <c r="L486" i="2" a="1"/>
  <c r="K27" i="2" a="1"/>
  <c r="K79" i="2" a="1"/>
  <c r="L232" i="2" a="1"/>
  <c r="N8" i="2" a="1"/>
  <c r="N163" i="2" a="1"/>
  <c r="M439" i="2" a="1"/>
  <c r="L208" i="2" a="1"/>
  <c r="L302" i="2" a="1"/>
  <c r="K266" i="2" a="1"/>
  <c r="L592" i="2" a="1"/>
  <c r="M590" i="2" a="1"/>
  <c r="M317" i="2" a="1"/>
  <c r="N500" i="2" a="1"/>
  <c r="N99" i="2" a="1"/>
  <c r="K156" i="2" a="1"/>
  <c r="K78" i="2" a="1"/>
  <c r="K9" i="2" a="1"/>
  <c r="L51" i="2" a="1"/>
  <c r="M47" i="2" a="1"/>
  <c r="L114" i="2" a="1"/>
  <c r="N568" i="2" a="1"/>
  <c r="L223" i="2" a="1"/>
  <c r="L86" i="2" a="1"/>
  <c r="M169" i="2" a="1"/>
  <c r="N26" i="2" a="1"/>
  <c r="N239" i="2" a="1"/>
  <c r="L17" i="2" a="1"/>
  <c r="K213" i="2" a="1"/>
  <c r="K291" i="2" a="1"/>
  <c r="N543" i="2" a="1"/>
  <c r="K12" i="2" a="1"/>
  <c r="M524" i="2" a="1"/>
  <c r="N262" i="2" a="1"/>
  <c r="M73" i="2" a="1"/>
  <c r="L305" i="2" a="1"/>
  <c r="K352" i="2" a="1"/>
  <c r="N371" i="2" a="1"/>
  <c r="L278" i="2" a="1"/>
  <c r="N289" i="2" a="1"/>
  <c r="M284" i="2" a="1"/>
  <c r="N370" i="2" a="1"/>
  <c r="M281" i="2" a="1"/>
  <c r="L328" i="2" a="1"/>
  <c r="K483" i="2" a="1"/>
  <c r="N520" i="2" a="1"/>
  <c r="N505" i="2" a="1"/>
  <c r="M540" i="2" a="1"/>
  <c r="L498" i="2" a="1"/>
  <c r="N367" i="2" a="1"/>
  <c r="M348" i="2" a="1"/>
  <c r="K524" i="2" a="1"/>
  <c r="M466" i="2" a="1"/>
  <c r="N382" i="2" a="1"/>
  <c r="M538" i="2" a="1"/>
  <c r="L266" i="2" a="1"/>
  <c r="K216" i="2" a="1"/>
  <c r="M425" i="2" a="1"/>
  <c r="M505" i="2" a="1"/>
  <c r="M459" i="2" a="1"/>
  <c r="N224" i="2" a="1"/>
  <c r="N461" i="2" a="1"/>
  <c r="N457" i="2" a="1"/>
  <c r="M476" i="2" a="1"/>
  <c r="K514" i="2" a="1"/>
  <c r="L372" i="2" a="1"/>
  <c r="L47" i="2" a="1"/>
  <c r="L105" i="2" a="1"/>
  <c r="M364" i="2" a="1"/>
  <c r="N429" i="2" a="1"/>
  <c r="N459" i="2" a="1"/>
  <c r="N167" i="2" a="1"/>
  <c r="N401" i="2" a="1"/>
  <c r="K350" i="2" a="1"/>
  <c r="K240" i="2" a="1"/>
  <c r="L71" i="2" a="1"/>
  <c r="M270" i="2" a="1"/>
  <c r="K215" i="2" a="1"/>
  <c r="M255" i="2" a="1"/>
  <c r="K51" i="2" a="1"/>
  <c r="L178" i="2" a="1"/>
  <c r="M170" i="2" a="1"/>
  <c r="N451" i="2" a="1"/>
  <c r="N516" i="2" a="1"/>
  <c r="K387" i="2" a="1"/>
  <c r="M235" i="2" a="1"/>
  <c r="L418" i="2" a="1"/>
  <c r="K239" i="2" a="1"/>
  <c r="N266" i="2" a="1"/>
  <c r="L291" i="2" a="1"/>
  <c r="L343" i="2" a="1"/>
  <c r="M291" i="2" a="1"/>
  <c r="M391" i="2" a="1"/>
  <c r="M305" i="2" a="1"/>
  <c r="L444" i="2" a="1"/>
  <c r="L543" i="2" a="1"/>
  <c r="L394" i="2" a="1"/>
  <c r="L587" i="2" a="1"/>
  <c r="M190" i="2" a="1"/>
  <c r="L478" i="2" a="1"/>
  <c r="L144" i="2" a="1"/>
  <c r="K104" i="2" a="1"/>
  <c r="K438" i="2" a="1"/>
  <c r="L417" i="2" a="1"/>
  <c r="N317" i="2" a="1"/>
  <c r="N478" i="2" a="1"/>
  <c r="K510" i="2" a="1"/>
  <c r="N140" i="2" a="1"/>
  <c r="L532" i="2" a="1"/>
  <c r="N581" i="2" a="1"/>
  <c r="K124" i="2" a="1"/>
  <c r="M321" i="2" a="1"/>
  <c r="L585" i="2" a="1"/>
  <c r="N223" i="2" a="1"/>
  <c r="L458" i="2" a="1"/>
  <c r="K99" i="2" a="1"/>
  <c r="K245" i="2" a="1"/>
  <c r="K138" i="2" a="1"/>
  <c r="M156" i="2" a="1"/>
  <c r="M28" i="2" a="1"/>
  <c r="M15" i="2" a="1"/>
  <c r="K71" i="2" a="1"/>
  <c r="K209" i="2" a="1"/>
  <c r="N259" i="2" a="1"/>
  <c r="M200" i="2" a="1"/>
  <c r="K472" i="2" a="1"/>
  <c r="M247" i="2" a="1"/>
  <c r="K169" i="2" a="1"/>
  <c r="M78" i="2" a="1"/>
  <c r="M410" i="2" a="1"/>
  <c r="M262" i="2" a="1"/>
  <c r="L510" i="2" a="1"/>
  <c r="M90" i="2" a="1"/>
  <c r="M96" i="2" a="1"/>
  <c r="K378" i="2" a="1"/>
  <c r="L572" i="2" a="1"/>
  <c r="M180" i="2" a="1"/>
  <c r="N292" i="2" a="1"/>
  <c r="M452" i="2" a="1"/>
  <c r="L309" i="2" a="1"/>
  <c r="L323" i="2" a="1"/>
  <c r="N234" i="2" a="1"/>
  <c r="N34" i="2" a="1"/>
  <c r="N563" i="2" a="1"/>
  <c r="N31" i="2" a="1"/>
  <c r="N449" i="2" a="1"/>
  <c r="N498" i="2" a="1"/>
  <c r="N423" i="2" a="1"/>
  <c r="N345" i="2" a="1"/>
  <c r="L65" i="2" a="1"/>
  <c r="N424" i="2" a="1"/>
  <c r="M104" i="2" a="1"/>
  <c r="M392" i="2" a="1"/>
  <c r="K511" i="2" a="1"/>
  <c r="N464" i="2" a="1"/>
  <c r="K523" i="2" a="1"/>
  <c r="M383" i="2" a="1"/>
  <c r="N29" i="2" a="1"/>
  <c r="M118" i="2" a="1"/>
  <c r="M415" i="2" a="1"/>
  <c r="L361" i="2" a="1"/>
  <c r="L581" i="2" a="1"/>
  <c r="N110" i="2" a="1"/>
  <c r="L583" i="2" a="1"/>
  <c r="L397" i="2" a="1"/>
  <c r="L415" i="2" a="1"/>
  <c r="K275" i="2" a="1"/>
  <c r="M557" i="2" a="1"/>
  <c r="L107" i="2" a="1"/>
  <c r="N24" i="2" a="1"/>
  <c r="L439" i="2" a="1"/>
  <c r="M152" i="2" a="1"/>
  <c r="K396" i="2" a="1"/>
  <c r="M407" i="2" a="1"/>
  <c r="M401" i="2" a="1"/>
  <c r="M208" i="2" a="1"/>
  <c r="M124" i="2" a="1"/>
  <c r="K165" i="2" a="1"/>
  <c r="N215" i="2" a="1"/>
  <c r="M27" i="2" a="1"/>
  <c r="M581" i="2" a="1"/>
  <c r="L412" i="2" a="1"/>
  <c r="K127" i="2" a="1"/>
  <c r="K278" i="2" a="1"/>
  <c r="L401" i="2" a="1"/>
  <c r="N402" i="2" a="1"/>
  <c r="N213" i="2" a="1"/>
  <c r="N265" i="2" a="1"/>
  <c r="L240" i="2" a="1"/>
  <c r="L349" i="2" a="1"/>
  <c r="N279" i="2" a="1"/>
  <c r="M308" i="2" a="1"/>
  <c r="K531" i="2" a="1"/>
  <c r="L89" i="2" a="1"/>
  <c r="K168" i="2" a="1"/>
  <c r="N419" i="2" a="1"/>
  <c r="N184" i="2" a="1"/>
  <c r="N48" i="2" a="1"/>
  <c r="K92" i="2" a="1"/>
  <c r="M240" i="2" a="1"/>
  <c r="N592" i="2" a="1"/>
  <c r="L538" i="2" a="1"/>
  <c r="K488" i="2" a="1"/>
  <c r="N337" i="2" a="1"/>
  <c r="L296" i="2" a="1"/>
  <c r="N336" i="2" a="1"/>
  <c r="N185" i="2" a="1"/>
  <c r="M536" i="2" a="1"/>
  <c r="L40" i="2" a="1"/>
  <c r="K496" i="2" a="1"/>
  <c r="M185" i="2" a="1"/>
  <c r="M249" i="2" a="1"/>
  <c r="K572" i="2" a="1"/>
  <c r="N169" i="2" a="1"/>
  <c r="N13" i="2" a="1"/>
  <c r="M350" i="2" a="1"/>
  <c r="K469" i="2" a="1"/>
  <c r="K576" i="2" a="1"/>
  <c r="N150" i="2" a="1"/>
  <c r="L350" i="2" a="1"/>
  <c r="L150" i="2" a="1"/>
  <c r="M367" i="2" a="1"/>
  <c r="K198" i="2" a="1"/>
  <c r="M13" i="2" a="1"/>
  <c r="K334" i="2" a="1"/>
  <c r="K591" i="2" a="1"/>
  <c r="N156" i="2" a="1"/>
  <c r="M421" i="2" a="1"/>
  <c r="M515" i="2" a="1"/>
  <c r="N379" i="2" a="1"/>
  <c r="M171" i="2" a="1"/>
  <c r="L213" i="2" a="1"/>
  <c r="L348" i="2" a="1"/>
  <c r="N348" i="2" a="1"/>
  <c r="L177" i="2" a="1"/>
  <c r="M469" i="2" a="1"/>
  <c r="N460" i="2" a="1"/>
  <c r="K70" i="2" a="1"/>
  <c r="L163" i="2" a="1"/>
  <c r="K86" i="2" a="1"/>
  <c r="N472" i="2" a="1"/>
  <c r="L297" i="2" a="1"/>
  <c r="K184" i="2" a="1"/>
  <c r="M327" i="2" a="1"/>
  <c r="N173" i="2" a="1"/>
  <c r="M18" i="2" a="1"/>
  <c r="M370" i="2" a="1"/>
  <c r="L573" i="2" a="1"/>
  <c r="M77" i="2" a="1"/>
  <c r="N56" i="2" a="1"/>
  <c r="M532" i="2" a="1"/>
  <c r="K199" i="2" a="1"/>
  <c r="M521" i="2" a="1"/>
  <c r="M134" i="2" a="1"/>
  <c r="L511" i="2" a="1"/>
  <c r="L121" i="2" a="1"/>
  <c r="L379" i="2" a="1"/>
  <c r="N503" i="2" a="1"/>
  <c r="N73" i="2" a="1"/>
  <c r="N484" i="2" a="1"/>
  <c r="M432" i="2" a="1"/>
  <c r="M93" i="2" a="1"/>
  <c r="M313" i="2" a="1"/>
  <c r="L580" i="2" a="1"/>
  <c r="L396" i="2" a="1"/>
  <c r="N186" i="2" a="1"/>
  <c r="N585" i="2" a="1"/>
  <c r="K21" i="2" a="1"/>
  <c r="M80" i="2" a="1"/>
  <c r="N394" i="2" a="1"/>
  <c r="L333" i="2" a="1"/>
  <c r="M470" i="2" a="1"/>
  <c r="L423" i="2" a="1"/>
  <c r="M514" i="2" a="1"/>
  <c r="K333" i="2" a="1"/>
  <c r="N126" i="2" a="1"/>
  <c r="K395" i="2" a="1"/>
  <c r="K62" i="2" a="1"/>
  <c r="N438" i="2" a="1"/>
  <c r="N119" i="2" a="1"/>
  <c r="L574" i="2" a="1"/>
  <c r="K585" i="2" a="1"/>
  <c r="L325" i="2" a="1"/>
  <c r="K119" i="2" a="1"/>
  <c r="N257" i="2" a="1"/>
  <c r="N105" i="2" a="1"/>
  <c r="N47" i="2" a="1"/>
  <c r="L322" i="2" a="1"/>
  <c r="M154" i="2" a="1"/>
  <c r="N381" i="2" a="1"/>
  <c r="N312" i="2" a="1"/>
  <c r="L79" i="2" a="1"/>
  <c r="N342" i="2" a="1"/>
  <c r="L87" i="2" a="1"/>
  <c r="K468" i="2" a="1"/>
  <c r="K75" i="2" a="1"/>
  <c r="K284" i="2" a="1"/>
  <c r="K147" i="2" a="1"/>
  <c r="K341" i="2" a="1"/>
  <c r="K392" i="2" a="1"/>
  <c r="K459" i="2" a="1"/>
  <c r="L335" i="2" a="1"/>
  <c r="L459" i="2" a="1"/>
  <c r="K143" i="2" a="1"/>
  <c r="K204" i="2" a="1"/>
  <c r="L231" i="2" a="1"/>
  <c r="L479" i="2" a="1"/>
  <c r="N154" i="2" a="1"/>
  <c r="L12" i="2" a="1"/>
  <c r="K16" i="2" a="1"/>
  <c r="L450" i="2" a="1"/>
  <c r="N68" i="2" a="1"/>
  <c r="L548" i="2" a="1"/>
  <c r="K473" i="2" a="1"/>
  <c r="L42" i="2" a="1"/>
  <c r="K235" i="2" a="1"/>
  <c r="M309" i="2" a="1"/>
  <c r="N106" i="2" a="1"/>
  <c r="M209" i="2" a="1"/>
  <c r="K397" i="2" a="1"/>
  <c r="M523" i="2" a="1"/>
  <c r="M542" i="2" a="1"/>
  <c r="K140" i="2" a="1"/>
  <c r="N542" i="2" a="1"/>
  <c r="N450" i="2" a="1"/>
  <c r="M175" i="2" a="1"/>
  <c r="M394" i="2" a="1"/>
  <c r="L234" i="2" a="1"/>
  <c r="M448" i="2" a="1"/>
  <c r="K41" i="2" a="1"/>
  <c r="K456" i="2" a="1"/>
  <c r="N202" i="2" a="1"/>
  <c r="L337" i="2" a="1"/>
  <c r="M236" i="2" a="1"/>
  <c r="M183" i="2" a="1"/>
  <c r="M531" i="2" a="1"/>
  <c r="K307" i="2" a="1"/>
  <c r="K420" i="2" a="1"/>
  <c r="M100" i="2" a="1"/>
  <c r="L35" i="2" a="1"/>
  <c r="L590" i="2" a="1"/>
  <c r="M502" i="2" a="1"/>
  <c r="M585" i="2" a="1"/>
  <c r="M341" i="2" a="1"/>
  <c r="K145" i="2" a="1"/>
  <c r="K73" i="2" a="1"/>
  <c r="L210" i="2" a="1"/>
  <c r="M312" i="2" a="1"/>
  <c r="N271" i="2" a="1"/>
  <c r="N562" i="2" a="1"/>
  <c r="L156" i="2" a="1"/>
  <c r="M5" i="2" a="1"/>
  <c r="M130" i="2" a="1"/>
  <c r="L29" i="2" a="1"/>
  <c r="L263" i="2" a="1"/>
  <c r="N470" i="2" a="1"/>
  <c r="M365" i="2" a="1"/>
  <c r="K232" i="2" a="1"/>
  <c r="K493" i="2" a="1"/>
  <c r="N416" i="2" a="1"/>
  <c r="K56" i="2" a="1"/>
  <c r="N510" i="2" a="1"/>
  <c r="M565" i="2" a="1"/>
  <c r="K42" i="2" a="1"/>
  <c r="K68" i="2" a="1"/>
  <c r="K542" i="2" a="1"/>
  <c r="K367" i="2" a="1"/>
  <c r="L376" i="2" a="1"/>
  <c r="M464" i="2" a="1"/>
  <c r="K159" i="2" a="1"/>
  <c r="M396" i="2" a="1"/>
  <c r="N180" i="2" a="1"/>
  <c r="M562" i="2" a="1"/>
  <c r="M176" i="2" a="1"/>
  <c r="K45" i="2" a="1"/>
  <c r="N176" i="2" a="1"/>
  <c r="K404" i="2" a="1"/>
  <c r="L542" i="2" a="1"/>
  <c r="M31" i="2" a="1"/>
  <c r="L255" i="2" a="1"/>
  <c r="L8" i="2" a="1"/>
  <c r="L327" i="2" a="1"/>
  <c r="L85" i="2" a="1"/>
  <c r="L183" i="2" a="1"/>
  <c r="N210" i="2" a="1"/>
  <c r="K428" i="2" a="1"/>
  <c r="L357" i="2" a="1"/>
  <c r="M325" i="2" a="1"/>
  <c r="M204" i="2" a="1"/>
  <c r="M81" i="2" a="1"/>
  <c r="N118" i="2" a="1"/>
  <c r="N521" i="2" a="1"/>
  <c r="N131" i="2" a="1"/>
  <c r="M137" i="2" a="1"/>
  <c r="M406" i="2" a="1"/>
  <c r="L198" i="2" a="1"/>
  <c r="M285" i="2" a="1"/>
  <c r="M296" i="2" a="1"/>
  <c r="M82" i="2" a="1"/>
  <c r="M479" i="2" a="1"/>
  <c r="L341" i="2" a="1"/>
  <c r="L26" i="2" a="1"/>
  <c r="K519" i="2" a="1"/>
  <c r="N328" i="2" a="1"/>
  <c r="K197" i="2" a="1"/>
  <c r="L300" i="2" a="1"/>
  <c r="M106" i="2" a="1"/>
  <c r="L461" i="2" a="1"/>
  <c r="K296" i="2" a="1"/>
  <c r="M372" i="2" a="1"/>
  <c r="M99" i="2" a="1"/>
  <c r="M503" i="2" a="1"/>
  <c r="K327" i="2" a="1"/>
  <c r="M307" i="2" a="1"/>
  <c r="M53" i="2" a="1"/>
  <c r="K419" i="2" a="1"/>
  <c r="N204" i="2" a="1"/>
  <c r="N159" i="2" a="1"/>
  <c r="M440" i="2" a="1"/>
  <c r="K543" i="2" a="1"/>
  <c r="N458" i="2" a="1"/>
  <c r="M544" i="2" a="1"/>
  <c r="M8" i="2" a="1"/>
  <c r="N576" i="2" a="1"/>
  <c r="M387" i="2" a="1"/>
  <c r="N9" i="2" a="1"/>
  <c r="N27" i="2" a="1"/>
  <c r="M153" i="2" a="1"/>
  <c r="K47" i="2" a="1"/>
  <c r="N278" i="2" a="1"/>
  <c r="M507" i="2" a="1"/>
  <c r="L154" i="2" a="1"/>
  <c r="M232" i="2" a="1"/>
  <c r="L521" i="2" a="1"/>
  <c r="N390" i="2" a="1"/>
  <c r="N583" i="2" a="1"/>
  <c r="L493" i="2" a="1"/>
  <c r="N71" i="2" a="1"/>
  <c r="L109" i="2" a="1"/>
  <c r="N70" i="2" a="1"/>
  <c r="N507" i="2" a="1"/>
  <c r="M92" i="2" a="1"/>
  <c r="N322" i="2" a="1"/>
  <c r="N330" i="2" a="1"/>
  <c r="L204" i="2" a="1"/>
  <c r="L385" i="2" a="1"/>
  <c r="K394" i="2" a="1"/>
  <c r="M379" i="2" a="1"/>
  <c r="M12" i="2" a="1"/>
  <c r="M165" i="2" a="1"/>
  <c r="K381" i="2" a="1"/>
  <c r="K536" i="2" a="1"/>
  <c r="N363" i="2" a="1"/>
  <c r="L544" i="2" a="1"/>
  <c r="K480" i="2" a="1"/>
  <c r="K176" i="2" a="1"/>
  <c r="N565" i="2" a="1"/>
  <c r="K478" i="2" a="1"/>
  <c r="K5" i="2" a="1"/>
  <c r="K540" i="2" a="1"/>
  <c r="L368" i="2" a="1"/>
  <c r="L11" i="2" a="1"/>
  <c r="L488" i="2" a="1"/>
  <c r="L10" i="2" a="1"/>
  <c r="L135" i="2" a="1"/>
  <c r="K231" i="2" a="1"/>
  <c r="K434" i="2" a="1"/>
  <c r="M330" i="2" a="1"/>
  <c r="K544" i="2" a="1"/>
  <c r="N469" i="2" a="1"/>
  <c r="K97" i="2" a="1"/>
  <c r="N178" i="2" a="1"/>
  <c r="K484" i="2" a="1"/>
  <c r="N572" i="2" a="1"/>
  <c r="N556" i="2" a="1"/>
  <c r="L496" i="2" a="1"/>
  <c r="N462" i="2" a="1"/>
  <c r="K421" i="2" a="1"/>
  <c r="N21" i="2" a="1"/>
  <c r="N45" i="2" a="1"/>
  <c r="M199" i="2" a="1"/>
  <c r="M340" i="2" a="1"/>
  <c r="M302" i="2" a="1"/>
  <c r="M336" i="2" a="1"/>
  <c r="M89" i="2" a="1"/>
  <c r="M125" i="2" a="1"/>
  <c r="N209" i="2" a="1"/>
  <c r="L82" i="2" a="1"/>
  <c r="N153" i="2" a="1"/>
  <c r="N89" i="2" a="1"/>
  <c r="M10" i="2" a="1"/>
  <c r="N225" i="2" a="1"/>
  <c r="N357" i="2" a="1"/>
  <c r="K20" i="2" a="1"/>
  <c r="K563" i="2" a="1"/>
  <c r="L274" i="2" a="1"/>
  <c r="N90" i="2" a="1"/>
  <c r="K486" i="2" a="1"/>
  <c r="M178" i="2" a="1"/>
  <c r="M376" i="2" a="1"/>
  <c r="N420" i="2" a="1"/>
  <c r="M563" i="2" a="1"/>
  <c r="N255" i="2" a="1"/>
  <c r="L428" i="2" a="1"/>
  <c r="M293" i="2" a="1"/>
  <c r="L36" i="2" a="1"/>
  <c r="K224" i="2" a="1"/>
  <c r="N421" i="2" a="1"/>
  <c r="N586" i="2" a="1"/>
  <c r="L527" i="2" a="1"/>
  <c r="K109" i="2" a="1"/>
  <c r="K135" i="2" a="1"/>
  <c r="N170" i="2" a="1"/>
  <c r="M117" i="2" a="1"/>
  <c r="N171" i="2" a="1"/>
  <c r="K290" i="2" a="1"/>
  <c r="L290" i="2" a="1"/>
  <c r="M79" i="2" a="1"/>
  <c r="K228" i="2" a="1"/>
  <c r="N327" i="2" a="1"/>
  <c r="K406" i="2" a="1"/>
  <c r="K89" i="2" a="1"/>
  <c r="N536" i="2" a="1"/>
  <c r="M138" i="2" a="1"/>
  <c r="K137" i="2" a="1"/>
  <c r="N231" i="2" a="1"/>
  <c r="M385" i="2" a="1"/>
  <c r="M173" i="2" a="1"/>
  <c r="L503" i="2" a="1"/>
  <c r="N82" i="2" a="1"/>
  <c r="N290" i="2" a="1"/>
  <c r="M444" i="2" a="1"/>
  <c r="K391" i="2" a="1"/>
  <c r="M168" i="2" a="1"/>
  <c r="M498" i="2" a="1"/>
  <c r="K297" i="2" a="1"/>
  <c r="N274" i="2" a="1"/>
  <c r="L53" i="2" a="1"/>
  <c r="M268" i="2" a="1"/>
  <c r="M408" i="2" a="1"/>
  <c r="M568" i="2" a="1"/>
  <c r="K153" i="2" a="1"/>
  <c r="N23" i="2" a="1"/>
  <c r="M570" i="2" a="1"/>
  <c r="L199" i="2" a="1"/>
  <c r="L480" i="2" a="1"/>
  <c r="N564" i="2" a="1"/>
  <c r="K383" i="2" a="1"/>
  <c r="L216" i="2" a="1"/>
  <c r="L365" i="2" a="1"/>
  <c r="K29" i="2" a="1"/>
  <c r="N552" i="2" a="1"/>
  <c r="L173" i="2" a="1"/>
  <c r="L159" i="2" a="1"/>
  <c r="N125" i="2" a="1"/>
  <c r="L45" i="2" a="1"/>
  <c r="N447" i="2" a="1"/>
  <c r="K498" i="2" a="1"/>
  <c r="N368" i="2" a="1"/>
  <c r="K53" i="2" a="1"/>
  <c r="M184" i="2" a="1"/>
  <c r="K583" i="2" a="1"/>
  <c r="N358" i="2" a="1"/>
  <c r="N397" i="2" a="1"/>
  <c r="L168" i="2" a="1"/>
  <c r="L435" i="2" a="1"/>
  <c r="M319" i="2" a="1"/>
  <c r="N391" i="2" a="1"/>
  <c r="L125" i="2" a="1"/>
  <c r="M386" i="2" a="1"/>
  <c r="K85" i="2" a="1"/>
  <c r="L519" i="2" a="1"/>
  <c r="L514" i="2" a="1"/>
  <c r="M274" i="2" a="1"/>
  <c r="M510" i="2" a="1"/>
  <c r="K369" i="2" a="1"/>
  <c r="N412" i="2" a="1"/>
  <c r="K363" i="2" a="1"/>
  <c r="K10" i="2" a="1"/>
  <c r="N444" i="2" a="1"/>
  <c r="L124" i="2" a="1"/>
  <c r="N5" i="2" a="1"/>
  <c r="K195" i="2" a="1"/>
  <c r="K110" i="2" a="1"/>
  <c r="L381" i="2" a="1"/>
  <c r="L421" i="2" a="1"/>
  <c r="N245" i="2" a="1"/>
  <c r="N471" i="2" a="1"/>
  <c r="L90" i="2" a="1"/>
  <c r="K560" i="2" a="1"/>
  <c r="M136" i="2" a="1"/>
  <c r="M576" i="2" a="1"/>
  <c r="L138" i="2" a="1"/>
  <c r="K226" i="2" a="1"/>
  <c r="K461" i="2" a="1"/>
  <c r="N77" i="2" a="1"/>
  <c r="N298" i="2" a="1"/>
  <c r="K538" i="2" a="1"/>
  <c r="K407" i="2" a="1"/>
  <c r="K423" i="2" a="1"/>
  <c r="M352" i="2" a="1"/>
  <c r="L54" i="2" a="1"/>
  <c r="K121" i="2" a="1"/>
  <c r="L471" i="2" a="1"/>
  <c r="M419" i="2" a="1"/>
  <c r="K412" i="2" a="1"/>
  <c r="K470" i="2" a="1"/>
  <c r="L449" i="2" a="1"/>
  <c r="N12" i="2" a="1"/>
  <c r="K40" i="2" a="1"/>
  <c r="K386" i="2" a="1"/>
  <c r="M131" i="2" a="1"/>
  <c r="N479" i="2" a="1"/>
  <c r="N339" i="2" a="1"/>
  <c r="M68" i="2" a="1"/>
  <c r="N354" i="2" a="1"/>
  <c r="M271" i="2" a="1"/>
  <c r="K274" i="2" a="1"/>
  <c r="M460" i="2" a="1"/>
  <c r="L287" i="2" a="1"/>
  <c r="K471" i="2" a="1"/>
  <c r="K114" i="2" a="1"/>
  <c r="K429" i="2" a="1"/>
  <c r="M496" i="2" a="1"/>
  <c r="M528" i="2" a="1"/>
  <c r="K178" i="2" a="1"/>
  <c r="N161" i="2" a="1"/>
  <c r="K353" i="2" a="1"/>
  <c r="N41" i="2" a="1"/>
  <c r="L271" i="2" a="1"/>
  <c r="N463" i="2" a="1"/>
  <c r="N62" i="2" a="1"/>
  <c r="M322" i="2" a="1"/>
  <c r="N18" i="2" a="1"/>
  <c r="L228" i="2" a="1"/>
  <c r="N54" i="2" a="1"/>
  <c r="N406" i="2" a="1"/>
  <c r="M561" i="2" a="1"/>
  <c r="L533" i="2" a="1"/>
  <c r="M265" i="2" a="1"/>
  <c r="N216" i="2" a="1"/>
  <c r="M105" i="2" a="1"/>
  <c r="K440" i="2" a="1"/>
  <c r="M420" i="2" a="1"/>
  <c r="M423" i="2" a="1"/>
  <c r="N183" i="2" a="1"/>
  <c r="M198" i="2" a="1"/>
  <c r="K500" i="2" a="1"/>
  <c r="M143" i="2" a="1"/>
  <c r="K262" i="2" a="1"/>
  <c r="M478" i="2" a="1"/>
  <c r="L18" i="2" a="1"/>
  <c r="L56" i="2" a="1"/>
  <c r="K447" i="2" a="1"/>
  <c r="K452" i="2" a="1"/>
  <c r="K214" i="2" a="1"/>
  <c r="N44" i="2" a="1"/>
  <c r="L153" i="2" a="1"/>
  <c r="L236" i="2" a="1"/>
  <c r="M301" i="2" a="1"/>
  <c r="M500" i="2" a="1"/>
  <c r="K325" i="2" a="1"/>
  <c r="L185" i="2" a="1"/>
  <c r="K260" i="2" a="1"/>
  <c r="N17" i="2" a="1"/>
  <c r="K335" i="2" a="1"/>
  <c r="N143" i="2" a="1"/>
  <c r="M518" i="2" a="1"/>
  <c r="N511" i="2" a="1"/>
  <c r="L339" i="2" a="1"/>
  <c r="N528" i="2" a="1"/>
  <c r="M328" i="2" a="1"/>
  <c r="M431" i="2" a="1"/>
  <c r="K479" i="2" a="1"/>
  <c r="K357" i="2" a="1"/>
  <c r="L484" i="2" a="1"/>
  <c r="M368" i="2" a="1"/>
  <c r="M51" i="2" a="1"/>
  <c r="K183" i="2" a="1"/>
  <c r="L531" i="2" a="1"/>
  <c r="K339" i="2" a="1"/>
  <c r="K170" i="2" a="1"/>
  <c r="M519" i="2" a="1"/>
  <c r="K287" i="2" a="1"/>
  <c r="M54" i="2" a="1"/>
  <c r="N333" i="2" a="1"/>
  <c r="K254" i="2" a="1"/>
  <c r="N584" i="2" a="1"/>
  <c r="L192" i="2" a="1"/>
  <c r="M516" i="2" a="1"/>
  <c r="K444" i="2" a="1"/>
  <c r="N544" i="2" a="1"/>
  <c r="L440" i="2" a="1"/>
  <c r="N538" i="2" a="1"/>
  <c r="M141" i="2" a="1"/>
  <c r="N434" i="2" a="1"/>
  <c r="K225" i="2" a="1"/>
  <c r="N372" i="2" a="1"/>
  <c r="M428" i="2" a="1"/>
  <c r="L176" i="2" a="1"/>
  <c r="K54" i="2" a="1"/>
  <c r="K23" i="2" a="1"/>
  <c r="M287" i="2" a="1"/>
  <c r="K379" i="2" a="1"/>
  <c r="M471" i="2" a="1"/>
  <c r="N476" i="2" a="1"/>
  <c r="N361" i="2" a="1"/>
  <c r="M102" i="2" a="1"/>
  <c r="M447" i="2" a="1"/>
  <c r="N374" i="2" a="1"/>
  <c r="L78" i="2" a="1"/>
  <c r="K348" i="2" a="1"/>
  <c r="L565" i="2" a="1"/>
  <c r="K336" i="2" a="1"/>
  <c r="N36" i="2" a="1"/>
  <c r="N260" i="2" a="1"/>
  <c r="K233" i="2" a="1"/>
  <c r="M583" i="2" a="1"/>
  <c r="L57" i="2" a="1"/>
  <c r="M482" i="2" a="1"/>
  <c r="L118" i="2" a="1"/>
  <c r="N198" i="2" a="1"/>
  <c r="M443" i="2" a="1"/>
  <c r="K34" i="2" a="1"/>
  <c r="M85" i="2" a="1"/>
  <c r="L4" i="2" a="1"/>
  <c r="N387" i="2" a="1"/>
  <c r="N200" i="2" a="1"/>
  <c r="M335" i="2" a="1"/>
  <c r="N582" i="2" a="1"/>
  <c r="L406" i="2" a="1"/>
  <c r="N531" i="2" a="1"/>
  <c r="L73" i="2" a="1"/>
  <c r="M23" i="2" a="1"/>
  <c r="M397" i="2" a="1"/>
  <c r="K130" i="2" a="1"/>
  <c r="M543" i="2" a="1"/>
  <c r="M357" i="2" a="1"/>
  <c r="L262" i="2" a="1"/>
  <c r="K302" i="2" a="1"/>
  <c r="M358" i="2" a="1"/>
  <c r="L211" i="2" a="1"/>
  <c r="L245" i="2" a="1"/>
  <c r="N39" i="2" a="1"/>
  <c r="L588" i="2" a="1"/>
  <c r="L481" i="2" a="1"/>
  <c r="L62" i="2" a="1"/>
  <c r="M206" i="2" a="1"/>
  <c r="K300" i="2" a="1"/>
  <c r="K581" i="2" a="1"/>
  <c r="L99" i="2" a="1"/>
  <c r="M320" i="2" a="1"/>
  <c r="K267" i="2" a="1"/>
  <c r="L131" i="2" a="1"/>
  <c r="K354" i="2" a="1"/>
  <c r="K279" i="2" a="1"/>
  <c r="K582" i="2" a="1"/>
  <c r="M70" i="2" a="1"/>
  <c r="N168" i="2" a="1"/>
  <c r="K26" i="2" a="1"/>
  <c r="N254" i="2" a="1"/>
  <c r="L476" i="2" a="1"/>
  <c r="K205" i="2" a="1"/>
  <c r="K578" i="2" a="1"/>
  <c r="M228" i="2" a="1"/>
  <c r="L386" i="2" a="1"/>
  <c r="K211" i="2" a="1"/>
  <c r="N415" i="2" a="1"/>
  <c r="M21" i="2" a="1"/>
  <c r="K185" i="2" a="1"/>
  <c r="N165" i="2" a="1"/>
  <c r="N514" i="2" a="1"/>
  <c r="M113" i="2" a="1"/>
  <c r="K312" i="2" a="1"/>
  <c r="L536" i="2" a="1"/>
  <c r="M215" i="2" a="1"/>
  <c r="M44" i="2" a="1"/>
  <c r="N380" i="2" a="1"/>
  <c r="M147" i="2" a="1"/>
  <c r="K242" i="2" a="1"/>
  <c r="M231" i="2" a="1"/>
  <c r="M298" i="2" a="1"/>
  <c r="N235" i="2" a="1"/>
  <c r="L410" i="2" a="1"/>
  <c r="L522" i="2" a="1"/>
  <c r="M294" i="2" a="1"/>
  <c r="M223" i="2" a="1"/>
  <c r="N443" i="2" a="1"/>
  <c r="K374" i="2" a="1"/>
  <c r="M369" i="2" a="1"/>
  <c r="N365" i="2" a="1"/>
  <c r="L108" i="2" a="1"/>
  <c r="L336" i="2" a="1"/>
  <c r="L554" i="2" a="1"/>
  <c r="K223" i="2" a="1"/>
  <c r="L201" i="2" a="1"/>
  <c r="K171" i="2" a="1"/>
  <c r="N425" i="2" a="1"/>
  <c r="M486" i="2" a="1"/>
  <c r="L586" i="2" a="1"/>
  <c r="K82" i="2" a="1"/>
  <c r="L528" i="2" a="1"/>
  <c r="N352" i="2" a="1"/>
  <c r="L466" i="2" a="1"/>
  <c r="L27" i="2" a="1"/>
  <c r="M580" i="2" a="1"/>
  <c r="L358" i="2" a="1"/>
  <c r="L460" i="2" a="1"/>
  <c r="K503" i="2" a="1"/>
  <c r="N96" i="2" a="1"/>
  <c r="L23" i="2" a="1"/>
  <c r="N130" i="2" a="1"/>
  <c r="N548" i="2" a="1"/>
  <c r="N211" i="2" a="1"/>
  <c r="N432" i="2" a="1"/>
  <c r="N466" i="2" a="1"/>
  <c r="N137" i="2" a="1"/>
  <c r="M39" i="2" a="1"/>
  <c r="M39" i="2" l="1"/>
  <c r="N137" i="2"/>
  <c r="N466" i="2"/>
  <c r="N432" i="2"/>
  <c r="N211" i="2"/>
  <c r="N548" i="2"/>
  <c r="N130" i="2"/>
  <c r="L23" i="2"/>
  <c r="N96" i="2"/>
  <c r="K503" i="2"/>
  <c r="L460" i="2"/>
  <c r="L358" i="2"/>
  <c r="M580" i="2"/>
  <c r="L27" i="2"/>
  <c r="L466" i="2"/>
  <c r="N352" i="2"/>
  <c r="L528" i="2"/>
  <c r="K82" i="2"/>
  <c r="L586" i="2"/>
  <c r="M486" i="2"/>
  <c r="N425" i="2"/>
  <c r="K171" i="2"/>
  <c r="L201" i="2"/>
  <c r="K223" i="2"/>
  <c r="L554" i="2"/>
  <c r="L336" i="2"/>
  <c r="L108" i="2"/>
  <c r="N365" i="2"/>
  <c r="M369" i="2"/>
  <c r="K374" i="2"/>
  <c r="N443" i="2"/>
  <c r="M223" i="2"/>
  <c r="M294" i="2"/>
  <c r="L522" i="2"/>
  <c r="L410" i="2"/>
  <c r="N235" i="2"/>
  <c r="M298" i="2"/>
  <c r="M231" i="2"/>
  <c r="K242" i="2"/>
  <c r="M147" i="2"/>
  <c r="N380" i="2"/>
  <c r="M44" i="2"/>
  <c r="M215" i="2"/>
  <c r="L536" i="2"/>
  <c r="K312" i="2"/>
  <c r="M113" i="2"/>
  <c r="N514" i="2"/>
  <c r="N165" i="2"/>
  <c r="K185" i="2"/>
  <c r="M21" i="2"/>
  <c r="N415" i="2"/>
  <c r="K211" i="2"/>
  <c r="L386" i="2"/>
  <c r="M228" i="2"/>
  <c r="K578" i="2"/>
  <c r="K205" i="2"/>
  <c r="L476" i="2"/>
  <c r="N254" i="2"/>
  <c r="K26" i="2"/>
  <c r="N168" i="2"/>
  <c r="M70" i="2"/>
  <c r="K582" i="2"/>
  <c r="K279" i="2"/>
  <c r="K354" i="2"/>
  <c r="L131" i="2"/>
  <c r="K267" i="2"/>
  <c r="M320" i="2"/>
  <c r="L99" i="2"/>
  <c r="K581" i="2"/>
  <c r="K300" i="2"/>
  <c r="M206" i="2"/>
  <c r="L62" i="2"/>
  <c r="L481" i="2"/>
  <c r="L588" i="2"/>
  <c r="N39" i="2"/>
  <c r="L245" i="2"/>
  <c r="L211" i="2"/>
  <c r="M358" i="2"/>
  <c r="K302" i="2"/>
  <c r="L262" i="2"/>
  <c r="M357" i="2"/>
  <c r="M543" i="2"/>
  <c r="K130" i="2"/>
  <c r="M397" i="2"/>
  <c r="M23" i="2"/>
  <c r="L73" i="2"/>
  <c r="N531" i="2"/>
  <c r="L406" i="2"/>
  <c r="N582" i="2"/>
  <c r="M335" i="2"/>
  <c r="N200" i="2"/>
  <c r="N387" i="2"/>
  <c r="L4" i="2"/>
  <c r="M85" i="2"/>
  <c r="K34" i="2"/>
  <c r="M443" i="2"/>
  <c r="N198" i="2"/>
  <c r="L118" i="2"/>
  <c r="M482" i="2"/>
  <c r="L57" i="2"/>
  <c r="M583" i="2"/>
  <c r="K233" i="2"/>
  <c r="N260" i="2"/>
  <c r="N36" i="2"/>
  <c r="K336" i="2"/>
  <c r="L565" i="2"/>
  <c r="K348" i="2"/>
  <c r="L78" i="2"/>
  <c r="N374" i="2"/>
  <c r="M447" i="2"/>
  <c r="M102" i="2"/>
  <c r="N361" i="2"/>
  <c r="N476" i="2"/>
  <c r="M471" i="2"/>
  <c r="K379" i="2"/>
  <c r="M287" i="2"/>
  <c r="K23" i="2"/>
  <c r="K54" i="2"/>
  <c r="L176" i="2"/>
  <c r="M428" i="2"/>
  <c r="N372" i="2"/>
  <c r="K225" i="2"/>
  <c r="N434" i="2"/>
  <c r="M141" i="2"/>
  <c r="N538" i="2"/>
  <c r="L440" i="2"/>
  <c r="N544" i="2"/>
  <c r="K444" i="2"/>
  <c r="M516" i="2"/>
  <c r="L192" i="2"/>
  <c r="N584" i="2"/>
  <c r="K254" i="2"/>
  <c r="N333" i="2"/>
  <c r="M54" i="2"/>
  <c r="K287" i="2"/>
  <c r="M519" i="2"/>
  <c r="K170" i="2"/>
  <c r="K339" i="2"/>
  <c r="L531" i="2"/>
  <c r="K183" i="2"/>
  <c r="M51" i="2"/>
  <c r="M368" i="2"/>
  <c r="L484" i="2"/>
  <c r="K357" i="2"/>
  <c r="K479" i="2"/>
  <c r="M431" i="2"/>
  <c r="M328" i="2"/>
  <c r="N528" i="2"/>
  <c r="L339" i="2"/>
  <c r="N511" i="2"/>
  <c r="M518" i="2"/>
  <c r="N143" i="2"/>
  <c r="K335" i="2"/>
  <c r="N17" i="2"/>
  <c r="K260" i="2"/>
  <c r="L185" i="2"/>
  <c r="K325" i="2"/>
  <c r="M500" i="2"/>
  <c r="M301" i="2"/>
  <c r="L236" i="2"/>
  <c r="L153" i="2"/>
  <c r="N44" i="2"/>
  <c r="K214" i="2"/>
  <c r="K452" i="2"/>
  <c r="K447" i="2"/>
  <c r="L56" i="2"/>
  <c r="L18" i="2"/>
  <c r="M478" i="2"/>
  <c r="K262" i="2"/>
  <c r="M143" i="2"/>
  <c r="K500" i="2"/>
  <c r="M198" i="2"/>
  <c r="N183" i="2"/>
  <c r="M423" i="2"/>
  <c r="M420" i="2"/>
  <c r="K440" i="2"/>
  <c r="M105" i="2"/>
  <c r="N216" i="2"/>
  <c r="M265" i="2"/>
  <c r="L533" i="2"/>
  <c r="M561" i="2"/>
  <c r="N406" i="2"/>
  <c r="N54" i="2"/>
  <c r="L228" i="2"/>
  <c r="N18" i="2"/>
  <c r="M322" i="2"/>
  <c r="N62" i="2"/>
  <c r="N463" i="2"/>
  <c r="L271" i="2"/>
  <c r="N41" i="2"/>
  <c r="K353" i="2"/>
  <c r="N161" i="2"/>
  <c r="K178" i="2"/>
  <c r="M528" i="2"/>
  <c r="M496" i="2"/>
  <c r="K429" i="2"/>
  <c r="K114" i="2"/>
  <c r="K471" i="2"/>
  <c r="L287" i="2"/>
  <c r="M460" i="2"/>
  <c r="K274" i="2"/>
  <c r="M271" i="2"/>
  <c r="N354" i="2"/>
  <c r="M68" i="2"/>
  <c r="N339" i="2"/>
  <c r="N479" i="2"/>
  <c r="M131" i="2"/>
  <c r="K386" i="2"/>
  <c r="K40" i="2"/>
  <c r="N12" i="2"/>
  <c r="L449" i="2"/>
  <c r="K470" i="2"/>
  <c r="K412" i="2"/>
  <c r="M419" i="2"/>
  <c r="L471" i="2"/>
  <c r="K121" i="2"/>
  <c r="L54" i="2"/>
  <c r="M352" i="2"/>
  <c r="K423" i="2"/>
  <c r="K407" i="2"/>
  <c r="K538" i="2"/>
  <c r="N298" i="2"/>
  <c r="N77" i="2"/>
  <c r="K461" i="2"/>
  <c r="K226" i="2"/>
  <c r="L138" i="2"/>
  <c r="M576" i="2"/>
  <c r="M136" i="2"/>
  <c r="K560" i="2"/>
  <c r="L90" i="2"/>
  <c r="N471" i="2"/>
  <c r="N245" i="2"/>
  <c r="L421" i="2"/>
  <c r="L381" i="2"/>
  <c r="K110" i="2"/>
  <c r="K195" i="2"/>
  <c r="N5" i="2"/>
  <c r="L124" i="2"/>
  <c r="N444" i="2"/>
  <c r="K10" i="2"/>
  <c r="K363" i="2"/>
  <c r="N412" i="2"/>
  <c r="K369" i="2"/>
  <c r="M510" i="2"/>
  <c r="M274" i="2"/>
  <c r="L514" i="2"/>
  <c r="L519" i="2"/>
  <c r="K85" i="2"/>
  <c r="M386" i="2"/>
  <c r="L125" i="2"/>
  <c r="N391" i="2"/>
  <c r="M319" i="2"/>
  <c r="L435" i="2"/>
  <c r="L168" i="2"/>
  <c r="N397" i="2"/>
  <c r="N358" i="2"/>
  <c r="K583" i="2"/>
  <c r="M184" i="2"/>
  <c r="K53" i="2"/>
  <c r="N368" i="2"/>
  <c r="K498" i="2"/>
  <c r="N447" i="2"/>
  <c r="L45" i="2"/>
  <c r="N125" i="2"/>
  <c r="L159" i="2"/>
  <c r="L173" i="2"/>
  <c r="N552" i="2"/>
  <c r="K29" i="2"/>
  <c r="L365" i="2"/>
  <c r="L216" i="2"/>
  <c r="K383" i="2"/>
  <c r="N564" i="2"/>
  <c r="L480" i="2"/>
  <c r="L199" i="2"/>
  <c r="M570" i="2"/>
  <c r="N23" i="2"/>
  <c r="K153" i="2"/>
  <c r="M568" i="2"/>
  <c r="M408" i="2"/>
  <c r="M268" i="2"/>
  <c r="L53" i="2"/>
  <c r="N274" i="2"/>
  <c r="K297" i="2"/>
  <c r="M498" i="2"/>
  <c r="M168" i="2"/>
  <c r="K391" i="2"/>
  <c r="M444" i="2"/>
  <c r="N290" i="2"/>
  <c r="N82" i="2"/>
  <c r="L503" i="2"/>
  <c r="M173" i="2"/>
  <c r="M385" i="2"/>
  <c r="N231" i="2"/>
  <c r="K137" i="2"/>
  <c r="M138" i="2"/>
  <c r="N536" i="2"/>
  <c r="K89" i="2"/>
  <c r="K406" i="2"/>
  <c r="N327" i="2"/>
  <c r="K228" i="2"/>
  <c r="M79" i="2"/>
  <c r="L290" i="2"/>
  <c r="K290" i="2"/>
  <c r="N171" i="2"/>
  <c r="M117" i="2"/>
  <c r="N170" i="2"/>
  <c r="K135" i="2"/>
  <c r="K109" i="2"/>
  <c r="L527" i="2"/>
  <c r="N586" i="2"/>
  <c r="N421" i="2"/>
  <c r="K224" i="2"/>
  <c r="L36" i="2"/>
  <c r="M293" i="2"/>
  <c r="L428" i="2"/>
  <c r="N255" i="2"/>
  <c r="M563" i="2"/>
  <c r="N420" i="2"/>
  <c r="M376" i="2"/>
  <c r="M178" i="2"/>
  <c r="K486" i="2"/>
  <c r="N90" i="2"/>
  <c r="L274" i="2"/>
  <c r="K563" i="2"/>
  <c r="K20" i="2"/>
  <c r="N357" i="2"/>
  <c r="N225" i="2"/>
  <c r="M10" i="2"/>
  <c r="N89" i="2"/>
  <c r="N153" i="2"/>
  <c r="L82" i="2"/>
  <c r="N209" i="2"/>
  <c r="M125" i="2"/>
  <c r="M89" i="2"/>
  <c r="M336" i="2"/>
  <c r="M302" i="2"/>
  <c r="M340" i="2"/>
  <c r="M199" i="2"/>
  <c r="N45" i="2"/>
  <c r="N21" i="2"/>
  <c r="K421" i="2"/>
  <c r="N462" i="2"/>
  <c r="L496" i="2"/>
  <c r="N556" i="2"/>
  <c r="N572" i="2"/>
  <c r="K484" i="2"/>
  <c r="N178" i="2"/>
  <c r="K97" i="2"/>
  <c r="N469" i="2"/>
  <c r="K544" i="2"/>
  <c r="M330" i="2"/>
  <c r="K434" i="2"/>
  <c r="K231" i="2"/>
  <c r="L135" i="2"/>
  <c r="L10" i="2"/>
  <c r="L488" i="2"/>
  <c r="L11" i="2"/>
  <c r="L368" i="2"/>
  <c r="K540" i="2"/>
  <c r="K5" i="2"/>
  <c r="K478" i="2"/>
  <c r="N565" i="2"/>
  <c r="K176" i="2"/>
  <c r="K480" i="2"/>
  <c r="L544" i="2"/>
  <c r="N363" i="2"/>
  <c r="K536" i="2"/>
  <c r="K381" i="2"/>
  <c r="M165" i="2"/>
  <c r="M12" i="2"/>
  <c r="M379" i="2"/>
  <c r="K394" i="2"/>
  <c r="L385" i="2"/>
  <c r="L204" i="2"/>
  <c r="N330" i="2"/>
  <c r="N322" i="2"/>
  <c r="M92" i="2"/>
  <c r="N507" i="2"/>
  <c r="N70" i="2"/>
  <c r="L109" i="2"/>
  <c r="N71" i="2"/>
  <c r="L493" i="2"/>
  <c r="N583" i="2"/>
  <c r="N390" i="2"/>
  <c r="L521" i="2"/>
  <c r="M232" i="2"/>
  <c r="L154" i="2"/>
  <c r="M507" i="2"/>
  <c r="N278" i="2"/>
  <c r="K47" i="2"/>
  <c r="M153" i="2"/>
  <c r="N27" i="2"/>
  <c r="N9" i="2"/>
  <c r="M387" i="2"/>
  <c r="N576" i="2"/>
  <c r="M8" i="2"/>
  <c r="M544" i="2"/>
  <c r="N458" i="2"/>
  <c r="K543" i="2"/>
  <c r="M440" i="2"/>
  <c r="N159" i="2"/>
  <c r="N204" i="2"/>
  <c r="K419" i="2"/>
  <c r="M53" i="2"/>
  <c r="M307" i="2"/>
  <c r="K327" i="2"/>
  <c r="M503" i="2"/>
  <c r="M99" i="2"/>
  <c r="M372" i="2"/>
  <c r="K296" i="2"/>
  <c r="L461" i="2"/>
  <c r="M106" i="2"/>
  <c r="L300" i="2"/>
  <c r="K197" i="2"/>
  <c r="N328" i="2"/>
  <c r="K519" i="2"/>
  <c r="L26" i="2"/>
  <c r="L341" i="2"/>
  <c r="M479" i="2"/>
  <c r="M82" i="2"/>
  <c r="M296" i="2"/>
  <c r="M285" i="2"/>
  <c r="L198" i="2"/>
  <c r="M406" i="2"/>
  <c r="M137" i="2"/>
  <c r="N131" i="2"/>
  <c r="N521" i="2"/>
  <c r="N118" i="2"/>
  <c r="M81" i="2"/>
  <c r="M204" i="2"/>
  <c r="M325" i="2"/>
  <c r="L357" i="2"/>
  <c r="K428" i="2"/>
  <c r="N210" i="2"/>
  <c r="L183" i="2"/>
  <c r="L85" i="2"/>
  <c r="L327" i="2"/>
  <c r="L8" i="2"/>
  <c r="L255" i="2"/>
  <c r="M31" i="2"/>
  <c r="L542" i="2"/>
  <c r="K404" i="2"/>
  <c r="N176" i="2"/>
  <c r="K45" i="2"/>
  <c r="M176" i="2"/>
  <c r="M562" i="2"/>
  <c r="N180" i="2"/>
  <c r="M396" i="2"/>
  <c r="K159" i="2"/>
  <c r="M464" i="2"/>
  <c r="L376" i="2"/>
  <c r="K367" i="2"/>
  <c r="K542" i="2"/>
  <c r="K68" i="2"/>
  <c r="K42" i="2"/>
  <c r="M565" i="2"/>
  <c r="N510" i="2"/>
  <c r="K56" i="2"/>
  <c r="N416" i="2"/>
  <c r="K493" i="2"/>
  <c r="K232" i="2"/>
  <c r="M365" i="2"/>
  <c r="N470" i="2"/>
  <c r="L263" i="2"/>
  <c r="L29" i="2"/>
  <c r="M130" i="2"/>
  <c r="M5" i="2"/>
  <c r="L156" i="2"/>
  <c r="N562" i="2"/>
  <c r="N271" i="2"/>
  <c r="M312" i="2"/>
  <c r="L210" i="2"/>
  <c r="K73" i="2"/>
  <c r="K145" i="2"/>
  <c r="M341" i="2"/>
  <c r="M585" i="2"/>
  <c r="M502" i="2"/>
  <c r="L590" i="2"/>
  <c r="L35" i="2"/>
  <c r="M100" i="2"/>
  <c r="K420" i="2"/>
  <c r="K307" i="2"/>
  <c r="M531" i="2"/>
  <c r="M183" i="2"/>
  <c r="M236" i="2"/>
  <c r="L337" i="2"/>
  <c r="N202" i="2"/>
  <c r="K456" i="2"/>
  <c r="K41" i="2"/>
  <c r="M448" i="2"/>
  <c r="L234" i="2"/>
  <c r="M394" i="2"/>
  <c r="M175" i="2"/>
  <c r="N450" i="2"/>
  <c r="N542" i="2"/>
  <c r="K140" i="2"/>
  <c r="M542" i="2"/>
  <c r="M523" i="2"/>
  <c r="K397" i="2"/>
  <c r="M209" i="2"/>
  <c r="N106" i="2"/>
  <c r="M309" i="2"/>
  <c r="K235" i="2"/>
  <c r="L42" i="2"/>
  <c r="K473" i="2"/>
  <c r="L548" i="2"/>
  <c r="N68" i="2"/>
  <c r="L450" i="2"/>
  <c r="K16" i="2"/>
  <c r="L12" i="2"/>
  <c r="N154" i="2"/>
  <c r="L479" i="2"/>
  <c r="L231" i="2"/>
  <c r="K204" i="2"/>
  <c r="K143" i="2"/>
  <c r="L459" i="2"/>
  <c r="L335" i="2"/>
  <c r="K459" i="2"/>
  <c r="K392" i="2"/>
  <c r="K341" i="2"/>
  <c r="K147" i="2"/>
  <c r="K284" i="2"/>
  <c r="K75" i="2"/>
  <c r="K468" i="2"/>
  <c r="L87" i="2"/>
  <c r="N342" i="2"/>
  <c r="L79" i="2"/>
  <c r="N312" i="2"/>
  <c r="N381" i="2"/>
  <c r="M154" i="2"/>
  <c r="L322" i="2"/>
  <c r="N47" i="2"/>
  <c r="N105" i="2"/>
  <c r="N257" i="2"/>
  <c r="K119" i="2"/>
  <c r="L325" i="2"/>
  <c r="K585" i="2"/>
  <c r="L574" i="2"/>
  <c r="N119" i="2"/>
  <c r="N438" i="2"/>
  <c r="K62" i="2"/>
  <c r="K395" i="2"/>
  <c r="N126" i="2"/>
  <c r="K333" i="2"/>
  <c r="M514" i="2"/>
  <c r="L423" i="2"/>
  <c r="M470" i="2"/>
  <c r="L333" i="2"/>
  <c r="N394" i="2"/>
  <c r="M80" i="2"/>
  <c r="K21" i="2"/>
  <c r="N585" i="2"/>
  <c r="N186" i="2"/>
  <c r="L396" i="2"/>
  <c r="L580" i="2"/>
  <c r="M313" i="2"/>
  <c r="M93" i="2"/>
  <c r="M432" i="2"/>
  <c r="N484" i="2"/>
  <c r="N73" i="2"/>
  <c r="N503" i="2"/>
  <c r="L379" i="2"/>
  <c r="L121" i="2"/>
  <c r="L511" i="2"/>
  <c r="M134" i="2"/>
  <c r="M521" i="2"/>
  <c r="K199" i="2"/>
  <c r="M532" i="2"/>
  <c r="N56" i="2"/>
  <c r="M77" i="2"/>
  <c r="L573" i="2"/>
  <c r="M370" i="2"/>
  <c r="M18" i="2"/>
  <c r="N173" i="2"/>
  <c r="M327" i="2"/>
  <c r="K184" i="2"/>
  <c r="L297" i="2"/>
  <c r="N472" i="2"/>
  <c r="K86" i="2"/>
  <c r="L163" i="2"/>
  <c r="K70" i="2"/>
  <c r="N460" i="2"/>
  <c r="M469" i="2"/>
  <c r="L177" i="2"/>
  <c r="N348" i="2"/>
  <c r="L348" i="2"/>
  <c r="L213" i="2"/>
  <c r="M171" i="2"/>
  <c r="N379" i="2"/>
  <c r="M515" i="2"/>
  <c r="M421" i="2"/>
  <c r="N156" i="2"/>
  <c r="K591" i="2"/>
  <c r="K334" i="2"/>
  <c r="M13" i="2"/>
  <c r="K198" i="2"/>
  <c r="M367" i="2"/>
  <c r="L150" i="2"/>
  <c r="L350" i="2"/>
  <c r="N150" i="2"/>
  <c r="K576" i="2"/>
  <c r="K469" i="2"/>
  <c r="M350" i="2"/>
  <c r="N13" i="2"/>
  <c r="N169" i="2"/>
  <c r="K572" i="2"/>
  <c r="M249" i="2"/>
  <c r="M185" i="2"/>
  <c r="K496" i="2"/>
  <c r="L40" i="2"/>
  <c r="M536" i="2"/>
  <c r="N185" i="2"/>
  <c r="N336" i="2"/>
  <c r="L296" i="2"/>
  <c r="N337" i="2"/>
  <c r="K488" i="2"/>
  <c r="L538" i="2"/>
  <c r="N592" i="2"/>
  <c r="M240" i="2"/>
  <c r="K92" i="2"/>
  <c r="N48" i="2"/>
  <c r="N184" i="2"/>
  <c r="N419" i="2"/>
  <c r="K168" i="2"/>
  <c r="L89" i="2"/>
  <c r="K531" i="2"/>
  <c r="M308" i="2"/>
  <c r="N279" i="2"/>
  <c r="L349" i="2"/>
  <c r="L240" i="2"/>
  <c r="N265" i="2"/>
  <c r="N213" i="2"/>
  <c r="N402" i="2"/>
  <c r="L401" i="2"/>
  <c r="K278" i="2"/>
  <c r="K127" i="2"/>
  <c r="L412" i="2"/>
  <c r="M581" i="2"/>
  <c r="M27" i="2"/>
  <c r="N215" i="2"/>
  <c r="K165" i="2"/>
  <c r="M124" i="2"/>
  <c r="M208" i="2"/>
  <c r="M401" i="2"/>
  <c r="M407" i="2"/>
  <c r="K396" i="2"/>
  <c r="M152" i="2"/>
  <c r="L439" i="2"/>
  <c r="N24" i="2"/>
  <c r="L107" i="2"/>
  <c r="M557" i="2"/>
  <c r="K275" i="2"/>
  <c r="L415" i="2"/>
  <c r="L397" i="2"/>
  <c r="L583" i="2"/>
  <c r="N110" i="2"/>
  <c r="L581" i="2"/>
  <c r="L361" i="2"/>
  <c r="M415" i="2"/>
  <c r="M118" i="2"/>
  <c r="N29" i="2"/>
  <c r="M383" i="2"/>
  <c r="K523" i="2"/>
  <c r="N464" i="2"/>
  <c r="K511" i="2"/>
  <c r="M392" i="2"/>
  <c r="M104" i="2"/>
  <c r="N424" i="2"/>
  <c r="L65" i="2"/>
  <c r="N345" i="2"/>
  <c r="N423" i="2"/>
  <c r="N498" i="2"/>
  <c r="N449" i="2"/>
  <c r="N31" i="2"/>
  <c r="N563" i="2"/>
  <c r="N34" i="2"/>
  <c r="N234" i="2"/>
  <c r="L323" i="2"/>
  <c r="L309" i="2"/>
  <c r="M452" i="2"/>
  <c r="N292" i="2"/>
  <c r="M180" i="2"/>
  <c r="L572" i="2"/>
  <c r="K378" i="2"/>
  <c r="M96" i="2"/>
  <c r="M90" i="2"/>
  <c r="L510" i="2"/>
  <c r="M262" i="2"/>
  <c r="M410" i="2"/>
  <c r="M78" i="2"/>
  <c r="K169" i="2"/>
  <c r="M247" i="2"/>
  <c r="K472" i="2"/>
  <c r="M200" i="2"/>
  <c r="N259" i="2"/>
  <c r="K209" i="2"/>
  <c r="K71" i="2"/>
  <c r="M15" i="2"/>
  <c r="M28" i="2"/>
  <c r="M156" i="2"/>
  <c r="K138" i="2"/>
  <c r="K245" i="2"/>
  <c r="K99" i="2"/>
  <c r="L458" i="2"/>
  <c r="N223" i="2"/>
  <c r="L585" i="2"/>
  <c r="M321" i="2"/>
  <c r="K124" i="2"/>
  <c r="N581" i="2"/>
  <c r="L532" i="2"/>
  <c r="N140" i="2"/>
  <c r="K510" i="2"/>
  <c r="N478" i="2"/>
  <c r="N317" i="2"/>
  <c r="L417" i="2"/>
  <c r="K438" i="2"/>
  <c r="K104" i="2"/>
  <c r="L144" i="2"/>
  <c r="L478" i="2"/>
  <c r="M190" i="2"/>
  <c r="L587" i="2"/>
  <c r="L394" i="2"/>
  <c r="L543" i="2"/>
  <c r="L444" i="2"/>
  <c r="M305" i="2"/>
  <c r="M391" i="2"/>
  <c r="M291" i="2"/>
  <c r="L343" i="2"/>
  <c r="L291" i="2"/>
  <c r="N266" i="2"/>
  <c r="K239" i="2"/>
  <c r="L418" i="2"/>
  <c r="M235" i="2"/>
  <c r="K387" i="2"/>
  <c r="N516" i="2"/>
  <c r="N451" i="2"/>
  <c r="M170" i="2"/>
  <c r="L178" i="2"/>
  <c r="K51" i="2"/>
  <c r="M255" i="2"/>
  <c r="K215" i="2"/>
  <c r="M270" i="2"/>
  <c r="L71" i="2"/>
  <c r="K240" i="2"/>
  <c r="K350" i="2"/>
  <c r="N401" i="2"/>
  <c r="N167" i="2"/>
  <c r="N459" i="2"/>
  <c r="N429" i="2"/>
  <c r="M364" i="2"/>
  <c r="L105" i="2"/>
  <c r="L47" i="2"/>
  <c r="L372" i="2"/>
  <c r="K514" i="2"/>
  <c r="M476" i="2"/>
  <c r="N457" i="2"/>
  <c r="N461" i="2"/>
  <c r="N224" i="2"/>
  <c r="M459" i="2"/>
  <c r="M505" i="2"/>
  <c r="M425" i="2"/>
  <c r="K216" i="2"/>
  <c r="L266" i="2"/>
  <c r="M538" i="2"/>
  <c r="N382" i="2"/>
  <c r="M466" i="2"/>
  <c r="K524" i="2"/>
  <c r="M348" i="2"/>
  <c r="N367" i="2"/>
  <c r="L498" i="2"/>
  <c r="M540" i="2"/>
  <c r="N505" i="2"/>
  <c r="N520" i="2"/>
  <c r="K483" i="2"/>
  <c r="L328" i="2"/>
  <c r="M281" i="2"/>
  <c r="N370" i="2"/>
  <c r="M284" i="2"/>
  <c r="N289" i="2"/>
  <c r="L278" i="2"/>
  <c r="N371" i="2"/>
  <c r="K352" i="2"/>
  <c r="L305" i="2"/>
  <c r="M73" i="2"/>
  <c r="N262" i="2"/>
  <c r="M524" i="2"/>
  <c r="K12" i="2"/>
  <c r="N543" i="2"/>
  <c r="K291" i="2"/>
  <c r="K213" i="2"/>
  <c r="L17" i="2"/>
  <c r="N239" i="2"/>
  <c r="N26" i="2"/>
  <c r="M169" i="2"/>
  <c r="L86" i="2"/>
  <c r="L223" i="2"/>
  <c r="N568" i="2"/>
  <c r="L114" i="2"/>
  <c r="M47" i="2"/>
  <c r="L51" i="2"/>
  <c r="K9" i="2"/>
  <c r="K78" i="2"/>
  <c r="K156" i="2"/>
  <c r="N99" i="2"/>
  <c r="N500" i="2"/>
  <c r="M317" i="2"/>
  <c r="M590" i="2"/>
  <c r="L592" i="2"/>
  <c r="K266" i="2"/>
  <c r="L302" i="2"/>
  <c r="L208" i="2"/>
  <c r="M439" i="2"/>
  <c r="N163" i="2"/>
  <c r="N8" i="2"/>
  <c r="L232" i="2"/>
  <c r="K79" i="2"/>
  <c r="K27" i="2"/>
  <c r="L486" i="2"/>
  <c r="N325" i="2"/>
  <c r="L520" i="2"/>
  <c r="M186" i="2"/>
  <c r="M214" i="2"/>
  <c r="K247" i="2"/>
  <c r="N199" i="2"/>
  <c r="N78" i="2"/>
  <c r="L242" i="2"/>
  <c r="N66" i="2"/>
  <c r="N519" i="2"/>
  <c r="N236" i="2"/>
  <c r="K113" i="2"/>
  <c r="L293" i="2"/>
  <c r="K368" i="2"/>
  <c r="L298" i="2"/>
  <c r="L472" i="2"/>
  <c r="M127" i="2"/>
  <c r="K361" i="2"/>
  <c r="N428" i="2"/>
  <c r="M438" i="2"/>
  <c r="N396" i="2"/>
  <c r="L502" i="2"/>
  <c r="K236" i="2"/>
  <c r="K43" i="2"/>
  <c r="L464" i="2"/>
  <c r="M588" i="2"/>
  <c r="L420" i="2"/>
  <c r="K234" i="2"/>
  <c r="K293" i="2"/>
  <c r="K586" i="2"/>
  <c r="K35" i="2"/>
  <c r="K577" i="2"/>
  <c r="M34" i="2"/>
  <c r="K180" i="2"/>
  <c r="M57" i="2"/>
  <c r="M109" i="2"/>
  <c r="L117" i="2"/>
  <c r="M145" i="2"/>
  <c r="N144" i="2"/>
  <c r="N335" i="2"/>
  <c r="L141" i="2"/>
  <c r="N395" i="2"/>
  <c r="M297" i="2"/>
  <c r="K298" i="2"/>
  <c r="N404" i="2"/>
  <c r="K118" i="2"/>
  <c r="N287" i="2"/>
  <c r="N138" i="2"/>
  <c r="L68" i="2"/>
  <c r="K592" i="2"/>
  <c r="N427" i="2"/>
  <c r="K319" i="2"/>
  <c r="M520" i="2"/>
  <c r="M512" i="2"/>
  <c r="N145" i="2"/>
  <c r="N494" i="2"/>
  <c r="L509" i="2"/>
  <c r="L483" i="2"/>
  <c r="N385" i="2"/>
  <c r="N302" i="2"/>
  <c r="M484" i="2"/>
  <c r="K565" i="2"/>
  <c r="M582" i="2"/>
  <c r="L175" i="2"/>
  <c r="M172" i="2"/>
  <c r="N452" i="2"/>
  <c r="L556" i="2"/>
  <c r="N175" i="2"/>
  <c r="K457" i="2"/>
  <c r="N38" i="2"/>
  <c r="K492" i="2"/>
  <c r="M361" i="2"/>
  <c r="N20" i="2"/>
  <c r="M216" i="2"/>
  <c r="K305" i="2"/>
  <c r="L457" i="2"/>
  <c r="L20" i="2"/>
  <c r="L251" i="2"/>
  <c r="M197" i="2"/>
  <c r="L392" i="2"/>
  <c r="L407" i="2"/>
  <c r="M95" i="2"/>
  <c r="K384" i="2"/>
  <c r="N319" i="2"/>
  <c r="N35" i="2"/>
  <c r="L282" i="2"/>
  <c r="K485" i="2"/>
  <c r="K161" i="2"/>
  <c r="L524" i="2"/>
  <c r="K39" i="2"/>
  <c r="N486" i="2"/>
  <c r="K528" i="2"/>
  <c r="K365" i="2"/>
  <c r="L419" i="2"/>
  <c r="N524" i="2"/>
  <c r="M337" i="2"/>
  <c r="M42" i="2"/>
  <c r="M110" i="2"/>
  <c r="L169" i="2"/>
  <c r="M292" i="2"/>
  <c r="L80" i="2"/>
  <c r="L540" i="2"/>
  <c r="M213" i="2"/>
  <c r="N492" i="2"/>
  <c r="M395" i="2"/>
  <c r="N305" i="2"/>
  <c r="L209" i="2"/>
  <c r="M290" i="2"/>
  <c r="N440" i="2"/>
  <c r="N386" i="2"/>
  <c r="N263" i="2"/>
  <c r="K532" i="2"/>
  <c r="M237" i="2"/>
  <c r="K425" i="2"/>
  <c r="K402" i="2"/>
  <c r="L206" i="2"/>
  <c r="L390" i="2"/>
  <c r="K520" i="2"/>
  <c r="M26" i="2"/>
  <c r="N410" i="2"/>
  <c r="L165" i="2"/>
  <c r="M354" i="2"/>
  <c r="N53" i="2"/>
  <c r="M9" i="2"/>
  <c r="L13" i="2"/>
  <c r="L140" i="2"/>
  <c r="N570" i="2"/>
  <c r="K251" i="2"/>
  <c r="L171" i="2"/>
  <c r="K399" i="2"/>
  <c r="L200" i="2"/>
  <c r="N523" i="2"/>
  <c r="N7" i="2"/>
  <c r="K504" i="2"/>
  <c r="K460" i="2"/>
  <c r="L143" i="2"/>
  <c r="K255" i="2"/>
  <c r="K458" i="2"/>
  <c r="K18" i="2"/>
  <c r="N79" i="2"/>
  <c r="N19" i="2"/>
  <c r="L193" i="2"/>
  <c r="N40" i="2"/>
  <c r="N10" i="2"/>
  <c r="L452" i="2"/>
  <c r="L515" i="2"/>
  <c r="L112" i="2"/>
  <c r="M150" i="2"/>
  <c r="K448" i="2"/>
  <c r="M300" i="2"/>
  <c r="K390" i="2"/>
  <c r="N113" i="2"/>
  <c r="N42" i="2"/>
  <c r="M458" i="2"/>
  <c r="K533" i="2"/>
  <c r="M35" i="2"/>
  <c r="K426" i="2"/>
  <c r="K50" i="2"/>
  <c r="N426" i="2"/>
  <c r="L494" i="2"/>
  <c r="L353" i="2"/>
  <c r="L34" i="2"/>
  <c r="N465" i="2"/>
  <c r="N97" i="2"/>
  <c r="M177" i="2"/>
  <c r="L81" i="2"/>
  <c r="M280" i="2"/>
  <c r="K193" i="2"/>
  <c r="M467" i="2"/>
  <c r="N28" i="2"/>
  <c r="M174" i="2"/>
  <c r="N295" i="2"/>
  <c r="N431" i="2"/>
  <c r="L38" i="2"/>
  <c r="L387" i="2"/>
  <c r="K569" i="2"/>
  <c r="M122" i="2"/>
  <c r="K292" i="2"/>
  <c r="N545" i="2"/>
  <c r="N192" i="2"/>
  <c r="M323" i="2"/>
  <c r="N353" i="2"/>
  <c r="N512" i="2"/>
  <c r="L229" i="2"/>
  <c r="L249" i="2"/>
  <c r="K24" i="2"/>
  <c r="K314" i="2"/>
  <c r="K371" i="2"/>
  <c r="M76" i="2"/>
  <c r="L91" i="2"/>
  <c r="L299" i="2"/>
  <c r="K259" i="2"/>
  <c r="L202" i="2"/>
  <c r="N369" i="2"/>
  <c r="L214" i="2"/>
  <c r="K331" i="2"/>
  <c r="L260" i="2"/>
  <c r="K475" i="2"/>
  <c r="N442" i="2"/>
  <c r="K516" i="2"/>
  <c r="K380" i="2"/>
  <c r="M205" i="2"/>
  <c r="M556" i="2"/>
  <c r="M567" i="2"/>
  <c r="N111" i="2"/>
  <c r="L495" i="2"/>
  <c r="L227" i="2"/>
  <c r="L326" i="2"/>
  <c r="K111" i="2"/>
  <c r="M545" i="2"/>
  <c r="L402" i="2"/>
  <c r="M123" i="2"/>
  <c r="M142" i="2"/>
  <c r="N518" i="2"/>
  <c r="L77" i="2"/>
  <c r="L505" i="2"/>
  <c r="K141" i="2"/>
  <c r="L93" i="2"/>
  <c r="L97" i="2"/>
  <c r="L265" i="2"/>
  <c r="L311" i="2"/>
  <c r="N162" i="2"/>
  <c r="N244" i="2"/>
  <c r="K44" i="2"/>
  <c r="L367" i="2"/>
  <c r="L137" i="2"/>
  <c r="M449" i="2"/>
  <c r="M339" i="2"/>
  <c r="N307" i="2"/>
  <c r="M45" i="2"/>
  <c r="L432" i="2"/>
  <c r="L308" i="2"/>
  <c r="M62" i="2"/>
  <c r="N308" i="2"/>
  <c r="N208" i="2"/>
  <c r="K237" i="2"/>
  <c r="K265" i="2"/>
  <c r="M381" i="2"/>
  <c r="K552" i="2"/>
  <c r="K32" i="2"/>
  <c r="N285" i="2"/>
  <c r="L363" i="2"/>
  <c r="N104" i="2"/>
  <c r="M333" i="2"/>
  <c r="L225" i="2"/>
  <c r="M363" i="2"/>
  <c r="M29" i="2"/>
  <c r="N214" i="2"/>
  <c r="L19" i="2"/>
  <c r="M259" i="2"/>
  <c r="M144" i="2"/>
  <c r="N117" i="2"/>
  <c r="N251" i="2"/>
  <c r="M234" i="2"/>
  <c r="L237" i="2"/>
  <c r="M586" i="2"/>
  <c r="M412" i="2"/>
  <c r="L352" i="2"/>
  <c r="L44" i="2"/>
  <c r="M493" i="2"/>
  <c r="M390" i="2"/>
  <c r="M548" i="2"/>
  <c r="K106" i="2"/>
  <c r="K134" i="2"/>
  <c r="L317" i="2"/>
  <c r="L369" i="2"/>
  <c r="K507" i="2"/>
  <c r="N496" i="2"/>
  <c r="K131" i="2"/>
  <c r="M20" i="2"/>
  <c r="M211" i="2"/>
  <c r="N51" i="2"/>
  <c r="M573" i="2"/>
  <c r="N147" i="2"/>
  <c r="L167" i="2"/>
  <c r="L129" i="2"/>
  <c r="M492" i="2"/>
  <c r="K547" i="2"/>
  <c r="L212" i="2"/>
  <c r="M41" i="2"/>
  <c r="K8" i="2"/>
  <c r="K376" i="2"/>
  <c r="N15" i="2"/>
  <c r="K167" i="2"/>
  <c r="L116" i="2"/>
  <c r="L41" i="2"/>
  <c r="L512" i="2"/>
  <c r="K100" i="2"/>
  <c r="N100" i="2"/>
  <c r="M529" i="2"/>
  <c r="N389" i="2"/>
  <c r="L276" i="2"/>
  <c r="M378" i="2"/>
  <c r="N269" i="2"/>
  <c r="K187" i="2"/>
  <c r="M295" i="2"/>
  <c r="L523" i="2"/>
  <c r="K257" i="2"/>
  <c r="K172" i="2"/>
  <c r="L431" i="2"/>
  <c r="N247" i="2"/>
  <c r="K439" i="2"/>
  <c r="L224" i="2"/>
  <c r="M463" i="2"/>
  <c r="L259" i="2"/>
  <c r="M473" i="2"/>
  <c r="N50" i="2"/>
  <c r="K285" i="2"/>
  <c r="M276" i="2"/>
  <c r="M196" i="2"/>
  <c r="K566" i="2"/>
  <c r="L267" i="2"/>
  <c r="K324" i="2"/>
  <c r="K133" i="2"/>
  <c r="L96" i="2"/>
  <c r="L482" i="2"/>
  <c r="K175" i="2"/>
  <c r="N482" i="2"/>
  <c r="M343" i="2"/>
  <c r="M554" i="2"/>
  <c r="K517" i="2"/>
  <c r="K332" i="2"/>
  <c r="N195" i="2"/>
  <c r="N57" i="2"/>
  <c r="N554" i="2"/>
  <c r="L422" i="2"/>
  <c r="M107" i="2"/>
  <c r="N377" i="2"/>
  <c r="L306" i="2"/>
  <c r="M435" i="2"/>
  <c r="N551" i="2"/>
  <c r="M346" i="2"/>
  <c r="L283" i="2"/>
  <c r="L557" i="2"/>
  <c r="L525" i="2"/>
  <c r="N315" i="2"/>
  <c r="M49" i="2"/>
  <c r="K117" i="2"/>
  <c r="M533" i="2"/>
  <c r="K150" i="2"/>
  <c r="N517" i="2"/>
  <c r="N316" i="2"/>
  <c r="M112" i="2"/>
  <c r="M63" i="2"/>
  <c r="M411" i="2"/>
  <c r="K537" i="2"/>
  <c r="M181" i="2"/>
  <c r="L470" i="2"/>
  <c r="M483" i="2"/>
  <c r="N85" i="2"/>
  <c r="N300" i="2"/>
  <c r="N493" i="2"/>
  <c r="N228" i="2"/>
  <c r="K90" i="2"/>
  <c r="L447" i="2"/>
  <c r="N580" i="2"/>
  <c r="K102" i="2"/>
  <c r="K580" i="2"/>
  <c r="M256" i="2"/>
  <c r="M43" i="2"/>
  <c r="L102" i="2"/>
  <c r="K322" i="2"/>
  <c r="N80" i="2"/>
  <c r="M126" i="2"/>
  <c r="K377" i="2"/>
  <c r="K476" i="2"/>
  <c r="L434" i="2"/>
  <c r="N124" i="2"/>
  <c r="L312" i="2"/>
  <c r="M40" i="2"/>
  <c r="L235" i="2"/>
  <c r="M266" i="2"/>
  <c r="L270" i="2"/>
  <c r="K80" i="2"/>
  <c r="N590" i="2"/>
  <c r="L92" i="2"/>
  <c r="M121" i="2"/>
  <c r="L569" i="2"/>
  <c r="L230" i="2"/>
  <c r="K372" i="2"/>
  <c r="K466" i="2"/>
  <c r="L563" i="2"/>
  <c r="L5" i="2"/>
  <c r="L170" i="2"/>
  <c r="K590" i="2"/>
  <c r="L584" i="2"/>
  <c r="L279" i="2"/>
  <c r="N135" i="2"/>
  <c r="K65" i="2"/>
  <c r="K548" i="2"/>
  <c r="K280" i="2"/>
  <c r="K31" i="2"/>
  <c r="M210" i="2"/>
  <c r="K410" i="2"/>
  <c r="K271" i="2"/>
  <c r="N483" i="2"/>
  <c r="N43" i="2"/>
  <c r="L448" i="2"/>
  <c r="M201" i="2"/>
  <c r="K200" i="2"/>
  <c r="N341" i="2"/>
  <c r="L485" i="2"/>
  <c r="M344" i="2"/>
  <c r="L518" i="2"/>
  <c r="M239" i="2"/>
  <c r="M450" i="2"/>
  <c r="N230" i="2"/>
  <c r="M417" i="2"/>
  <c r="M468" i="2"/>
  <c r="N392" i="2"/>
  <c r="L284" i="2"/>
  <c r="K81" i="2"/>
  <c r="L127" i="2"/>
  <c r="M275" i="2"/>
  <c r="L318" i="2"/>
  <c r="N506" i="2"/>
  <c r="M182" i="2"/>
  <c r="K286" i="2"/>
  <c r="N589" i="2"/>
  <c r="L354" i="2"/>
  <c r="L145" i="2"/>
  <c r="L180" i="2"/>
  <c r="M254" i="2"/>
  <c r="N532" i="2"/>
  <c r="L122" i="2"/>
  <c r="M481" i="2"/>
  <c r="K248" i="2"/>
  <c r="K530" i="2"/>
  <c r="L134" i="2"/>
  <c r="L136" i="2"/>
  <c r="M527" i="2"/>
  <c r="N134" i="2"/>
  <c r="L288" i="2"/>
  <c r="N400" i="2"/>
  <c r="L59" i="2"/>
  <c r="N217" i="2"/>
  <c r="K61" i="2"/>
  <c r="N491" i="2"/>
  <c r="M480" i="2"/>
  <c r="K229" i="2"/>
  <c r="K418" i="2"/>
  <c r="L550" i="2"/>
  <c r="N502" i="2"/>
  <c r="N237" i="2"/>
  <c r="K190" i="2"/>
  <c r="N284" i="2"/>
  <c r="L562" i="2"/>
  <c r="K164" i="2"/>
  <c r="K502" i="2"/>
  <c r="M86" i="2"/>
  <c r="M377" i="2"/>
  <c r="L314" i="2"/>
  <c r="K120" i="2"/>
  <c r="L355" i="2"/>
  <c r="M288" i="2"/>
  <c r="K221" i="2"/>
  <c r="M243" i="2"/>
  <c r="K313" i="2"/>
  <c r="K152" i="2"/>
  <c r="L382" i="2"/>
  <c r="L304" i="2"/>
  <c r="M251" i="2"/>
  <c r="K385" i="2"/>
  <c r="L104" i="2"/>
  <c r="N578" i="2"/>
  <c r="K349" i="2"/>
  <c r="M224" i="2"/>
  <c r="M248" i="2"/>
  <c r="N226" i="2"/>
  <c r="M426" i="2"/>
  <c r="L507" i="2"/>
  <c r="M445" i="2"/>
  <c r="N437" i="2"/>
  <c r="K244" i="2"/>
  <c r="K154" i="2"/>
  <c r="M245" i="2"/>
  <c r="L9" i="2"/>
  <c r="K521" i="2"/>
  <c r="K173" i="2"/>
  <c r="L39" i="2"/>
  <c r="K358" i="2"/>
  <c r="M457" i="2"/>
  <c r="M427" i="2"/>
  <c r="L516" i="2"/>
  <c r="K443" i="2"/>
  <c r="K570" i="2"/>
  <c r="M552" i="2"/>
  <c r="K573" i="2"/>
  <c r="L582" i="2"/>
  <c r="L247" i="2"/>
  <c r="K201" i="2"/>
  <c r="K330" i="2"/>
  <c r="L215" i="2"/>
  <c r="N297" i="2"/>
  <c r="K96" i="2"/>
  <c r="L330" i="2"/>
  <c r="M159" i="2"/>
  <c r="N323" i="2"/>
  <c r="K206" i="2"/>
  <c r="K562" i="2"/>
  <c r="M119" i="2"/>
  <c r="K208" i="2"/>
  <c r="N313" i="2"/>
  <c r="M511" i="2"/>
  <c r="N139" i="2"/>
  <c r="L504" i="2"/>
  <c r="N540" i="2"/>
  <c r="L130" i="2"/>
  <c r="K105" i="2"/>
  <c r="M434" i="2"/>
  <c r="L438" i="2"/>
  <c r="L147" i="2"/>
  <c r="L568" i="2"/>
  <c r="N488" i="2"/>
  <c r="K77" i="2"/>
  <c r="L391" i="2"/>
  <c r="M353" i="2"/>
  <c r="N276" i="2"/>
  <c r="L404" i="2"/>
  <c r="L31" i="2"/>
  <c r="K432" i="2"/>
  <c r="M404" i="2"/>
  <c r="L552" i="2"/>
  <c r="N296" i="2"/>
  <c r="M472" i="2"/>
  <c r="N574" i="2"/>
  <c r="L366" i="2"/>
  <c r="N114" i="2"/>
  <c r="M534" i="2"/>
  <c r="N409" i="2"/>
  <c r="N233" i="2"/>
  <c r="K309" i="2"/>
  <c r="K584" i="2"/>
  <c r="M19" i="2"/>
  <c r="M74" i="2"/>
  <c r="N474" i="2"/>
  <c r="K38" i="2"/>
  <c r="N349" i="2"/>
  <c r="M311" i="2"/>
  <c r="K501" i="2"/>
  <c r="M114" i="2"/>
  <c r="N393" i="2"/>
  <c r="M22" i="2"/>
  <c r="K551" i="2"/>
  <c r="K442" i="2"/>
  <c r="K338" i="2"/>
  <c r="K449" i="2"/>
  <c r="M591" i="2"/>
  <c r="K518" i="2"/>
  <c r="N591" i="2"/>
  <c r="N102" i="2"/>
  <c r="K556" i="2"/>
  <c r="M48" i="2"/>
  <c r="M261" i="2"/>
  <c r="M189" i="2"/>
  <c r="M456" i="2"/>
  <c r="N448" i="2"/>
  <c r="K59" i="2"/>
  <c r="M553" i="2"/>
  <c r="K370" i="2"/>
  <c r="K499" i="2"/>
  <c r="K142" i="2"/>
  <c r="N485" i="2"/>
  <c r="M2" i="2"/>
  <c r="N467" i="2"/>
  <c r="L443" i="2"/>
  <c r="M263" i="2"/>
  <c r="L427" i="2"/>
  <c r="K337" i="2"/>
  <c r="L172" i="2"/>
  <c r="K48" i="2"/>
  <c r="M229" i="2"/>
  <c r="N553" i="2"/>
  <c r="M488" i="2"/>
  <c r="K408" i="2"/>
  <c r="M278" i="2"/>
  <c r="L378" i="2"/>
  <c r="K84" i="2"/>
  <c r="N537" i="2"/>
  <c r="L75" i="2"/>
  <c r="M4" i="2"/>
  <c r="K269" i="2"/>
  <c r="K490" i="2"/>
  <c r="L30" i="2"/>
  <c r="L468" i="2"/>
  <c r="L405" i="2"/>
  <c r="N258" i="2"/>
  <c r="N529" i="2"/>
  <c r="K125" i="2"/>
  <c r="K210" i="2"/>
  <c r="K263" i="2"/>
  <c r="N407" i="2"/>
  <c r="N408" i="2"/>
  <c r="L254" i="2"/>
  <c r="K57" i="2"/>
  <c r="N309" i="2"/>
  <c r="K308" i="2"/>
  <c r="N417" i="2"/>
  <c r="M475" i="2"/>
  <c r="M225" i="2"/>
  <c r="L70" i="2"/>
  <c r="M257" i="2"/>
  <c r="K415" i="2"/>
  <c r="K323" i="2"/>
  <c r="N293" i="2"/>
  <c r="N121" i="2"/>
  <c r="K108" i="2"/>
  <c r="N229" i="2"/>
  <c r="L413" i="2"/>
  <c r="L364" i="2"/>
  <c r="K270" i="2"/>
  <c r="K17" i="2"/>
  <c r="N32" i="2"/>
  <c r="N534" i="2"/>
  <c r="M522" i="2"/>
  <c r="N133" i="2"/>
  <c r="K343" i="2"/>
  <c r="L257" i="2"/>
  <c r="N197" i="2"/>
  <c r="M572" i="2"/>
  <c r="N569" i="2"/>
  <c r="L546" i="2"/>
  <c r="N413" i="2"/>
  <c r="L313" i="2"/>
  <c r="N248" i="2"/>
  <c r="N205" i="2"/>
  <c r="M157" i="2"/>
  <c r="N533" i="2"/>
  <c r="L186" i="2"/>
  <c r="K277" i="2"/>
  <c r="M569" i="2"/>
  <c r="M517" i="2"/>
  <c r="K464" i="2"/>
  <c r="K93" i="2"/>
  <c r="N366" i="2"/>
  <c r="N76" i="2"/>
  <c r="M405" i="2"/>
  <c r="M497" i="2"/>
  <c r="K522" i="2"/>
  <c r="L384" i="2"/>
  <c r="M221" i="2"/>
  <c r="K351" i="2"/>
  <c r="K474" i="2"/>
  <c r="L513" i="2"/>
  <c r="L508" i="2"/>
  <c r="L133" i="2"/>
  <c r="N587" i="2"/>
  <c r="N232" i="2"/>
  <c r="N270" i="2"/>
  <c r="L239" i="2"/>
  <c r="L319" i="2"/>
  <c r="M140" i="2"/>
  <c r="M233" i="2"/>
  <c r="M279" i="2"/>
  <c r="L424" i="2"/>
  <c r="L106" i="2"/>
  <c r="M242" i="2"/>
  <c r="K139" i="2"/>
  <c r="N65" i="2"/>
  <c r="L248" i="2"/>
  <c r="K30" i="2"/>
  <c r="K186" i="2"/>
  <c r="M149" i="2"/>
  <c r="M398" i="2"/>
  <c r="L110" i="2"/>
  <c r="L233" i="2"/>
  <c r="K19" i="2"/>
  <c r="N475" i="2"/>
  <c r="L197" i="2"/>
  <c r="M139" i="2"/>
  <c r="N206" i="2"/>
  <c r="L374" i="2"/>
  <c r="L191" i="2"/>
  <c r="L219" i="2"/>
  <c r="M437" i="2"/>
  <c r="K489" i="2"/>
  <c r="K67" i="2"/>
  <c r="L174" i="2"/>
  <c r="N188" i="2"/>
  <c r="K329" i="2"/>
  <c r="N351" i="2"/>
  <c r="L286" i="2"/>
  <c r="K400" i="2"/>
  <c r="N37" i="2"/>
  <c r="N187" i="2"/>
  <c r="K13" i="2"/>
  <c r="K401" i="2"/>
  <c r="K424" i="2"/>
  <c r="L500" i="2"/>
  <c r="M71" i="2"/>
  <c r="M202" i="2"/>
  <c r="L383" i="2"/>
  <c r="K427" i="2"/>
  <c r="K63" i="2"/>
  <c r="M380" i="2"/>
  <c r="M97" i="2"/>
  <c r="L475" i="2"/>
  <c r="L501" i="2"/>
  <c r="L473" i="2"/>
  <c r="L465" i="2"/>
  <c r="N261" i="2"/>
  <c r="L21" i="2"/>
  <c r="L591" i="2"/>
  <c r="N112" i="2"/>
  <c r="N201" i="2"/>
  <c r="K568" i="2"/>
  <c r="N501" i="2"/>
  <c r="K505" i="2"/>
  <c r="L100" i="2"/>
  <c r="M374" i="2"/>
  <c r="K455" i="2"/>
  <c r="N346" i="2"/>
  <c r="M593" i="2"/>
  <c r="K409" i="2"/>
  <c r="M331" i="2"/>
  <c r="L151" i="2"/>
  <c r="L455" i="2"/>
  <c r="M332" i="2"/>
  <c r="L453" i="2"/>
  <c r="L289" i="2"/>
  <c r="L359" i="2"/>
  <c r="N549" i="2"/>
  <c r="K527" i="2"/>
  <c r="K294" i="2"/>
  <c r="N350" i="2"/>
  <c r="M574" i="2"/>
  <c r="K149" i="2"/>
  <c r="N242" i="2"/>
  <c r="M30" i="2"/>
  <c r="N95" i="2"/>
  <c r="K288" i="2"/>
  <c r="M160" i="2"/>
  <c r="M451" i="2"/>
  <c r="K115" i="2"/>
  <c r="N194" i="2"/>
  <c r="M326" i="2"/>
  <c r="M495" i="2"/>
  <c r="L303" i="2"/>
  <c r="M345" i="2"/>
  <c r="N203" i="2"/>
  <c r="N58" i="2"/>
  <c r="K436" i="2"/>
  <c r="K4" i="2"/>
  <c r="M158" i="2"/>
  <c r="M316" i="2"/>
  <c r="K98" i="2"/>
  <c r="K243" i="2"/>
  <c r="N123" i="2"/>
  <c r="M244" i="2"/>
  <c r="K453" i="2"/>
  <c r="L203" i="2"/>
  <c r="L477" i="2"/>
  <c r="K450" i="2"/>
  <c r="N573" i="2"/>
  <c r="N81" i="2"/>
  <c r="M38" i="2"/>
  <c r="L380" i="2"/>
  <c r="N2" i="2"/>
  <c r="L207" i="2"/>
  <c r="N489" i="2"/>
  <c r="M559" i="2"/>
  <c r="M151" i="2"/>
  <c r="M267" i="2"/>
  <c r="K534" i="2"/>
  <c r="M446" i="2"/>
  <c r="M194" i="2"/>
  <c r="M129" i="2"/>
  <c r="M537" i="2"/>
  <c r="N329" i="2"/>
  <c r="M414" i="2"/>
  <c r="M101" i="2"/>
  <c r="N6" i="2"/>
  <c r="M571" i="2"/>
  <c r="L491" i="2"/>
  <c r="L324" i="2"/>
  <c r="N314" i="2"/>
  <c r="K2" i="2"/>
  <c r="L362" i="2"/>
  <c r="N132" i="2"/>
  <c r="K83" i="2"/>
  <c r="M389" i="2"/>
  <c r="N246" i="2"/>
  <c r="N445" i="2"/>
  <c r="L222" i="2"/>
  <c r="L194" i="2"/>
  <c r="N359" i="2"/>
  <c r="L334" i="2"/>
  <c r="K55" i="2"/>
  <c r="L268" i="2"/>
  <c r="N364" i="2"/>
  <c r="N92" i="2"/>
  <c r="L294" i="2"/>
  <c r="M7" i="2"/>
  <c r="N109" i="2"/>
  <c r="M578" i="2"/>
  <c r="K273" i="2"/>
  <c r="M546" i="2"/>
  <c r="N281" i="2"/>
  <c r="M56" i="2"/>
  <c r="L547" i="2"/>
  <c r="L456" i="2"/>
  <c r="M273" i="2"/>
  <c r="M442" i="2"/>
  <c r="L2" i="2"/>
  <c r="K69" i="2"/>
  <c r="M187" i="2"/>
  <c r="L551" i="2"/>
  <c r="N509" i="2"/>
  <c r="L157" i="2"/>
  <c r="M11" i="2"/>
  <c r="K22" i="2"/>
  <c r="K163" i="2"/>
  <c r="K276" i="2"/>
  <c r="N148" i="2"/>
  <c r="L342" i="2"/>
  <c r="N311" i="2"/>
  <c r="L375" i="2"/>
  <c r="N535" i="2"/>
  <c r="N249" i="2"/>
  <c r="K539" i="2"/>
  <c r="K430" i="2"/>
  <c r="M342" i="2"/>
  <c r="K58" i="2"/>
  <c r="M338" i="2"/>
  <c r="K52" i="2"/>
  <c r="L530" i="2"/>
  <c r="M334" i="2"/>
  <c r="K557" i="2"/>
  <c r="L181" i="2"/>
  <c r="M509" i="2"/>
  <c r="M64" i="2"/>
  <c r="M541" i="2"/>
  <c r="L430" i="2"/>
  <c r="K3" i="2"/>
  <c r="N522" i="2"/>
  <c r="L560" i="2"/>
  <c r="K491" i="2"/>
  <c r="K132" i="2"/>
  <c r="K571" i="2"/>
  <c r="L162" i="2"/>
  <c r="L220" i="2"/>
  <c r="M155" i="2"/>
  <c r="M513" i="2"/>
  <c r="M277" i="2"/>
  <c r="K66" i="2"/>
  <c r="M349" i="2"/>
  <c r="N30" i="2"/>
  <c r="L16" i="2"/>
  <c r="N149" i="2"/>
  <c r="L492" i="2"/>
  <c r="N88" i="2"/>
  <c r="K160" i="2"/>
  <c r="N558" i="2"/>
  <c r="K264" i="2"/>
  <c r="K218" i="2"/>
  <c r="K360" i="2"/>
  <c r="M299" i="2"/>
  <c r="N530" i="2"/>
  <c r="L398" i="2"/>
  <c r="L95" i="2"/>
  <c r="N83" i="2"/>
  <c r="N64" i="2"/>
  <c r="L115" i="2"/>
  <c r="N303" i="2"/>
  <c r="L33" i="2"/>
  <c r="M226" i="2"/>
  <c r="K189" i="2"/>
  <c r="M575" i="2"/>
  <c r="K126" i="2"/>
  <c r="K541" i="2"/>
  <c r="M371" i="2"/>
  <c r="L83" i="2"/>
  <c r="K72" i="2"/>
  <c r="L315" i="2"/>
  <c r="M402" i="2"/>
  <c r="L429" i="2"/>
  <c r="M413" i="2"/>
  <c r="K316" i="2"/>
  <c r="L329" i="2"/>
  <c r="N557" i="2"/>
  <c r="K315" i="2"/>
  <c r="K283" i="2"/>
  <c r="L3" i="2"/>
  <c r="K76" i="2"/>
  <c r="N207" i="2"/>
  <c r="M409" i="2"/>
  <c r="L72" i="2"/>
  <c r="N219" i="2"/>
  <c r="N103" i="2"/>
  <c r="K7" i="2"/>
  <c r="N238" i="2"/>
  <c r="L370" i="2"/>
  <c r="N142" i="2"/>
  <c r="N453" i="2"/>
  <c r="L49" i="2"/>
  <c r="M347" i="2"/>
  <c r="M455" i="2"/>
  <c r="L226" i="2"/>
  <c r="K497" i="2"/>
  <c r="M382" i="2"/>
  <c r="K422" i="2"/>
  <c r="K222" i="2"/>
  <c r="L414" i="2"/>
  <c r="L310" i="2"/>
  <c r="L467" i="2"/>
  <c r="K268" i="2"/>
  <c r="N60" i="2"/>
  <c r="M46" i="2"/>
  <c r="L497" i="2"/>
  <c r="N220" i="2"/>
  <c r="N152" i="2"/>
  <c r="N141" i="2"/>
  <c r="M164" i="2"/>
  <c r="K437" i="2"/>
  <c r="L425" i="2"/>
  <c r="L564" i="2"/>
  <c r="N331" i="2"/>
  <c r="M32" i="2"/>
  <c r="L566" i="2"/>
  <c r="K144" i="2"/>
  <c r="L399" i="2"/>
  <c r="K192" i="2"/>
  <c r="L32" i="2"/>
  <c r="L534" i="2"/>
  <c r="N74" i="2"/>
  <c r="M193" i="2"/>
  <c r="K441" i="2"/>
  <c r="K91" i="2"/>
  <c r="L451" i="2"/>
  <c r="N495" i="2"/>
  <c r="N11" i="2"/>
  <c r="K220" i="2"/>
  <c r="K345" i="2"/>
  <c r="M384" i="2"/>
  <c r="M161" i="2"/>
  <c r="N122" i="2"/>
  <c r="L539" i="2"/>
  <c r="L441" i="2"/>
  <c r="K181" i="2"/>
  <c r="L388" i="2"/>
  <c r="K64" i="2"/>
  <c r="M306" i="2"/>
  <c r="N286" i="2"/>
  <c r="N158" i="2"/>
  <c r="L187" i="2"/>
  <c r="K575" i="2"/>
  <c r="M506" i="2"/>
  <c r="N22" i="2"/>
  <c r="M218" i="2"/>
  <c r="N454" i="2"/>
  <c r="M59" i="2"/>
  <c r="L221" i="2"/>
  <c r="M179" i="2"/>
  <c r="N3" i="2"/>
  <c r="M474" i="2"/>
  <c r="L526" i="2"/>
  <c r="N67" i="2"/>
  <c r="N487" i="2"/>
  <c r="L166" i="2"/>
  <c r="N282" i="2"/>
  <c r="L111" i="2"/>
  <c r="M212" i="2"/>
  <c r="M61" i="2"/>
  <c r="M549" i="2"/>
  <c r="N63" i="2"/>
  <c r="K515" i="2"/>
  <c r="K465" i="2"/>
  <c r="L446" i="2"/>
  <c r="M65" i="2"/>
  <c r="L273" i="2"/>
  <c r="N129" i="2"/>
  <c r="N164" i="2"/>
  <c r="K494" i="2"/>
  <c r="K405" i="2"/>
  <c r="L43" i="2"/>
  <c r="N456" i="2"/>
  <c r="K463" i="2"/>
  <c r="N527" i="2"/>
  <c r="K112" i="2"/>
  <c r="N107" i="2"/>
  <c r="K512" i="2"/>
  <c r="N550" i="2"/>
  <c r="L561" i="2"/>
  <c r="L416" i="2"/>
  <c r="L345" i="2"/>
  <c r="N347" i="2"/>
  <c r="K346" i="2"/>
  <c r="N360" i="2"/>
  <c r="N344" i="2"/>
  <c r="K411" i="2"/>
  <c r="K87" i="2"/>
  <c r="N193" i="2"/>
  <c r="K535" i="2"/>
  <c r="N318" i="2"/>
  <c r="K477" i="2"/>
  <c r="L184" i="2"/>
  <c r="N108" i="2"/>
  <c r="K256" i="2"/>
  <c r="K15" i="2"/>
  <c r="M461" i="2"/>
  <c r="M167" i="2"/>
  <c r="L256" i="2"/>
  <c r="L307" i="2"/>
  <c r="L576" i="2"/>
  <c r="L164" i="2"/>
  <c r="K310" i="2"/>
  <c r="K177" i="2"/>
  <c r="L281" i="2"/>
  <c r="M592" i="2"/>
  <c r="K364" i="2"/>
  <c r="L463" i="2"/>
  <c r="N157" i="2"/>
  <c r="M135" i="2"/>
  <c r="K550" i="2"/>
  <c r="L553" i="2"/>
  <c r="K107" i="2"/>
  <c r="K366" i="2"/>
  <c r="L280" i="2"/>
  <c r="N93" i="2"/>
  <c r="N439" i="2"/>
  <c r="N332" i="2"/>
  <c r="K303" i="2"/>
  <c r="K174" i="2"/>
  <c r="L60" i="2"/>
  <c r="L285" i="2"/>
  <c r="L142" i="2"/>
  <c r="K495" i="2"/>
  <c r="K212" i="2"/>
  <c r="M360" i="2"/>
  <c r="N160" i="2"/>
  <c r="L577" i="2"/>
  <c r="L241" i="2"/>
  <c r="K295" i="2"/>
  <c r="N240" i="2"/>
  <c r="K340" i="2"/>
  <c r="K431" i="2"/>
  <c r="N515" i="2"/>
  <c r="L426" i="2"/>
  <c r="L340" i="2"/>
  <c r="L113" i="2"/>
  <c r="N256" i="2"/>
  <c r="M260" i="2"/>
  <c r="N75" i="2"/>
  <c r="N172" i="2"/>
  <c r="K561" i="2"/>
  <c r="K317" i="2"/>
  <c r="N16" i="2"/>
  <c r="L152" i="2"/>
  <c r="L94" i="2"/>
  <c r="K202" i="2"/>
  <c r="K328" i="2"/>
  <c r="L316" i="2"/>
  <c r="K356" i="2"/>
  <c r="M465" i="2"/>
  <c r="L69" i="2"/>
  <c r="L149" i="2"/>
  <c r="M399" i="2"/>
  <c r="N275" i="2"/>
  <c r="M489" i="2"/>
  <c r="K46" i="2"/>
  <c r="L575" i="2"/>
  <c r="L205" i="2"/>
  <c r="L347" i="2"/>
  <c r="L28" i="2"/>
  <c r="M289" i="2"/>
  <c r="L64" i="2"/>
  <c r="M526" i="2"/>
  <c r="K246" i="2"/>
  <c r="K347" i="2"/>
  <c r="K196" i="2"/>
  <c r="N136" i="2"/>
  <c r="K567" i="2"/>
  <c r="L48" i="2"/>
  <c r="M16" i="2"/>
  <c r="N343" i="2"/>
  <c r="M494" i="2"/>
  <c r="K553" i="2"/>
  <c r="K320" i="2"/>
  <c r="L24" i="2"/>
  <c r="N127" i="2"/>
  <c r="M356" i="2"/>
  <c r="K179" i="2"/>
  <c r="N46" i="2"/>
  <c r="K155" i="2"/>
  <c r="L506" i="2"/>
  <c r="L275" i="2"/>
  <c r="K157" i="2"/>
  <c r="N301" i="2"/>
  <c r="K355" i="2"/>
  <c r="M462" i="2"/>
  <c r="N250" i="2"/>
  <c r="M589" i="2"/>
  <c r="K146" i="2"/>
  <c r="M98" i="2"/>
  <c r="L103" i="2"/>
  <c r="K451" i="2"/>
  <c r="M535" i="2"/>
  <c r="N155" i="2"/>
  <c r="M227" i="2"/>
  <c r="M577" i="2"/>
  <c r="N436" i="2"/>
  <c r="M17" i="2"/>
  <c r="L74" i="2"/>
  <c r="N273" i="2"/>
  <c r="L190" i="2"/>
  <c r="N264" i="2"/>
  <c r="K95" i="2"/>
  <c r="K219" i="2"/>
  <c r="K301" i="2"/>
  <c r="L454" i="2"/>
  <c r="K388" i="2"/>
  <c r="M88" i="2"/>
  <c r="L541" i="2"/>
  <c r="N555" i="2"/>
  <c r="K362" i="2"/>
  <c r="K513" i="2"/>
  <c r="L160" i="2"/>
  <c r="M37" i="2"/>
  <c r="L436" i="2"/>
  <c r="N14" i="2"/>
  <c r="M128" i="2"/>
  <c r="M487" i="2"/>
  <c r="L490" i="2"/>
  <c r="N294" i="2"/>
  <c r="K318" i="2"/>
  <c r="K11" i="2"/>
  <c r="N280" i="2"/>
  <c r="L148" i="2"/>
  <c r="N559" i="2"/>
  <c r="M246" i="2"/>
  <c r="K94" i="2"/>
  <c r="M217" i="2"/>
  <c r="M490" i="2"/>
  <c r="M430" i="2"/>
  <c r="M87" i="2"/>
  <c r="M6" i="2"/>
  <c r="N49" i="2"/>
  <c r="N546" i="2"/>
  <c r="M564" i="2"/>
  <c r="M50" i="2"/>
  <c r="M315" i="2"/>
  <c r="N376" i="2"/>
  <c r="N398" i="2"/>
  <c r="N383" i="2"/>
  <c r="K413" i="2"/>
  <c r="N579" i="2"/>
  <c r="N473" i="2"/>
  <c r="N418" i="2"/>
  <c r="N504" i="2"/>
  <c r="N378" i="2"/>
  <c r="K558" i="2"/>
  <c r="L7" i="2"/>
  <c r="M163" i="2"/>
  <c r="M241" i="2"/>
  <c r="L589" i="2"/>
  <c r="M264" i="2"/>
  <c r="N405" i="2"/>
  <c r="M269" i="2"/>
  <c r="K359" i="2"/>
  <c r="L356" i="2"/>
  <c r="M560" i="2"/>
  <c r="L55" i="2"/>
  <c r="M195" i="2"/>
  <c r="L161" i="2"/>
  <c r="L101" i="2"/>
  <c r="N567" i="2"/>
  <c r="L189" i="2"/>
  <c r="L559" i="2"/>
  <c r="N101" i="2"/>
  <c r="N25" i="2"/>
  <c r="K403" i="2"/>
  <c r="M453" i="2"/>
  <c r="L373" i="2"/>
  <c r="M362" i="2"/>
  <c r="N324" i="2"/>
  <c r="K241" i="2"/>
  <c r="L445" i="2"/>
  <c r="N84" i="2"/>
  <c r="N588" i="2"/>
  <c r="K250" i="2"/>
  <c r="L52" i="2"/>
  <c r="K462" i="2"/>
  <c r="M587" i="2"/>
  <c r="K14" i="2"/>
  <c r="K36" i="2"/>
  <c r="L371" i="2"/>
  <c r="N541" i="2"/>
  <c r="K258" i="2"/>
  <c r="K148" i="2"/>
  <c r="N577" i="2"/>
  <c r="N355" i="2"/>
  <c r="L474" i="2"/>
  <c r="N98" i="2"/>
  <c r="K272" i="2"/>
  <c r="L120" i="2"/>
  <c r="N508" i="2"/>
  <c r="M103" i="2"/>
  <c r="L437" i="2"/>
  <c r="L6" i="2"/>
  <c r="M72" i="2"/>
  <c r="N362" i="2"/>
  <c r="M454" i="2"/>
  <c r="M283" i="2"/>
  <c r="L155" i="2"/>
  <c r="M60" i="2"/>
  <c r="K88" i="2"/>
  <c r="M191" i="2"/>
  <c r="M424" i="2"/>
  <c r="K417" i="2"/>
  <c r="K506" i="2"/>
  <c r="N4" i="2"/>
  <c r="M24" i="2"/>
  <c r="M324" i="2"/>
  <c r="L360" i="2"/>
  <c r="L123" i="2"/>
  <c r="L331" i="2"/>
  <c r="K304" i="2"/>
  <c r="N422" i="2"/>
  <c r="M83" i="2"/>
  <c r="K549" i="2"/>
  <c r="N52" i="2"/>
  <c r="M25" i="2"/>
  <c r="L321" i="2"/>
  <c r="M222" i="2"/>
  <c r="M355" i="2"/>
  <c r="K433" i="2"/>
  <c r="K299" i="2"/>
  <c r="N33" i="2"/>
  <c r="M66" i="2"/>
  <c r="L269" i="2"/>
  <c r="K454" i="2"/>
  <c r="K382" i="2"/>
  <c r="M558" i="2"/>
  <c r="L37" i="2"/>
  <c r="L76" i="2"/>
  <c r="K227" i="2"/>
  <c r="N227" i="2"/>
  <c r="K282" i="2"/>
  <c r="M433" i="2"/>
  <c r="K375" i="2"/>
  <c r="L132" i="2"/>
  <c r="K344" i="2"/>
  <c r="L50" i="2"/>
  <c r="K136" i="2"/>
  <c r="K74" i="2"/>
  <c r="N291" i="2"/>
  <c r="N86" i="2"/>
  <c r="K574" i="2"/>
  <c r="L63" i="2"/>
  <c r="M69" i="2"/>
  <c r="M566" i="2"/>
  <c r="M501" i="2"/>
  <c r="M584" i="2"/>
  <c r="L139" i="2"/>
  <c r="N388" i="2"/>
  <c r="K311" i="2"/>
  <c r="L84" i="2"/>
  <c r="N497" i="2"/>
  <c r="L188" i="2"/>
  <c r="K207" i="2"/>
  <c r="L126" i="2"/>
  <c r="K445" i="2"/>
  <c r="L46" i="2"/>
  <c r="N120" i="2"/>
  <c r="M314" i="2"/>
  <c r="K25" i="2"/>
  <c r="K342" i="2"/>
  <c r="N433" i="2"/>
  <c r="N55" i="2"/>
  <c r="M166" i="2"/>
  <c r="K416" i="2"/>
  <c r="K526" i="2"/>
  <c r="K508" i="2"/>
  <c r="N477" i="2"/>
  <c r="M400" i="2"/>
  <c r="L238" i="2"/>
  <c r="L252" i="2"/>
  <c r="N513" i="2"/>
  <c r="M75" i="2"/>
  <c r="M238" i="2"/>
  <c r="N571" i="2"/>
  <c r="N116" i="2"/>
  <c r="L529" i="2"/>
  <c r="K289" i="2"/>
  <c r="N403" i="2"/>
  <c r="L487" i="2"/>
  <c r="K116" i="2"/>
  <c r="N593" i="2"/>
  <c r="N375" i="2"/>
  <c r="M36" i="2"/>
  <c r="M555" i="2"/>
  <c r="M55" i="2"/>
  <c r="N283" i="2"/>
  <c r="N91" i="2"/>
  <c r="K467" i="2"/>
  <c r="M133" i="2"/>
  <c r="M146" i="2"/>
  <c r="L301" i="2"/>
  <c r="M252" i="2"/>
  <c r="K6" i="2"/>
  <c r="N128" i="2"/>
  <c r="L250" i="2"/>
  <c r="M525" i="2"/>
  <c r="K482" i="2"/>
  <c r="N399" i="2"/>
  <c r="K230" i="2"/>
  <c r="M429" i="2"/>
  <c r="M230" i="2"/>
  <c r="M351" i="2"/>
  <c r="M304" i="2"/>
  <c r="M579" i="2"/>
  <c r="M436" i="2"/>
  <c r="M258" i="2"/>
  <c r="K414" i="2"/>
  <c r="M403" i="2"/>
  <c r="M303" i="2"/>
  <c r="L409" i="2"/>
  <c r="N334" i="2"/>
  <c r="N441" i="2"/>
  <c r="N212" i="2"/>
  <c r="N94" i="2"/>
  <c r="K509" i="2"/>
  <c r="L571" i="2"/>
  <c r="N561" i="2"/>
  <c r="L535" i="2"/>
  <c r="N430" i="2"/>
  <c r="N304" i="2"/>
  <c r="N146" i="2"/>
  <c r="N575" i="2"/>
  <c r="L411" i="2"/>
  <c r="N560" i="2"/>
  <c r="N272" i="2"/>
  <c r="K37" i="2"/>
  <c r="K162" i="2"/>
  <c r="L66" i="2"/>
  <c r="L433" i="2"/>
  <c r="L98" i="2"/>
  <c r="N526" i="2"/>
  <c r="M530" i="2"/>
  <c r="N218" i="2"/>
  <c r="N499" i="2"/>
  <c r="K252" i="2"/>
  <c r="L377" i="2"/>
  <c r="M115" i="2"/>
  <c r="K194" i="2"/>
  <c r="N243" i="2"/>
  <c r="K589" i="2"/>
  <c r="N338" i="2"/>
  <c r="L146" i="2"/>
  <c r="M250" i="2"/>
  <c r="M132" i="2"/>
  <c r="K555" i="2"/>
  <c r="N191" i="2"/>
  <c r="N177" i="2"/>
  <c r="K564" i="2"/>
  <c r="L462" i="2"/>
  <c r="N480" i="2"/>
  <c r="L570" i="2"/>
  <c r="L408" i="2"/>
  <c r="M366" i="2"/>
  <c r="L578" i="2"/>
  <c r="L351" i="2"/>
  <c r="N547" i="2"/>
  <c r="M418" i="2"/>
  <c r="N277" i="2"/>
  <c r="K481" i="2"/>
  <c r="L277" i="2"/>
  <c r="N481" i="2"/>
  <c r="M116" i="2"/>
  <c r="M416" i="2"/>
  <c r="L537" i="2"/>
  <c r="N455" i="2"/>
  <c r="L58" i="2"/>
  <c r="L558" i="2"/>
  <c r="K306" i="2"/>
  <c r="M162" i="2"/>
  <c r="K281" i="2"/>
  <c r="L258" i="2"/>
  <c r="N446" i="2"/>
  <c r="M111" i="2"/>
  <c r="M499" i="2"/>
  <c r="N525" i="2"/>
  <c r="L567" i="2"/>
  <c r="K151" i="2"/>
  <c r="N166" i="2"/>
  <c r="N69" i="2"/>
  <c r="M207" i="2"/>
  <c r="K435" i="2"/>
  <c r="L243" i="2"/>
  <c r="N268" i="2"/>
  <c r="N566" i="2"/>
  <c r="L338" i="2"/>
  <c r="N411" i="2"/>
  <c r="L196" i="2"/>
  <c r="K487" i="2"/>
  <c r="K238" i="2"/>
  <c r="K128" i="2"/>
  <c r="M33" i="2"/>
  <c r="L295" i="2"/>
  <c r="K261" i="2"/>
  <c r="N267" i="2"/>
  <c r="N241" i="2"/>
  <c r="M508" i="2"/>
  <c r="L272" i="2"/>
  <c r="K588" i="2"/>
  <c r="L261" i="2"/>
  <c r="N151" i="2"/>
  <c r="M441" i="2"/>
  <c r="L344" i="2"/>
  <c r="L549" i="2"/>
  <c r="N288" i="2"/>
  <c r="K123" i="2"/>
  <c r="L489" i="2"/>
  <c r="L22" i="2"/>
  <c r="K103" i="2"/>
  <c r="L403" i="2"/>
  <c r="N61" i="2"/>
  <c r="K593" i="2"/>
  <c r="L218" i="2"/>
  <c r="K203" i="2"/>
  <c r="N179" i="2"/>
  <c r="K49" i="2"/>
  <c r="K166" i="2"/>
  <c r="M203" i="2"/>
  <c r="N299" i="2"/>
  <c r="K33" i="2"/>
  <c r="K182" i="2"/>
  <c r="N326" i="2"/>
  <c r="K587" i="2"/>
  <c r="K60" i="2"/>
  <c r="N384" i="2"/>
  <c r="M310" i="2"/>
  <c r="K28" i="2"/>
  <c r="K389" i="2"/>
  <c r="N87" i="2"/>
  <c r="M272" i="2"/>
  <c r="L442" i="2"/>
  <c r="M120" i="2"/>
  <c r="M188" i="2"/>
  <c r="L389" i="2"/>
  <c r="M477" i="2"/>
  <c r="L14" i="2"/>
  <c r="M422" i="2"/>
  <c r="L264" i="2"/>
  <c r="M148" i="2"/>
  <c r="M58" i="2"/>
  <c r="M393" i="2"/>
  <c r="M551" i="2"/>
  <c r="K393" i="2"/>
  <c r="L158" i="2"/>
  <c r="N490" i="2"/>
  <c r="K217" i="2"/>
  <c r="N196" i="2"/>
  <c r="M3" i="2"/>
  <c r="N321" i="2"/>
  <c r="L15" i="2"/>
  <c r="K525" i="2"/>
  <c r="L517" i="2"/>
  <c r="K546" i="2"/>
  <c r="K398" i="2"/>
  <c r="M84" i="2"/>
  <c r="M108" i="2"/>
  <c r="N340" i="2"/>
  <c r="K554" i="2"/>
  <c r="L395" i="2"/>
  <c r="M192" i="2"/>
  <c r="L292" i="2"/>
  <c r="K191" i="2"/>
  <c r="K545" i="2"/>
  <c r="N356" i="2"/>
  <c r="L119" i="2"/>
  <c r="M550" i="2"/>
  <c r="L545" i="2"/>
  <c r="M504" i="2"/>
  <c r="L469" i="2"/>
  <c r="N468" i="2"/>
  <c r="K122" i="2"/>
  <c r="N310" i="2"/>
  <c r="M329" i="2"/>
  <c r="N59" i="2"/>
  <c r="M547" i="2"/>
  <c r="K446" i="2"/>
  <c r="L67" i="2"/>
  <c r="N174" i="2"/>
  <c r="L593" i="2"/>
  <c r="N181" i="2"/>
  <c r="L346" i="2"/>
  <c r="M219" i="2"/>
  <c r="L88" i="2"/>
  <c r="K129" i="2"/>
  <c r="L128" i="2"/>
  <c r="M485" i="2"/>
  <c r="K326" i="2"/>
  <c r="N306" i="2"/>
  <c r="N190" i="2"/>
  <c r="L579" i="2"/>
  <c r="L217" i="2"/>
  <c r="N222" i="2"/>
  <c r="N414" i="2"/>
  <c r="K529" i="2"/>
  <c r="M388" i="2"/>
  <c r="N221" i="2"/>
  <c r="L400" i="2"/>
  <c r="L253" i="2"/>
  <c r="M359" i="2"/>
  <c r="L393" i="2"/>
  <c r="L332" i="2"/>
  <c r="K188" i="2"/>
  <c r="M253" i="2"/>
  <c r="K158" i="2"/>
  <c r="M373" i="2"/>
  <c r="K373" i="2"/>
  <c r="L499" i="2"/>
  <c r="M67" i="2"/>
  <c r="M318" i="2"/>
  <c r="M539" i="2"/>
  <c r="M52" i="2"/>
  <c r="M14" i="2"/>
  <c r="L61" i="2"/>
  <c r="N320" i="2"/>
  <c r="L320" i="2"/>
  <c r="N189" i="2"/>
  <c r="L182" i="2"/>
  <c r="L244" i="2"/>
  <c r="N72" i="2"/>
  <c r="K249" i="2"/>
  <c r="N115" i="2"/>
  <c r="K579" i="2"/>
  <c r="M491" i="2"/>
  <c r="L25" i="2"/>
  <c r="N252" i="2"/>
  <c r="L555" i="2"/>
  <c r="K253" i="2"/>
  <c r="M94" i="2"/>
  <c r="L195" i="2"/>
  <c r="M375" i="2"/>
  <c r="N182" i="2"/>
  <c r="L179" i="2"/>
  <c r="N435" i="2"/>
  <c r="K101" i="2"/>
  <c r="M220" i="2"/>
  <c r="N253" i="2"/>
  <c r="M286" i="2"/>
  <c r="K321" i="2"/>
  <c r="M91" i="2"/>
  <c r="N539" i="2"/>
  <c r="K559" i="2"/>
  <c r="M282" i="2"/>
  <c r="N373" i="2"/>
  <c r="L24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<sst xmlns="http://schemas.openxmlformats.org/spreadsheetml/2006/main" count="6602" uniqueCount="1667">
  <si>
    <t>elut</t>
  </si>
  <si>
    <t>iskolaom</t>
  </si>
  <si>
    <t>iskola</t>
  </si>
  <si>
    <t>isknev</t>
  </si>
  <si>
    <t>cim_ossze</t>
  </si>
  <si>
    <t>irsz</t>
  </si>
  <si>
    <t>mail</t>
  </si>
  <si>
    <t>telefon</t>
  </si>
  <si>
    <t>dupla</t>
  </si>
  <si>
    <t>kategoria</t>
  </si>
  <si>
    <t>orommel</t>
  </si>
  <si>
    <t>gratula</t>
  </si>
  <si>
    <t>megszolit</t>
  </si>
  <si>
    <t>resz1</t>
  </si>
  <si>
    <t>resz2</t>
  </si>
  <si>
    <t>resz3</t>
  </si>
  <si>
    <t>indok1</t>
  </si>
  <si>
    <t>indok2</t>
  </si>
  <si>
    <t>hatarozat1</t>
  </si>
  <si>
    <t>hatarozat2</t>
  </si>
  <si>
    <t>hatarozat3</t>
  </si>
  <si>
    <t>felvesz</t>
  </si>
  <si>
    <t>AGY Tanoda Magyar-Angol Két Tanítási Nyelvű Általános Iskola</t>
  </si>
  <si>
    <t>2000 Szentendre, Jókai utca 3.</t>
  </si>
  <si>
    <t>titkarsag@agytanoda.hu</t>
  </si>
  <si>
    <t>26/311387</t>
  </si>
  <si>
    <t>Örömmel közöljük, hogy felvettünk tanulóink sorába.</t>
  </si>
  <si>
    <t>Gratulálunk és további jó tanulást kívánunk!</t>
  </si>
  <si>
    <t>Tisztelt Jövendőbeli Szilágyis!</t>
  </si>
  <si>
    <t>nyelvet tanulhatsz első élő idegen nyelvként és</t>
  </si>
  <si>
    <t>nyelvet másodikként (9. osztálytól).</t>
  </si>
  <si>
    <t>amúgy</t>
  </si>
  <si>
    <t>A megjelölt tagozatok közül az</t>
  </si>
  <si>
    <t>tagozaton érte el a bejutáshoz szükséges pontszámot. A határozat ellen jogorvoslatra a Nemzeti köznevelésről szóló 2011. CXC. törvény 37-38. §-a alapján van lehetőség.</t>
  </si>
  <si>
    <t>a felvételi eljárás során elért eredménye alapján felveszem a Budapest I. Kerületi Szilágyi Erzsébet Gimnázium</t>
  </si>
  <si>
    <t>tagozatkóddal meghirdetett</t>
  </si>
  <si>
    <t>tagozatára.</t>
  </si>
  <si>
    <t>mastvalaszt</t>
  </si>
  <si>
    <t>Albertfalvi Don Bosco Katolikus Általános Iskola és Óvoda</t>
  </si>
  <si>
    <t>1116 Budapest XI. kerület, Albertfalva utca 9-13.</t>
  </si>
  <si>
    <t>igazgato@donboscoiskola.hu</t>
  </si>
  <si>
    <t>(+36-1)2084030</t>
  </si>
  <si>
    <t>mastvalasz</t>
  </si>
  <si>
    <t>Noha gyermeke elérte a felvételhez szükséges pontszámot, a győri Felvételi Központ arról értesített, hogy felvették előrébb rangsorolt tanulmányi területre.</t>
  </si>
  <si>
    <t>visszalep</t>
  </si>
  <si>
    <t>Áldás Utcai Általános Iskola</t>
  </si>
  <si>
    <t>1025 Budapest II. kerület, Áldás utca 1.</t>
  </si>
  <si>
    <t>aldasiskola@gmail.com</t>
  </si>
  <si>
    <t>2124258</t>
  </si>
  <si>
    <t xml:space="preserve">A Tanuló által a középfokú felvételi eljárásban megszerzett pontszám nem éri el </t>
  </si>
  <si>
    <t>tagozatkóddal megjelölt tanulmányi területre a felvételhez szükséges minimális pontszámot.</t>
  </si>
  <si>
    <t>Álmos Vezér Gimnázium, Szakgimnázium és Általános Iskola</t>
  </si>
  <si>
    <t>1144 Budapest XIV. kerület, Álmos vezér tér 9.</t>
  </si>
  <si>
    <t>info@almosvezer.hu</t>
  </si>
  <si>
    <t>elegtelen</t>
  </si>
  <si>
    <t>A jelentkező nem érte el az írásbelin az előírt pontszámot, így a felvételi követelményeket nem teljesítette.</t>
  </si>
  <si>
    <t>Alsóerdősori Bárdos Lajos Általános Iskola és Gimnázium</t>
  </si>
  <si>
    <t>1074 Budapest VII. kerület, Alsóerdősor utca 14-16.</t>
  </si>
  <si>
    <t>m.agigimi@gmail.com</t>
  </si>
  <si>
    <t>Andor Ilona Ének-Zenei Általános és Alapfokú Művészeti Baptista Iskola</t>
  </si>
  <si>
    <t>1036 Budapest III. kerület, Mókus utca 2.</t>
  </si>
  <si>
    <t>igazgato@andorilonaiskola.hu</t>
  </si>
  <si>
    <t>1/388-8903</t>
  </si>
  <si>
    <t>Andreetti Károly Általános Iskola és Művészeti Iskola</t>
  </si>
  <si>
    <t>2038 Sóskút, Tulipán utca 9.</t>
  </si>
  <si>
    <t>iskola@andreetti.hu</t>
  </si>
  <si>
    <t>23/348072</t>
  </si>
  <si>
    <t>Aquincum Angol-Magyar Két Tanítási Nyelvű Általános Iskola</t>
  </si>
  <si>
    <t>1031 Budapest, Arató Emil tér 1.</t>
  </si>
  <si>
    <t>igazgato.aquincum@ebtk.hu</t>
  </si>
  <si>
    <t>1/368-7818; 430-0186</t>
  </si>
  <si>
    <t>Árpád Utcai Német Nemzetiségi Nyelvoktató Általános Iskola</t>
  </si>
  <si>
    <t>1222 Budapest XXII. Kerület, Árpád utca 2.</t>
  </si>
  <si>
    <t>intezmenyvezeto@arpad.dbtk.hu</t>
  </si>
  <si>
    <t>+3614820054</t>
  </si>
  <si>
    <t>Babérliget Általános Iskola és Alapfokú Művészeti Iskola</t>
  </si>
  <si>
    <t>1021 Budapest II. kerület, Tárogató út 2-4.</t>
  </si>
  <si>
    <t>hujexe@gmail.com</t>
  </si>
  <si>
    <t>+36 30 2849418</t>
  </si>
  <si>
    <t>pont  határ</t>
  </si>
  <si>
    <t>Bakáts téri Ének-Zenei Általános Iskola</t>
  </si>
  <si>
    <t>1092 Budapest IX. kerület, Bakáts tér 12.</t>
  </si>
  <si>
    <t>titkarsag@bakats.hu</t>
  </si>
  <si>
    <t>1/2170485</t>
  </si>
  <si>
    <t>Bálint Márton Általános Iskola és Középiskola</t>
  </si>
  <si>
    <t>2045 Törökbálint, Óvoda utca 6.</t>
  </si>
  <si>
    <t>balintsuli@torokbalint.hu</t>
  </si>
  <si>
    <t>23/335639</t>
  </si>
  <si>
    <t>Baracskai Kozma Ferenc Általános Iskola</t>
  </si>
  <si>
    <t>2471 Baracska, Templom utca 19.</t>
  </si>
  <si>
    <t>kozma.iskola@gmail.com</t>
  </si>
  <si>
    <t>22/454004</t>
  </si>
  <si>
    <t>Benkő István Református Általános Iskola és Gimnázium</t>
  </si>
  <si>
    <t>1043 Budapest IV. kerület, Nyár utca 4.</t>
  </si>
  <si>
    <t>igazgato@benkorefi.hu</t>
  </si>
  <si>
    <t>1/3691851</t>
  </si>
  <si>
    <t>Bethlen Gábor Általános Iskola és Gimnázium</t>
  </si>
  <si>
    <t>1119 Budapest XI. kerület, Keveháza utca 2.</t>
  </si>
  <si>
    <t>intezmenyvezeto@bethlen.dbtk.hu</t>
  </si>
  <si>
    <t>1/2038932</t>
  </si>
  <si>
    <t>Bethlen Gábor Általános Iskola és Gimnázium Kincskereső Tagiskolája</t>
  </si>
  <si>
    <t>1119 Budapest XI. kerület, Fogócska utca 6.</t>
  </si>
  <si>
    <t>kincskereso@bethlen.dbtk.hu</t>
  </si>
  <si>
    <t>06-1-208-55-38</t>
  </si>
  <si>
    <t>Biatorbágyi Általános Iskola és Magyar-Angol Két Tanítási Nyelvű Általános Iskola</t>
  </si>
  <si>
    <t>2051 Biatorbágy, Szentháromság  tér 6.</t>
  </si>
  <si>
    <t>igazgato@biaisk.hu</t>
  </si>
  <si>
    <t>30 242 92 34</t>
  </si>
  <si>
    <t>Bleyer Jakab Német Nemzetiségi Általános Iskola</t>
  </si>
  <si>
    <t>2040 Budaörs, Iskola tér 1.</t>
  </si>
  <si>
    <t>igazgato@bleyer.edu.hu</t>
  </si>
  <si>
    <t>06-23-420-979</t>
  </si>
  <si>
    <t>Bocskai István Magyar-Német Két Tanítási Nyelvű Általános Iskola</t>
  </si>
  <si>
    <t>2071 Páty, Kökény utca 3040.</t>
  </si>
  <si>
    <t>igazgato@bocskaisuli.hu</t>
  </si>
  <si>
    <t>23/343-537</t>
  </si>
  <si>
    <t>British International School Alapítványi Óvoda, Általános- és Középiskola</t>
  </si>
  <si>
    <t>1037 Budapest III. kerület, Kiscelli köz 17.</t>
  </si>
  <si>
    <t>office@bisb.hu</t>
  </si>
  <si>
    <t>Brit-Magyar Angol-Magyar Két Tanítási Nyelvű Általános Iskola</t>
  </si>
  <si>
    <t>1021 Budapest II. kerület, Tárogató út 2-4 2</t>
  </si>
  <si>
    <t>czirjak.katalin@britmagyariskola.hu</t>
  </si>
  <si>
    <t>Budafok - Tétényi Nádasdy Kálmán Alapfokú Művészeti Iskola és Általános Iskola</t>
  </si>
  <si>
    <t>1222 Budapest XXII. Kerület, Promontor  utca 21.</t>
  </si>
  <si>
    <t>intezmenyvezeto@nadasdy.dbtk.hu</t>
  </si>
  <si>
    <t>36307813614</t>
  </si>
  <si>
    <t>Budafoki Herman Ottó Általános Iskola</t>
  </si>
  <si>
    <t>1222 Budapest XXII. kerület, Pannónia utca 50.</t>
  </si>
  <si>
    <t>intezmenyvezeto@herman.dbtk.hu</t>
  </si>
  <si>
    <t>1/2266686</t>
  </si>
  <si>
    <t>Budafoki Kossuth Lajos Magyar - Angol Két Tanítási Nyelvű Általános Iskola</t>
  </si>
  <si>
    <t>1221 Budapest XXII. kerület, Kossuth Lajos utca 22.</t>
  </si>
  <si>
    <t>intezmenyvezeto@kossuth.dbtk.hu</t>
  </si>
  <si>
    <t>1/2290890</t>
  </si>
  <si>
    <t>Budafok-Tétényi Baross Gábor Általános Iskola</t>
  </si>
  <si>
    <t>1224 Budapest XXII. kerület, Dózsa György út 89-94.</t>
  </si>
  <si>
    <t>intezmenyvezeto@baross.dbtk.hu</t>
  </si>
  <si>
    <t>06-1-3624505</t>
  </si>
  <si>
    <t xml:space="preserve">Budajenői Általános Iskola </t>
  </si>
  <si>
    <t>2093 Budajenő, Fő utca 3.</t>
  </si>
  <si>
    <t>igazgato@budajeno.edu.hu</t>
  </si>
  <si>
    <t>26/371063</t>
  </si>
  <si>
    <t>Budakeszi Német Nemzetiségi Általános Iskola</t>
  </si>
  <si>
    <t>2092 Budakeszi, Knáb János utca 60.</t>
  </si>
  <si>
    <t>igazgato@wudisuli.hu</t>
  </si>
  <si>
    <t>+36304364907</t>
  </si>
  <si>
    <t>Budakeszi Széchenyi István Általános Iskola</t>
  </si>
  <si>
    <t>2092 Budakeszi, Árpád fejedelem tér 1.</t>
  </si>
  <si>
    <t>Pótolni</t>
  </si>
  <si>
    <t>Budaörsi 1. Számú Általános Iskola</t>
  </si>
  <si>
    <t>2040 Budaörs, Hársfa utca 29.</t>
  </si>
  <si>
    <t>igazgato@altisk1-bors.edu.hu</t>
  </si>
  <si>
    <t>+3623805811</t>
  </si>
  <si>
    <t>Budaörsi Herman Ottó Általános Iskola</t>
  </si>
  <si>
    <t>2040 Budaörs, Ifjúság utca 6.</t>
  </si>
  <si>
    <t>titkarsag@herman.hu</t>
  </si>
  <si>
    <t>23/420949</t>
  </si>
  <si>
    <t>Budapest British International Academy Angol Általános Iskola</t>
  </si>
  <si>
    <t>1025 Budapest, Berkenye utca 13-15.</t>
  </si>
  <si>
    <t>Budapest I. Kerületi Batthyány Lajos Általános Iskola</t>
  </si>
  <si>
    <t>1015 Budapest I. kerület, Batthyány utca 8.</t>
  </si>
  <si>
    <t>balint.agi67@gmail.com</t>
  </si>
  <si>
    <t>1/2016282</t>
  </si>
  <si>
    <t>Budapest II. Kerületi Pitypang Utcai Általános Iskola</t>
  </si>
  <si>
    <t>1025 Budapest II. kerület, Pitypang utca 17.</t>
  </si>
  <si>
    <t>igazgato@pitypangiskola.edu.hu</t>
  </si>
  <si>
    <t>3258827</t>
  </si>
  <si>
    <t>Budapest III. Kerületi Dr. Szent-Györgyi Albert Általános Iskola</t>
  </si>
  <si>
    <t>1033 Budapest III. kerület, Szérűskert utca 40-42.</t>
  </si>
  <si>
    <t>titkarsag.drsztgyorgyia@ebtk.hu</t>
  </si>
  <si>
    <t>1/3671429</t>
  </si>
  <si>
    <t>Budapest III. Kerületi Krúdy Gyula Angol-Magyar Két Tanítási Nyelvű Általános Iskola</t>
  </si>
  <si>
    <t>1037 Budapest III. kerület, Haránt köz 13/A.</t>
  </si>
  <si>
    <t>Budapest IX. Kerületi Kosztolányi Dezső Általános Iskola</t>
  </si>
  <si>
    <t>1091 Budapest IX. kerület, Ifjúmunkás utca 1.</t>
  </si>
  <si>
    <t>Budapest IX. Kerületi Kőrösi Csoma Sándor Kéttannyelvű Általános Iskola</t>
  </si>
  <si>
    <t>1091 Budapest IX. kerület, Ifjúmunkás utca 13.</t>
  </si>
  <si>
    <t>kcss.alt.isk@korosikettannyelvu.hu</t>
  </si>
  <si>
    <t>3480453</t>
  </si>
  <si>
    <t>Budapest IX. Kerületi Molnár Ferenc Magyar-Angol Két Tanítási Nyelvű Általános Iskola</t>
  </si>
  <si>
    <t>1095 Budapest IX. kerület, Mester utca 19.</t>
  </si>
  <si>
    <t>mofe@mofe.hu</t>
  </si>
  <si>
    <t>06 30 3970230</t>
  </si>
  <si>
    <t>Budapest IX. Kerületi Szent-Györgyi Albert Általános Iskola és Gimnázium</t>
  </si>
  <si>
    <t>1093 Budapest, Lónyay utca 4/C.</t>
  </si>
  <si>
    <t>igazgato@szgya.hu</t>
  </si>
  <si>
    <t>1/2175987</t>
  </si>
  <si>
    <t>Budapest School Általános Iskola és Gimnázium</t>
  </si>
  <si>
    <t>1137 Budapest XIII. kerület, Pozsonyi út 10</t>
  </si>
  <si>
    <t>Budapest V. Kerületi Hild József Általános Iskola</t>
  </si>
  <si>
    <t>1051 Budapest V. kerület, Nádor utca 12.</t>
  </si>
  <si>
    <t>agavrise@gmail.com</t>
  </si>
  <si>
    <t>+36 1 872 7840</t>
  </si>
  <si>
    <t>Budapest V. Kerületi Szemere Bertalan Általános Iskola</t>
  </si>
  <si>
    <t>1054 Budapest V. kerület, Szemere utca 5.</t>
  </si>
  <si>
    <t>szemere-iskola@belvaros-lipotvaros.hu</t>
  </si>
  <si>
    <t>1/8727802</t>
  </si>
  <si>
    <t>Budapest V. Kerületi Szent István Magyar-Angol Két Tanítási Nyelvű Általános Iskola</t>
  </si>
  <si>
    <t>1054 Budapest V. kerület, Szemere utca 3.</t>
  </si>
  <si>
    <t>iskola@szti.hu</t>
  </si>
  <si>
    <t>8727951</t>
  </si>
  <si>
    <t>Budapest V. Kerületi Váci Utcai Ének-zenei Általános Iskola</t>
  </si>
  <si>
    <t>1056 Budapest V. kerület, Váci utca 43.</t>
  </si>
  <si>
    <t>vaci@belvaros-lipotvaros.hu</t>
  </si>
  <si>
    <t>8727980, 8727981</t>
  </si>
  <si>
    <t>Budapest VI. Kerület Bajza Utcai Általános Iskola</t>
  </si>
  <si>
    <t>1062 Budapest VI. kerület, Bajza utca 49-51.</t>
  </si>
  <si>
    <t>igazgato@bajza6.hu</t>
  </si>
  <si>
    <t>302-7016</t>
  </si>
  <si>
    <t>Budapest VI. Kerületi Bajza utcai Általános Iskola</t>
  </si>
  <si>
    <t>Budapest VI. Kerületi Derkovits Gyula Általános Iskola</t>
  </si>
  <si>
    <t>1068 Budapest VI. kerület, Városligeti fasor 4.</t>
  </si>
  <si>
    <t>Budapest VI. Kerületi Erkel Ferenc Általános Iskola</t>
  </si>
  <si>
    <t>1068 Budapest VI. kerület, Felső Erdősor utca 20.</t>
  </si>
  <si>
    <t>Budapest VII. Kerületi Baross Gábor Általános Iskola</t>
  </si>
  <si>
    <t>1078 Budapest VII. kerület, Hernád utca 42-46.</t>
  </si>
  <si>
    <t>Budapest XIII. Kerületi Csata utcai Általános Iskola</t>
  </si>
  <si>
    <t>1135 Budapest XIII. kerület, Csata utca 20.</t>
  </si>
  <si>
    <t>csataiskola13@gmail.com</t>
  </si>
  <si>
    <t>1/3409524</t>
  </si>
  <si>
    <t>Budapest XIII. Kerületi Gárdonyi Géza Általános Iskola</t>
  </si>
  <si>
    <t>1137 Budapest XIII. kerület, Radnóti Miklós utca 8-10.</t>
  </si>
  <si>
    <t>gardonyi13@freemail.hu</t>
  </si>
  <si>
    <t>1/3404209</t>
  </si>
  <si>
    <t>Budapest XIII. Kerületi Hegedüs Géza Általános Iskola</t>
  </si>
  <si>
    <t>1139 Budapest XIII. kerület, Fiastyúk utca 47-49.</t>
  </si>
  <si>
    <t>Budapest XIII. Kerületi Herman Ottó Általános Iskola</t>
  </si>
  <si>
    <t>1137 Budapest XIII. kerület, Radnóti Miklós utca 35.</t>
  </si>
  <si>
    <t>ujlipot.herman@gmail.com</t>
  </si>
  <si>
    <t>0613294864</t>
  </si>
  <si>
    <t>Budapest XIII. Kerületi Hunyadi Mátyás Általános Iskola</t>
  </si>
  <si>
    <t>1138 Budapest, Karikás Frigyes utca 3.</t>
  </si>
  <si>
    <t>Budapest XIII. Kerületi Pannónia Német Nemzetiségi Kétnyelvű és Angol Nyelvet Oktató Általános Iskola</t>
  </si>
  <si>
    <t>1133 Budapest XIII. kerület, Tutaj utca 7-11.</t>
  </si>
  <si>
    <t>pannonia@pannoniaaltisk.hu</t>
  </si>
  <si>
    <t>1/3202290</t>
  </si>
  <si>
    <t>Budapest XIII. Kerületi Számítástechnikai Általános Iskola</t>
  </si>
  <si>
    <t>1138 Budapest XIII. kerület, Gyöngyösi sétány 7.</t>
  </si>
  <si>
    <t>Budapest XIII. Kerületi Tomori Pál Általános Iskola</t>
  </si>
  <si>
    <t>1131 Budapest XIII. kerület, Tomori utca 2.</t>
  </si>
  <si>
    <t>iskola.tomori@gmail.com</t>
  </si>
  <si>
    <t>Budapest XIII. Kerületi Vizafogó Általános Iskola</t>
  </si>
  <si>
    <t>1138 Budapest XIII. kerület, Vizafogó sétány 2.</t>
  </si>
  <si>
    <t>Budapest XIV. Kerületi Jókai Mór Általános Iskola</t>
  </si>
  <si>
    <t>1145 Budapest XIV. kerület, Erzsébet királyné útja 35-37.</t>
  </si>
  <si>
    <t>Budapest XIV. Kerületi Kaffka Margit Általános Iskola</t>
  </si>
  <si>
    <t>1148 Budapest XIV. kerület, Kaffka Margit köz 2-6.</t>
  </si>
  <si>
    <t>Budapest XIV. Kerületi Liszt Ferenc Általános Iskola</t>
  </si>
  <si>
    <t>1146 Budapest XIV. kerület, Hermina út 23.</t>
  </si>
  <si>
    <t>Budapest XIV. Kerületi Móra Ferenc Általános Iskola</t>
  </si>
  <si>
    <t>1144 Budapest, Újváros park 2.</t>
  </si>
  <si>
    <t>iskolatitkar@mora-zuglo-bp.edu.hu</t>
  </si>
  <si>
    <t>01/2204874</t>
  </si>
  <si>
    <t>Budapest XIV. Kerületi Széchenyi István Általános Iskola</t>
  </si>
  <si>
    <t>1147 Budapest XIV. kerület, Telepes utca 32.</t>
  </si>
  <si>
    <t>igazgato@zugloiszechenyi.info.hu</t>
  </si>
  <si>
    <t>061/460-0965</t>
  </si>
  <si>
    <t>Budapest XVI. Kerületi Herman Ottó Általános Iskola</t>
  </si>
  <si>
    <t>1161 Budapest,  Regele János utca 43-45.</t>
  </si>
  <si>
    <t>zsuzsa.ezsias@gmail.com</t>
  </si>
  <si>
    <t>1/4055270</t>
  </si>
  <si>
    <t>Budapest XVI. Kerületi Jókai Mór Általános Iskola</t>
  </si>
  <si>
    <t>1163 Budapest XVI. Kerület, Tiszakömlő utca 29-35.</t>
  </si>
  <si>
    <t>Budapest XVI. Kerületi Szent-Györgyi Albert Általános Iskola</t>
  </si>
  <si>
    <t>1161 Budapest XVI. kerület, Csömöri út 20.</t>
  </si>
  <si>
    <t>Budapest XVII. Kerületi Gregor József Általános Iskola</t>
  </si>
  <si>
    <t>1172 Budapest XVII. kerület, Hősök tere 19-20.</t>
  </si>
  <si>
    <t>intezmenyvezeto@gregorsuli.hu</t>
  </si>
  <si>
    <t>Budapest XVII. Kerületi Kossuth Lajos Általános Iskola</t>
  </si>
  <si>
    <t>1171 Budapest XVII. kerület, Erzsébet körút 56.</t>
  </si>
  <si>
    <t>Budapest XVIII. Kerületi Bókay Árpád Általános Iskola</t>
  </si>
  <si>
    <t>1181 Budapest XVIII. kerület, Wlassics Gyula utca 69.</t>
  </si>
  <si>
    <t>Budapest XX. Kerületi Hajós Alfréd Általános Iskola</t>
  </si>
  <si>
    <t>1203 Budapest XX. kerület, Lajtha László utca 5-7.</t>
  </si>
  <si>
    <t>Budapest XX. Kerületi Nagy László Általános Iskola és Gimnázium</t>
  </si>
  <si>
    <t>1203 Budapest XX. Kerület, János utca 4.</t>
  </si>
  <si>
    <t>Budapest XXIII. Kerületi Grassalkovich Antal Általános Iskola</t>
  </si>
  <si>
    <t>1239 Budapest XXIII. kerület, Hősök tere 18-20.</t>
  </si>
  <si>
    <t>Budapesti Nemzetközi Iskola-International School of Budapest és Magyar-Angol Két Tanítási Nyelvű Általános Iskola és Gimnázium</t>
  </si>
  <si>
    <t>1121 Budapest XII. kerület, Konkoly-Thege út 21.</t>
  </si>
  <si>
    <t>Budapesti Ward Mária Általános Iskola, Gimnázium és Zeneművészeti Szakgimnázium</t>
  </si>
  <si>
    <t>1056 Budapest V. kerület, Irányi utca 3.</t>
  </si>
  <si>
    <t>Budapesti Zsidó Hitközség Scheiber Sándor Gimnázium és Általános Iskola</t>
  </si>
  <si>
    <t>1145 Budapest XIV. kerület, Laky Adolf utca 38-40.</t>
  </si>
  <si>
    <t>berniekovacs@gmail.com</t>
  </si>
  <si>
    <t>36-1-469-0277</t>
  </si>
  <si>
    <t>Budavári Általános Iskola</t>
  </si>
  <si>
    <t>1014 Budapest I. kerület, Tárnok utca 9-11.</t>
  </si>
  <si>
    <t>igazgatosag@budavari.edu.hu</t>
  </si>
  <si>
    <t>1/3751884</t>
  </si>
  <si>
    <t>Budenz József Általános Iskola és Gimnázium</t>
  </si>
  <si>
    <t>1021 Budapest II. kerület, Budenz József utca 20-22.</t>
  </si>
  <si>
    <t>titkarsag@budenznet.edu.hu</t>
  </si>
  <si>
    <t>1/3943177</t>
  </si>
  <si>
    <t>Csik Ferenc Általános Iskola és Gimnázium</t>
  </si>
  <si>
    <t>1027 Budapest II. kerület, Medve utca 5-7.</t>
  </si>
  <si>
    <t>polgaraniko@csikferenc.hu</t>
  </si>
  <si>
    <t>0630-1975654</t>
  </si>
  <si>
    <t>Csillaghegyi Általános Iskola</t>
  </si>
  <si>
    <t>1038 Budapest III. kerület, Dózsa György utca 42.</t>
  </si>
  <si>
    <t>igazgato.csillaghegyi@ebtk.hu</t>
  </si>
  <si>
    <t>1/3686651</t>
  </si>
  <si>
    <t>Diákszempont Általános Iskola és Gimnázium</t>
  </si>
  <si>
    <t>1066 Budapest, Lovag utca 9-11.</t>
  </si>
  <si>
    <t>dechertpanni@gmail.com</t>
  </si>
  <si>
    <t>0670-7085783</t>
  </si>
  <si>
    <t>Diósdi Eötvös József Német Nemzetiségi Általános Iskola és Alapfokú Művészeti Iskola</t>
  </si>
  <si>
    <t>2049 Diósd, Gárdonyi Géza utca 14.</t>
  </si>
  <si>
    <t>firgine.vaizer.edina@gmail.com</t>
  </si>
  <si>
    <t>23/381041</t>
  </si>
  <si>
    <t>Domokos Pál Péter Általános Iskola</t>
  </si>
  <si>
    <t>1119 Budapest XI. kerület, Soproni út 50.</t>
  </si>
  <si>
    <t>titkarsag@domokos.dbtk.hu</t>
  </si>
  <si>
    <t>+3612041201</t>
  </si>
  <si>
    <t>Dr. Béres József Általános Iskola</t>
  </si>
  <si>
    <t>1031 Budapest III. kerület, Keve utca 41.</t>
  </si>
  <si>
    <t>igazgato.drberesj@ebtk.hu</t>
  </si>
  <si>
    <t>1/3689220</t>
  </si>
  <si>
    <t>Dr. Mező Ferenc Általános Iskola</t>
  </si>
  <si>
    <t>1054 Budapest, Akadémia utca 3.</t>
  </si>
  <si>
    <t>titkar@mezosuli.hu</t>
  </si>
  <si>
    <t>01/3838206</t>
  </si>
  <si>
    <t>Dr. Somogyi Imre Baptista Szakképző Iskola, Technikum, Általános Iskola, Szakiskola és Gimnázium</t>
  </si>
  <si>
    <t>1204 Budapest, Pöltenberg utca 8b-14.</t>
  </si>
  <si>
    <t>Első Óbudai Német Nyelvoktató Nemzetiségi Általános Iskola</t>
  </si>
  <si>
    <t>1033 Budapest III. kerület, Vörösvári út 93.</t>
  </si>
  <si>
    <t>ELTE Bárczi Gusztáv Gyakorló Általános Iskola</t>
  </si>
  <si>
    <t>1071 Budapest VII. kerület, Damjanich utca 41-43.</t>
  </si>
  <si>
    <t>ELTE Gyertyánffy István Gyakorló Általános Iskola</t>
  </si>
  <si>
    <t>1126 Budapest XII. kerület, Kiss János altábornagy utca 42-44.</t>
  </si>
  <si>
    <t>gyakisk@gyertyanffy.elte.hu</t>
  </si>
  <si>
    <t>06-1-487-8101</t>
  </si>
  <si>
    <t>Érdi Bolyai János Általános Iskola</t>
  </si>
  <si>
    <t>2030 Érd, Erszébet utca 26-32.</t>
  </si>
  <si>
    <t>Érdi Gárdonyi Géza Általános Iskola és Gimnázium</t>
  </si>
  <si>
    <t>2030 Érd, Gárdonyi Géza utca 1/b.</t>
  </si>
  <si>
    <t>titkarsag@gardonyi-erd.hu</t>
  </si>
  <si>
    <t>23/365-140</t>
  </si>
  <si>
    <t>Érdligeti Általános Iskola</t>
  </si>
  <si>
    <t>2030 Érd, Diósdi út 95-99.</t>
  </si>
  <si>
    <t xml:space="preserve">Erzsébetvárosi Magyar-Angol Két Tanítási Nyelvű Általános Iskola és Művészeti Szakgimnázium </t>
  </si>
  <si>
    <t>1073 Budapest VII. kerület, Kertész utca 30.</t>
  </si>
  <si>
    <t>harangozohajnalka@erzsebetvarosiiskola.hu</t>
  </si>
  <si>
    <t>322-7694</t>
  </si>
  <si>
    <t>Esterházy Móric Nyelvoktató Német Nemzetiségi Általános Iskola</t>
  </si>
  <si>
    <t>8083 Csákvár, Szabadság tér 8.</t>
  </si>
  <si>
    <t>Eszterlánc Montessori Általános Iskola</t>
  </si>
  <si>
    <t>1122 Budapest, Igmándi utca 40.</t>
  </si>
  <si>
    <t>Fabriczius József Általános Iskola</t>
  </si>
  <si>
    <t>2112 Veresegyház, Fő út 77-79.</t>
  </si>
  <si>
    <t>igazgato@veresegyhaz-fabriczius.hu</t>
  </si>
  <si>
    <t>Farkasréti Általános Iskola</t>
  </si>
  <si>
    <t>1112 Budapest XI. kerület, Érdi út 2.</t>
  </si>
  <si>
    <t>intezmenyvezeto@farkasret.dbtk.hu</t>
  </si>
  <si>
    <t>+36 1 319 32 69</t>
  </si>
  <si>
    <t>Fillér Utcai Általános Iskola</t>
  </si>
  <si>
    <t>1022 Budapest II. kerület, Fillér utca 70-76.</t>
  </si>
  <si>
    <t>info@filleriskola.hu</t>
  </si>
  <si>
    <t>3266616</t>
  </si>
  <si>
    <t>Fodros Általános Iskola</t>
  </si>
  <si>
    <t>1039 Budapest III. kerület, Fodros utca 38-40.</t>
  </si>
  <si>
    <t>titkarsag.fodros@ebtk.hu</t>
  </si>
  <si>
    <t>+361/2401070</t>
  </si>
  <si>
    <t>Fürkész Innovatív Általános Iskola</t>
  </si>
  <si>
    <t>info@furkeszsuli.hu</t>
  </si>
  <si>
    <t>06304187557</t>
  </si>
  <si>
    <t>Gádor Általános Iskola</t>
  </si>
  <si>
    <t>1122 Budapest, Gádor utca 101-105.</t>
  </si>
  <si>
    <t>Gazdagrét - Csíkihegyek Általános Iskola</t>
  </si>
  <si>
    <t>1118 Budapest XI. kerület, Csíki-hegyek utca 13-15.</t>
  </si>
  <si>
    <t>intezmenyvezeto@csikihegyek.dbtk.hu</t>
  </si>
  <si>
    <t>06/1-2463245</t>
  </si>
  <si>
    <t>Gazdagrét - Törökugrató Általános Iskola</t>
  </si>
  <si>
    <t>1118 Budapest XI. kerület, Törökugrató utca 15.</t>
  </si>
  <si>
    <t>titkarsag@torokugrato.dbtk.hu</t>
  </si>
  <si>
    <t>+3612465341</t>
  </si>
  <si>
    <t>Gödöllői Damjanich János Általános Iskola</t>
  </si>
  <si>
    <t>2100 Budapest, Batthany Lajos utca 30-32.</t>
  </si>
  <si>
    <t>GRASSALKOVICH ANTAL NÉMET NEMZETISÉGI ÉS KÉTNYELVŰ ÁLTALÁNOS ISKOLA</t>
  </si>
  <si>
    <t>2220 Vecsés, Fő út 90-92.</t>
  </si>
  <si>
    <t>Grosics Gyula Katolikus Sport Általános Iskola</t>
  </si>
  <si>
    <t>1119 Budapest XI. kerület, Bikszádi utca 11-15.</t>
  </si>
  <si>
    <t>vezetoseg@grosicssuli.hu</t>
  </si>
  <si>
    <t>Gulner Gyula Általános Iskola</t>
  </si>
  <si>
    <t>1183 Budapest XVIII. kerület, Gulner Gyula utca 2.</t>
  </si>
  <si>
    <t>arihmer@gmail.com</t>
  </si>
  <si>
    <t>06/1/2913170</t>
  </si>
  <si>
    <t>Gyermekház Iskola</t>
  </si>
  <si>
    <t>1062 Budapest VI. kerület, Bajza utca 26.</t>
  </si>
  <si>
    <t>Gyömrői II. Rákóczi Ferenc Általános Iskola</t>
  </si>
  <si>
    <t>2230 Gyömrő, Bajcsy Zsilinszky u. 79-81.</t>
  </si>
  <si>
    <t>Gyulai István Sportiskolai Általános Iskola</t>
  </si>
  <si>
    <t>1202 Budapest XX. kerület, Mártírok útja 205.</t>
  </si>
  <si>
    <t>igazgato@gyulaisuli.hu</t>
  </si>
  <si>
    <t>Herceghalmi Általános Iskola és Alapfokú Művészeti Iskola</t>
  </si>
  <si>
    <t>2053 Herceghalom, Gesztenyés út 15.</t>
  </si>
  <si>
    <t>József Attila Katolikus Nyelvoktató Német Nemzetiségi Általános Iskola</t>
  </si>
  <si>
    <t>1201 Budapest XX. Kerület, Attila utca 25-27.</t>
  </si>
  <si>
    <t>jozsef20@t-online.hu</t>
  </si>
  <si>
    <t>421-01-99</t>
  </si>
  <si>
    <t>József Nádor Általános Iskola és Alapfokú Művészeti Iskola (ÖKO Iskola)</t>
  </si>
  <si>
    <t>2096 Üröm, Iskola utca 3.</t>
  </si>
  <si>
    <t>Kalász Suli Általános Iskola</t>
  </si>
  <si>
    <t>2011 Budakalász, Budai út 54.</t>
  </si>
  <si>
    <t>Kandó Téri Általános Iskola</t>
  </si>
  <si>
    <t>titkarsag@kandosuli.hu</t>
  </si>
  <si>
    <t>1/2922864</t>
  </si>
  <si>
    <t>Kapocs Magyar-Angol Két Tannyelvű Általános Iskola</t>
  </si>
  <si>
    <t>1188 Budapest XVIII. kerület, Kapocs utca 56.</t>
  </si>
  <si>
    <t>kapocsiskola@kapocsiskola.hu</t>
  </si>
  <si>
    <t>1/2954629</t>
  </si>
  <si>
    <t>Karácsony Sándor Rózsatéri Református Általános Iskola és Óvoda</t>
  </si>
  <si>
    <t>1194 Budapest XIX. kerület, Kisviola utca 44.</t>
  </si>
  <si>
    <t>Kelenvölgyi Általános Iskola</t>
  </si>
  <si>
    <t>1116 Budapest XI. kerület, Adács utca 10.</t>
  </si>
  <si>
    <t>titkarsag@kelenvolgy.dbtk.hu</t>
  </si>
  <si>
    <t>4245374</t>
  </si>
  <si>
    <t>Kesjár Csaba Általános Iskola</t>
  </si>
  <si>
    <t>2040 Budaörs, Őszibarack utca 29.</t>
  </si>
  <si>
    <t>igazgato@kesjarcs.edu.hu</t>
  </si>
  <si>
    <t>23/415607</t>
  </si>
  <si>
    <t>Kispesti Bolyai János Általános Iskola</t>
  </si>
  <si>
    <t>1195 Budapest XIX. kerület, Árpád utca 14.</t>
  </si>
  <si>
    <t>Kispesti Eötvös József Általános Iskola</t>
  </si>
  <si>
    <t>1191 Budapest XIX. kerület, Eötvös utca 13.</t>
  </si>
  <si>
    <t>Kispesti Erkel Ferenc Általános Iskola</t>
  </si>
  <si>
    <t>1192 Budapest XIX. kerület, Hungária út 11.</t>
  </si>
  <si>
    <t>erkel@iskola.kispest.hu</t>
  </si>
  <si>
    <t>1/2829644</t>
  </si>
  <si>
    <t>Kispesti Kós Károly Általános Iskola</t>
  </si>
  <si>
    <t>1192 Budapest XIX. kerület, Hungária út 28.</t>
  </si>
  <si>
    <t>koskaroly@iskola.kispest.hu</t>
  </si>
  <si>
    <t>Kispesti Pannónia Általános Iskola</t>
  </si>
  <si>
    <t>1192 Budapest, Pannónia út 12.</t>
  </si>
  <si>
    <t>Kispesti Vass Lajos Általános Iskola</t>
  </si>
  <si>
    <t>1193 Budapest XIX. kerület, Csokonai utca 9.</t>
  </si>
  <si>
    <t>Klebelsberg Kuno Általános Iskola és Gimnázium</t>
  </si>
  <si>
    <t>1028 Budapest II. kerület, Szabadság utca 23.</t>
  </si>
  <si>
    <t>klebi@klebelsberg.edu.hu</t>
  </si>
  <si>
    <t>06-1-3974569</t>
  </si>
  <si>
    <t>Kodály Zoltán Ének-zenei Általános Iskola, Gimnázium és Zenei Alapfokú Művészeti Iskola</t>
  </si>
  <si>
    <t>1022 Budapest II. kerület, Marczibányi tér 1.</t>
  </si>
  <si>
    <t>Kodály Zoltán Magyar Kórusiskola Katolikus Általános Iskola, Gimnázium, Alapfokú Művészeti Iskola és Szakgimnázium</t>
  </si>
  <si>
    <t>1015 Budapest I. kerület, Toldy Ferenc utca 28-30.</t>
  </si>
  <si>
    <t>Kolonics György Általános Iskola és Köznevelési Sportiskola</t>
  </si>
  <si>
    <t>1221 Budapest XXII. Kerület, Tompa utca 2-4.</t>
  </si>
  <si>
    <t>Kőbányai Csukás István Magyar-Angol Két Tanítási Nyelvű Általános Iskola</t>
  </si>
  <si>
    <t>1054 Budapest V. kerület, Akadémia utca 3.</t>
  </si>
  <si>
    <t>intezmenyvezeto@ulloiiskola.hu</t>
  </si>
  <si>
    <t>06/1/263-09-56</t>
  </si>
  <si>
    <t>Kőbányai Janikovszky Éva Magyar - Angol Két Tanítási Nyelvű Általános Iskola</t>
  </si>
  <si>
    <t>1105 Budapest, Kápolna tér 4.</t>
  </si>
  <si>
    <t>Kőbányai Keresztury Dezső Általános Iskola</t>
  </si>
  <si>
    <t>1106 Budapest X. kerület, Gyakorló utca 34. X./43.</t>
  </si>
  <si>
    <t>Kőbányai Széchenyi István Magyar-Német Két Tanítási Nyelvű Általános Iskola</t>
  </si>
  <si>
    <t>1108 Budapest X. kerület, Újhegyi sétány 1-3.</t>
  </si>
  <si>
    <t>Kőbányai Szent László Általános Iskola</t>
  </si>
  <si>
    <t>1105 Budapest, Szent László tér 1.</t>
  </si>
  <si>
    <t>Kreatív Általános Iskola</t>
  </si>
  <si>
    <t>1204 Budapest XX. kerület, Kakastó utca 15/a.</t>
  </si>
  <si>
    <t>igazgato.kreativ.iskola@gmail.com</t>
  </si>
  <si>
    <t>Laborc Általános Iskola</t>
  </si>
  <si>
    <t>1035 Budapest, Vihar utca 31.</t>
  </si>
  <si>
    <t>laborc.suli@gmail.com</t>
  </si>
  <si>
    <t>1/4360118</t>
  </si>
  <si>
    <t>Lágymányosi Bárdos Lajos Két Tanítási Nyelvű Általános Iskola</t>
  </si>
  <si>
    <t>1117 Budapest XI. kerület, Baranyai utca 16-18.</t>
  </si>
  <si>
    <t>intezmenyvezeto@bardos.dbtk.hu</t>
  </si>
  <si>
    <t>1/3810662</t>
  </si>
  <si>
    <t>Lauder Javne Zsidó Közösségi Óvoda, Általános Iskola, Középiskola és Zenei Alapfokú Művészeti Iskola</t>
  </si>
  <si>
    <t>1121 Budapest XII. kerület, Budakeszi út 48.</t>
  </si>
  <si>
    <t>Lisznyai Utcai Általános Iskola</t>
  </si>
  <si>
    <t>1016 Budapest I. kerület, Lisznyai utca 40-42.</t>
  </si>
  <si>
    <t>1016lisznyai@gmail.com</t>
  </si>
  <si>
    <t>1/3754284</t>
  </si>
  <si>
    <t>Magyar-Kínai Két Tanítási Nyelvű Általános Iskola és Gimnázium</t>
  </si>
  <si>
    <t>1158 Budapest XV. Kerület, Neptun utca 57.</t>
  </si>
  <si>
    <t>Marianum Német Nemzetiségi Nyelvoktató Általános Iskola és Gimnázium</t>
  </si>
  <si>
    <t>2030 Érd, Karolina utca 1.</t>
  </si>
  <si>
    <t>igazgato@marianum.hu</t>
  </si>
  <si>
    <t>23/365481</t>
  </si>
  <si>
    <t>Mátrix Suli Általános Iskola Budaörsi tagintézménye</t>
  </si>
  <si>
    <t>2040 Budaörs, Komáromi utca 16.</t>
  </si>
  <si>
    <t>Mindszenty József Római Katolikus Óvoda és Nyelvoktató Német Nemzetiségi Általános Iskola</t>
  </si>
  <si>
    <t>2040 Budaörs, Esze Tamás utca 1.</t>
  </si>
  <si>
    <t>igazgato@mindszenty-budaors.hu</t>
  </si>
  <si>
    <t>23/442615</t>
  </si>
  <si>
    <t>MOA Magán Általános Iskola</t>
  </si>
  <si>
    <t>1031 Budapest III. kerület, Kalászi  utca 5-7.</t>
  </si>
  <si>
    <t>Molnár Ferenc Magyar-Angol Két Tanítási Nyelvű Általános Iskola</t>
  </si>
  <si>
    <t>1085 Budapest VIII. kerület, Somogyi Béla utca 9-15.</t>
  </si>
  <si>
    <t>Monorierdei Fekete István Általános Iskola</t>
  </si>
  <si>
    <t>2213 Monorierdő, Szabadság utca 43.</t>
  </si>
  <si>
    <t>feketeiskola.monorierdo@gmail.com</t>
  </si>
  <si>
    <t>29/360397</t>
  </si>
  <si>
    <t>Nagykovácsi Általános Iskola</t>
  </si>
  <si>
    <t>2094 Nagykovácsi, Kossuth utca 101.</t>
  </si>
  <si>
    <t>nagykovacsisuli@gmail.com</t>
  </si>
  <si>
    <t>26/389922</t>
  </si>
  <si>
    <t>Németvölgyi Általános Iskola</t>
  </si>
  <si>
    <t>1126 Budapest XII. kerület, Németvölgyi út 46.</t>
  </si>
  <si>
    <t>dimanopuloszandrea@gmail.com</t>
  </si>
  <si>
    <t>01/2003748</t>
  </si>
  <si>
    <t>Néri Szent Fülöp Katolikus Általános Iskola</t>
  </si>
  <si>
    <t>4266 Fülöp, Kossuth utca 30.</t>
  </si>
  <si>
    <t>nerifulopialt@gmail.com</t>
  </si>
  <si>
    <t>06/30-2544972</t>
  </si>
  <si>
    <t>Óbudai Harrer Pál Angol Nyelvet Emelt Szinten Oktató Általános Iskola</t>
  </si>
  <si>
    <t>1033 Budapest III. kerület, Harrer Pál utca 7.</t>
  </si>
  <si>
    <t>igazgato.harrerp@ebtk.hu</t>
  </si>
  <si>
    <t>1/2500807, 1/2500887, 1/454-1510</t>
  </si>
  <si>
    <t>Óbudai II. Rákóczi Ferenc Általános Iskola</t>
  </si>
  <si>
    <t>1037  Budapest III. kerület, Erdőalja út 5.</t>
  </si>
  <si>
    <t>Óbudai Nagy László Magyar-Angol Két Tanítási Nyelvű Általános Iskola</t>
  </si>
  <si>
    <t>1035 Budapest , Váradi u.15/b</t>
  </si>
  <si>
    <t>igazgato.obudainagylaszlo@ebtk.hu</t>
  </si>
  <si>
    <t>1/3887747</t>
  </si>
  <si>
    <t>Orchidea Magyar-Angol Két Tanítási Nyelvű Óvoda, Általános Iskola és Gimnázium</t>
  </si>
  <si>
    <t>1139 Budapest XIII. kerület, Hajdú utca 18-24.</t>
  </si>
  <si>
    <t>Osztrák-Magyar Európaiskola</t>
  </si>
  <si>
    <t>1126 Budapest XII. kerület, Istenhegyi utca 32.</t>
  </si>
  <si>
    <t>Pannonia Sacra Katolikus Általános Iskola és Óvoda</t>
  </si>
  <si>
    <t>1122 Budapest, Csaba utca 16/C</t>
  </si>
  <si>
    <t>Pasaréti Szabó Lőrinc Magyar-Angol Két Tanítási Nyelvű Általános Iskola és Gimnázium</t>
  </si>
  <si>
    <t>1026 Budapest II. kerület, Pasaréti út 191-193.</t>
  </si>
  <si>
    <t>igazgato@szli.hu</t>
  </si>
  <si>
    <t>2751097</t>
  </si>
  <si>
    <t>Patrona Hungariae Katolikus Iskolaközpont</t>
  </si>
  <si>
    <t>1092 Budapest, Knézich utca 5-7.</t>
  </si>
  <si>
    <t>Pestszentlőrinci Német Nemzetiségi Általános Iskola</t>
  </si>
  <si>
    <t>1184 Budapest XVIII. kerület, Üllői út 380-382.</t>
  </si>
  <si>
    <t>iskola@pirosiskola.hu</t>
  </si>
  <si>
    <t>1/2910519</t>
  </si>
  <si>
    <t>Pilisborosjenői Német Nemzetiségi Általános Iskola és Alapfokú Művészeti Iskola</t>
  </si>
  <si>
    <t>2097 Pilisborosjenő, Fő út 1.</t>
  </si>
  <si>
    <t>Piliscsabai Palánta Általános Iskola</t>
  </si>
  <si>
    <t>2085 Pilisvörösvár, Kisvasút utca 5.</t>
  </si>
  <si>
    <t>Pipacsvirág Magyar-Angol Két Tanítási Nyelvű Általános Iskola</t>
  </si>
  <si>
    <t>2089 Telki, Muskátli utca 2.</t>
  </si>
  <si>
    <t>farkasjudit63@gmail.com</t>
  </si>
  <si>
    <t>26/920-810</t>
  </si>
  <si>
    <t>Puzzle Óvoda és Általános Iskola</t>
  </si>
  <si>
    <t>1056 Budapest V. kerület, Fővám tér 2-3. Félemelet 3.</t>
  </si>
  <si>
    <t>tanodak@gmail.com</t>
  </si>
  <si>
    <t>+3620 9351537</t>
  </si>
  <si>
    <t>Rákospalotai Meixner Általános Iskola és Alapfokú Művészeti Iskola</t>
  </si>
  <si>
    <t>1155 Budapest XV. kerület, Tóth István utca 100.</t>
  </si>
  <si>
    <t>Remetekertvárosi Általános Iskola</t>
  </si>
  <si>
    <t>1028 Budapest II. kerület, Máriaremetei út 71.</t>
  </si>
  <si>
    <t>Ritsmann Pál Német Nemzetiségi Általános Iskola</t>
  </si>
  <si>
    <t>2051 Biatorbágy, Karinthy Frigyes utca 4.</t>
  </si>
  <si>
    <t>Rózsadombi Általános Iskola</t>
  </si>
  <si>
    <t>1025 Budapest II. kerület, Törökvész út 67-69.</t>
  </si>
  <si>
    <t>igazgato@torokvesz.hu</t>
  </si>
  <si>
    <t>1/3256580</t>
  </si>
  <si>
    <t>Rózsakerti Demjén István Református Általános Iskola és Gimnázium</t>
  </si>
  <si>
    <t>1223 Budapest XXII. kerület, Rákóczi út 16.</t>
  </si>
  <si>
    <t>Sashegyi Arany János Általános Iskola és Gimnázium</t>
  </si>
  <si>
    <t>1124 Budapest XII. kerület, Meredek utca 1.</t>
  </si>
  <si>
    <t>patko.lajos@gmail.com</t>
  </si>
  <si>
    <t>1/319 3380</t>
  </si>
  <si>
    <t>SEK Budapest Óvoda, Általános Iskola és Gimnázium</t>
  </si>
  <si>
    <t>1021 Budapest II. kerület, Hűvösvölgyi út 131.</t>
  </si>
  <si>
    <t>Solymári Hunyadi Mátyás Német Nemzetiségi Általános Iskola, Alapfokú Művészeti Iskola</t>
  </si>
  <si>
    <t>2083 Solymár, Templom tér 26.</t>
  </si>
  <si>
    <t>titkarsag.solymar@gmail.com</t>
  </si>
  <si>
    <t>26/560-812</t>
  </si>
  <si>
    <t>Svábhegyi Jókai Mór Általános Iskola és Német Nemzetiségi Általános Iskola</t>
  </si>
  <si>
    <t>1125 Budapest XII. kerület, Diana utca 4.</t>
  </si>
  <si>
    <t>jokai@jokaiiskola.hu</t>
  </si>
  <si>
    <t>06-1/395-81-67</t>
  </si>
  <si>
    <t>Szent Angéla Ferences Általános Iskola és Gimnázium</t>
  </si>
  <si>
    <t>1024 Budapest II. kerület, Ady Endre utca 3.</t>
  </si>
  <si>
    <t>titkarsag@szentangela.hu</t>
  </si>
  <si>
    <t>+3613163818</t>
  </si>
  <si>
    <t>Szent II. János Pál Óvoda, Általános Iskola és Gimnázium</t>
  </si>
  <si>
    <t>1116 Budapest, Mezőkövesd utca 10.</t>
  </si>
  <si>
    <t>info@janospal.hu</t>
  </si>
  <si>
    <t>01/2014328</t>
  </si>
  <si>
    <t>Szent Imre Katolikus Óvoda és Általános Iskola</t>
  </si>
  <si>
    <t>6000 Kecskemét, Szent Imre utca 9.</t>
  </si>
  <si>
    <t>igazgato@szentimre-kmet.hu</t>
  </si>
  <si>
    <t>76/505-736</t>
  </si>
  <si>
    <t>Szent János Apostol Katolikus Általános Iskola és Óvoda</t>
  </si>
  <si>
    <t>1071 Budapest VII. kerület, Damjanich utca 48</t>
  </si>
  <si>
    <t>igazgato@szentjanos.hu</t>
  </si>
  <si>
    <t>1/3692148</t>
  </si>
  <si>
    <t>Szent Korona Általános Iskola</t>
  </si>
  <si>
    <t>1155 Budapest XV. Kerület, Szent Korona útja 8. 8.em.24.</t>
  </si>
  <si>
    <t>sztkoronaiskola@gmail.com</t>
  </si>
  <si>
    <t>1/3070008</t>
  </si>
  <si>
    <t>Szentendrei II. Rákóczi Feren Általános Iskola és Gimnázium</t>
  </si>
  <si>
    <t>2000 Szentendre, Rákóczi Ferenc utca 6.</t>
  </si>
  <si>
    <t>Szentistvántelepi Általános Iskola</t>
  </si>
  <si>
    <t>2011 Budakalász, Martinovics utca 9.</t>
  </si>
  <si>
    <t>igazgato@szentistvantelepi-iskola.hu</t>
  </si>
  <si>
    <t>26/340209</t>
  </si>
  <si>
    <t>Tamási Áron Általános Iskola, Gimnázium és Német Nemzetiségi Gimnázium</t>
  </si>
  <si>
    <t>1124 Budapest XII. kerület, Mártonhegyi út 34.</t>
  </si>
  <si>
    <t>tamasi@tamasiaroniskola.hu</t>
  </si>
  <si>
    <t>1/4570719</t>
  </si>
  <si>
    <t>Templomdombi Általános Iskola</t>
  </si>
  <si>
    <t>2000 Szentendre, Alkotmány utca 12.</t>
  </si>
  <si>
    <t>tenkesne.eniko@templomdomb.hu</t>
  </si>
  <si>
    <t>30/7144478</t>
  </si>
  <si>
    <t>Terézvárosi Magyar-Angol, Magyar-Német Két Tannyelvű Általános Iskola</t>
  </si>
  <si>
    <t>1065 Budapest VI. kerület, Pethő Sándor utca 4.</t>
  </si>
  <si>
    <t>martikan.beatrix@terket.edu.hu</t>
  </si>
  <si>
    <t>1/3217349</t>
  </si>
  <si>
    <t>Testnevelési Egyetem Gyakorló Sportiskolai Általános Iskola és Gimnázium</t>
  </si>
  <si>
    <t>1125 Budapest XII. kerület, Diana utca 35-37.</t>
  </si>
  <si>
    <t>Új Budai Alma Mater Általános Iskola, Alapfokú Művészeti Iskola és Óvoda</t>
  </si>
  <si>
    <t>1122 Budapest, Muskétás utca 1.</t>
  </si>
  <si>
    <t>info@ujalma.hu</t>
  </si>
  <si>
    <t>Újbudai Ádám Jenő Általános Iskola</t>
  </si>
  <si>
    <t>1118 Budapest XI. kerület, Köbölkút utca 27.</t>
  </si>
  <si>
    <t>vezetoseg@adamjeno.hu</t>
  </si>
  <si>
    <t>0613864610</t>
  </si>
  <si>
    <t>Újbudai Bocskai István Általános Iskola</t>
  </si>
  <si>
    <t>1113 Budapest XI. kerület, Bocskai út 47-49.</t>
  </si>
  <si>
    <t>intezmenyvezeto@bocskai.dbtk.hu</t>
  </si>
  <si>
    <t>2099163</t>
  </si>
  <si>
    <t>Újbudai Gárdonyi Géza Általános Iskola</t>
  </si>
  <si>
    <t>1114 Budapest XI. kerület, Bartók Béla út 27.</t>
  </si>
  <si>
    <t>titkarsag@gardonyi.dbtk.hu</t>
  </si>
  <si>
    <t>3810672</t>
  </si>
  <si>
    <t>Újbudai Grosics Gyula Sport Általános Iskola</t>
  </si>
  <si>
    <t>1119 Budapest,  Bikszádi utca 11-15.</t>
  </si>
  <si>
    <t>Újbudai Petőfi Sándor Általános Iskola</t>
  </si>
  <si>
    <t>1116 Budapest XI. kerület, Kiskőrös utca 1.</t>
  </si>
  <si>
    <t>Újbudai Teleki Blanka Általános Iskola</t>
  </si>
  <si>
    <t>1119 Budapest XI. kerület, Bikszádi utca 61-63.</t>
  </si>
  <si>
    <t>hehl.eva@teleki.delbudaitk.hu</t>
  </si>
  <si>
    <t>2057171</t>
  </si>
  <si>
    <t>Újlaki Magyar-Olasz Két Tanítási Nyelvű Általános Iskola</t>
  </si>
  <si>
    <t>1023 Budapest II. kerület, Ürömi utca 64.</t>
  </si>
  <si>
    <t>igazgato.ujlaki@gmail.com</t>
  </si>
  <si>
    <t>3350720</t>
  </si>
  <si>
    <t>Vajda Péter Ének-zenei Általános és Sportiskola</t>
  </si>
  <si>
    <t>1089 Budapest VIII. kerület, Vajda Péter utca 25-31.</t>
  </si>
  <si>
    <t>Városmajori Kós Károly Általános Iskola</t>
  </si>
  <si>
    <t>1122 Budapest XII. kerület, Városmajor utca 59.</t>
  </si>
  <si>
    <t>mategyula.koskaroly@gmail.com</t>
  </si>
  <si>
    <t>06 1 225 0967</t>
  </si>
  <si>
    <t>Virányos Általános Iskola</t>
  </si>
  <si>
    <t>1125 Budapest XII. kerület, Virányos út 48.</t>
  </si>
  <si>
    <t>viraltisk@t-online.hu</t>
  </si>
  <si>
    <t>3945015</t>
  </si>
  <si>
    <t>Zimándy Ignác Általános Iskola</t>
  </si>
  <si>
    <t>2045 Törökbálint, Dózsa György utca 15.</t>
  </si>
  <si>
    <t>zimandy@torokbalint.hu</t>
  </si>
  <si>
    <t>23/338151</t>
  </si>
  <si>
    <t>Zugligeti Általános Iskola</t>
  </si>
  <si>
    <t>1121 Budapest XII. kerület, Zugligeti út 113.</t>
  </si>
  <si>
    <t>postmaster@zugligetialtisk.t-online.hu</t>
  </si>
  <si>
    <t>1/2008721</t>
  </si>
  <si>
    <t>Zuglói Arany János Általános Iskola és Alapfokú Művészeti Iskola</t>
  </si>
  <si>
    <t>1145 Budapest XIV. kerület, Újvidék tér 3.</t>
  </si>
  <si>
    <t>igazgato@aranyjanos-zuglo.edu.hu</t>
  </si>
  <si>
    <t>01/3836398</t>
  </si>
  <si>
    <t>Zuglói Heltai Gáspár Általános Iskola</t>
  </si>
  <si>
    <t>1148 Budapest XIV. kerület, Padlizsán utca 11-13.</t>
  </si>
  <si>
    <t>zugloiheltai@gmail.com</t>
  </si>
  <si>
    <t>01/3630202</t>
  </si>
  <si>
    <t>Zuglói Herman Ottó Tudásközpont Általános Iskola</t>
  </si>
  <si>
    <t>1149 Budapest XIV. kerület, Egressy út 69.</t>
  </si>
  <si>
    <t>igazgato@hermantudaskozpont.hu</t>
  </si>
  <si>
    <t>06/1/4670926</t>
  </si>
  <si>
    <t>sorsz</t>
  </si>
  <si>
    <t>iktsz</t>
  </si>
  <si>
    <t>bizottsag</t>
  </si>
  <si>
    <t>datum_nap</t>
  </si>
  <si>
    <t>hiv_ora</t>
  </si>
  <si>
    <t>hiv_nap</t>
  </si>
  <si>
    <t>rangsor</t>
  </si>
  <si>
    <t>idopont_kiadva</t>
  </si>
  <si>
    <t>oktazon</t>
  </si>
  <si>
    <t>f_nev</t>
  </si>
  <si>
    <t>f_szul_hely</t>
  </si>
  <si>
    <t>f_szul_ido</t>
  </si>
  <si>
    <t>szul_ev</t>
  </si>
  <si>
    <t>szul_ho</t>
  </si>
  <si>
    <t>f_a_nev</t>
  </si>
  <si>
    <t>tel</t>
  </si>
  <si>
    <t>a_cim</t>
  </si>
  <si>
    <t>ert_nev</t>
  </si>
  <si>
    <t>ert_cim</t>
  </si>
  <si>
    <t>iskom</t>
  </si>
  <si>
    <t>i_cim</t>
  </si>
  <si>
    <t>i_mail</t>
  </si>
  <si>
    <t>p_magyar</t>
  </si>
  <si>
    <t>p_matek</t>
  </si>
  <si>
    <t>irasbeliossz</t>
  </si>
  <si>
    <t>irasbeliossz+szorzo</t>
  </si>
  <si>
    <t>p_bizonyitvany</t>
  </si>
  <si>
    <t>biziirasbeliossz</t>
  </si>
  <si>
    <t>p_szovegalkotas</t>
  </si>
  <si>
    <t>p_kirako</t>
  </si>
  <si>
    <t>p_bemutatkozas</t>
  </si>
  <si>
    <t>szobeli</t>
  </si>
  <si>
    <t>p_mindossz</t>
  </si>
  <si>
    <t>f_hatranyos</t>
  </si>
  <si>
    <t>I_ker_irsz</t>
  </si>
  <si>
    <t>f_SNI2</t>
  </si>
  <si>
    <t>f_BTNN</t>
  </si>
  <si>
    <t>f_testver</t>
  </si>
  <si>
    <t>f_jelige</t>
  </si>
  <si>
    <t>j_1000</t>
  </si>
  <si>
    <t>j_2000</t>
  </si>
  <si>
    <t>j_3000</t>
  </si>
  <si>
    <t>j_4000</t>
  </si>
  <si>
    <t>megjegyzes</t>
  </si>
  <si>
    <t>sajat megjegyzes</t>
  </si>
  <si>
    <t>jelszo</t>
  </si>
  <si>
    <t>file_url</t>
  </si>
  <si>
    <t>bizottsag_toldalek</t>
  </si>
  <si>
    <t>x</t>
  </si>
  <si>
    <t>Albert-Nagy Flóra</t>
  </si>
  <si>
    <t>Antal Eszter</t>
  </si>
  <si>
    <t>Antal Virág</t>
  </si>
  <si>
    <t>Aparácz Lujza Adelina</t>
  </si>
  <si>
    <t>Babák Borka</t>
  </si>
  <si>
    <t>Bacher Kitti</t>
  </si>
  <si>
    <t>nos20150429</t>
  </si>
  <si>
    <t>Bácsfai András</t>
  </si>
  <si>
    <t>Bagyura Pál</t>
  </si>
  <si>
    <t>fra20150416</t>
  </si>
  <si>
    <t>Bajzak Milos</t>
  </si>
  <si>
    <t>vok20140209</t>
  </si>
  <si>
    <t>Bak Imola</t>
  </si>
  <si>
    <t>Bakos Izabella</t>
  </si>
  <si>
    <t>Bakos Zsigmond</t>
  </si>
  <si>
    <t>Baky Liza Veronika</t>
  </si>
  <si>
    <t>Balaton Fanni</t>
  </si>
  <si>
    <t>Balázs Elza</t>
  </si>
  <si>
    <t>Bálint Lianna Írisz</t>
  </si>
  <si>
    <t>Balogh Vince</t>
  </si>
  <si>
    <t>Bán Szofi</t>
  </si>
  <si>
    <t>X</t>
  </si>
  <si>
    <t>tot20141201</t>
  </si>
  <si>
    <t>Bannerth Emília</t>
  </si>
  <si>
    <t>Bányász Gergő</t>
  </si>
  <si>
    <t>kes20140905</t>
  </si>
  <si>
    <t>Baranyi-Nagy Lotti</t>
  </si>
  <si>
    <t>Bárdy-Nagy Marina</t>
  </si>
  <si>
    <t>bar20150109</t>
  </si>
  <si>
    <t>Báron Emma Rebeka</t>
  </si>
  <si>
    <t>kis20141227</t>
  </si>
  <si>
    <t>Bathó Zsombor</t>
  </si>
  <si>
    <t>Benő Ármin</t>
  </si>
  <si>
    <t>Bényei-Bazsa Botond</t>
  </si>
  <si>
    <t>Berky Bence Dániel</t>
  </si>
  <si>
    <t>Bieless Léda</t>
  </si>
  <si>
    <t>Bikki Zsolna</t>
  </si>
  <si>
    <t>Biró Benedek</t>
  </si>
  <si>
    <t>Blazsek Lili</t>
  </si>
  <si>
    <t>Bodó Lujza Mira</t>
  </si>
  <si>
    <t>Bognár Anna Eszter</t>
  </si>
  <si>
    <t>bag20150407</t>
  </si>
  <si>
    <t>Bogsán Illés Márk</t>
  </si>
  <si>
    <t>Borbély-Pecze Janna</t>
  </si>
  <si>
    <t>Bordás Alíz</t>
  </si>
  <si>
    <t>Bordós Ella Gréta</t>
  </si>
  <si>
    <t>Bozó Gusztáv Fülöp</t>
  </si>
  <si>
    <t>Bőcs Izabella</t>
  </si>
  <si>
    <t>Braun Áron</t>
  </si>
  <si>
    <t>pal20141213</t>
  </si>
  <si>
    <t>Bruckner Lilla</t>
  </si>
  <si>
    <t>Bujdosó Márton</t>
  </si>
  <si>
    <t>Bukta András</t>
  </si>
  <si>
    <t>Bun Rókus</t>
  </si>
  <si>
    <t>alb20140922</t>
  </si>
  <si>
    <t>Burucs Bence</t>
  </si>
  <si>
    <t>Czirják Luca</t>
  </si>
  <si>
    <t>Császár Hanna Rebeka</t>
  </si>
  <si>
    <t>Cser Emma Mara</t>
  </si>
  <si>
    <t>cse20150206</t>
  </si>
  <si>
    <t>Cserháti Gertrúd</t>
  </si>
  <si>
    <t>Csete Julianna</t>
  </si>
  <si>
    <t>Csíky Bálint</t>
  </si>
  <si>
    <t>ola20141003</t>
  </si>
  <si>
    <t>Csipes Anna Boglárka</t>
  </si>
  <si>
    <t>Csóra Alíz</t>
  </si>
  <si>
    <t>Csordás Ada</t>
  </si>
  <si>
    <t>Csury Sebestyén Ottó</t>
  </si>
  <si>
    <t>Danczkay Martin Béla</t>
  </si>
  <si>
    <t>Dancsi Benedek</t>
  </si>
  <si>
    <t>Dani Zita</t>
  </si>
  <si>
    <t>Darabos Félix</t>
  </si>
  <si>
    <t>Darányi Richárd</t>
  </si>
  <si>
    <t>sza20150504</t>
  </si>
  <si>
    <t>Darvas Máté</t>
  </si>
  <si>
    <t>Davis Sonya Charlotte</t>
  </si>
  <si>
    <t>Deák Vince</t>
  </si>
  <si>
    <t>Debreceni Csongor</t>
  </si>
  <si>
    <t>Dévai-Lantos Lilla</t>
  </si>
  <si>
    <t>Dobai Levente</t>
  </si>
  <si>
    <t>Domokos Kíra</t>
  </si>
  <si>
    <t>Drahos Márk</t>
  </si>
  <si>
    <t>Drozdy Győző Levente</t>
  </si>
  <si>
    <t>Durst Ábel</t>
  </si>
  <si>
    <t>Dyke András János</t>
  </si>
  <si>
    <t>Elek Dániel</t>
  </si>
  <si>
    <t>Eörsi Jakab</t>
  </si>
  <si>
    <t>Erdélyi Benedek</t>
  </si>
  <si>
    <t>nag20140228</t>
  </si>
  <si>
    <t>Farkas Anna</t>
  </si>
  <si>
    <t>Farkas Johanna Glória</t>
  </si>
  <si>
    <t>Fazekas Márk Ferdinánd</t>
  </si>
  <si>
    <t>Fazekas Nadin</t>
  </si>
  <si>
    <t>ara20150106</t>
  </si>
  <si>
    <t>Fehér Alíz Janka</t>
  </si>
  <si>
    <t>Fehérvári Júlia</t>
  </si>
  <si>
    <t>Fejes Borbála</t>
  </si>
  <si>
    <t>Fejes Veronika</t>
  </si>
  <si>
    <t>Ficzere Iván Boldizsár</t>
  </si>
  <si>
    <t>Fodor Dalma Ditta</t>
  </si>
  <si>
    <t>Fonó Gréta Mira</t>
  </si>
  <si>
    <t>Fontanini Gioele Francescomaria</t>
  </si>
  <si>
    <t>Főfai Péter</t>
  </si>
  <si>
    <t>Frey Kolos Attila</t>
  </si>
  <si>
    <t>Fülöp Rozina</t>
  </si>
  <si>
    <t>erd20141111</t>
  </si>
  <si>
    <t>Fülöp Sára</t>
  </si>
  <si>
    <t>Gagyi-Pálffy Lilla Róza</t>
  </si>
  <si>
    <t>Gagyi-Pálffy Mária Lujza</t>
  </si>
  <si>
    <t>Gal Laura</t>
  </si>
  <si>
    <t>Gál-Joósz Gergely</t>
  </si>
  <si>
    <t>Garai Mihály</t>
  </si>
  <si>
    <t>Garancsi Gréta</t>
  </si>
  <si>
    <t>Gasztonyi Linda</t>
  </si>
  <si>
    <t>-</t>
  </si>
  <si>
    <t>czi20141021</t>
  </si>
  <si>
    <t>Geller Gordon</t>
  </si>
  <si>
    <t>Gergátz Gábor</t>
  </si>
  <si>
    <t>Gilincsek Nándor</t>
  </si>
  <si>
    <t>ero20141203</t>
  </si>
  <si>
    <t>GLOVICZKY CSONGOR ÁDÁM</t>
  </si>
  <si>
    <t>Gondolovics Lia</t>
  </si>
  <si>
    <t>Gőcze Barnabás</t>
  </si>
  <si>
    <t>Grosz-Herwerth Anna Dorottya</t>
  </si>
  <si>
    <t>her20140828</t>
  </si>
  <si>
    <t>Gulyás Dávid</t>
  </si>
  <si>
    <t>Győri Laura</t>
  </si>
  <si>
    <t>Hajdu Anna</t>
  </si>
  <si>
    <t>Haumann Frida</t>
  </si>
  <si>
    <t>Hegedűs Kamilla</t>
  </si>
  <si>
    <t>Hegel Anna Judit</t>
  </si>
  <si>
    <t>Helyes-Kakszi Henrik Imre</t>
  </si>
  <si>
    <t>Henger Jakab Soma</t>
  </si>
  <si>
    <t>Herber Panni</t>
  </si>
  <si>
    <t>Hetyei Pál Barnabás</t>
  </si>
  <si>
    <t>Hoffmann Gellért Ádám</t>
  </si>
  <si>
    <t>Holló Nándor</t>
  </si>
  <si>
    <t>Hollósi Dóra</t>
  </si>
  <si>
    <t>Hoós Hannaróza</t>
  </si>
  <si>
    <t>mec20140825</t>
  </si>
  <si>
    <t>Horváth Márton</t>
  </si>
  <si>
    <t>Hummel Sámuel</t>
  </si>
  <si>
    <t xml:space="preserve">Husnjak Marin </t>
  </si>
  <si>
    <t>Hussami Illés György</t>
  </si>
  <si>
    <t>poc20150702</t>
  </si>
  <si>
    <t>Hülber Hanna</t>
  </si>
  <si>
    <t>nag20150404</t>
  </si>
  <si>
    <t>Ilosvay Patrik Máté</t>
  </si>
  <si>
    <t>Irinyi Bence</t>
  </si>
  <si>
    <t>Jancsó Bence Kolos</t>
  </si>
  <si>
    <t>Jancsó Luca Csenge</t>
  </si>
  <si>
    <t>Janzsó-Sugita Nándor Asahi</t>
  </si>
  <si>
    <t>Jobbágy-Biró Réka</t>
  </si>
  <si>
    <t>Juhász Anna Letícia</t>
  </si>
  <si>
    <t>hor20150407</t>
  </si>
  <si>
    <t>Juhász Gréta</t>
  </si>
  <si>
    <t>Kajli Kristóf</t>
  </si>
  <si>
    <t>Kakuk Tamás</t>
  </si>
  <si>
    <t>mar20140926</t>
  </si>
  <si>
    <t>Kalcsú Martin Milán</t>
  </si>
  <si>
    <t>Kállai Sophie</t>
  </si>
  <si>
    <t>Kaló András</t>
  </si>
  <si>
    <t>Kárász Dániel</t>
  </si>
  <si>
    <t>Kátai-Pál Áron</t>
  </si>
  <si>
    <t>Kerekes Aliza</t>
  </si>
  <si>
    <t>Keresztszeghy Janka Rozina</t>
  </si>
  <si>
    <t>Kertész Szofi</t>
  </si>
  <si>
    <t>Kiefer Nóra</t>
  </si>
  <si>
    <t>Király Benedek</t>
  </si>
  <si>
    <t>Kis-Benke Artúr</t>
  </si>
  <si>
    <t>Kiss Dominik Attila</t>
  </si>
  <si>
    <t>Kiss Fanni</t>
  </si>
  <si>
    <t>szi20140927</t>
  </si>
  <si>
    <t>Kiss Nándor</t>
  </si>
  <si>
    <t>Kiss Panna</t>
  </si>
  <si>
    <t>Kohári Bálint István</t>
  </si>
  <si>
    <t>fer20150511</t>
  </si>
  <si>
    <t>Konstantinides Leon</t>
  </si>
  <si>
    <t>Korponai Bálint</t>
  </si>
  <si>
    <t>amb20140421</t>
  </si>
  <si>
    <t>Korsinek Júlia</t>
  </si>
  <si>
    <t>csa20141017</t>
  </si>
  <si>
    <t>Kovács Adél</t>
  </si>
  <si>
    <t>Kovács Boróka Terézia</t>
  </si>
  <si>
    <t>Kovács Dávid</t>
  </si>
  <si>
    <t>Kovács Fanni</t>
  </si>
  <si>
    <t>pap20150409</t>
  </si>
  <si>
    <t>Kovács Márton</t>
  </si>
  <si>
    <t>Kovács Milán Zalán</t>
  </si>
  <si>
    <t>Kovács Mór Márton</t>
  </si>
  <si>
    <t>Kovács Zorán András</t>
  </si>
  <si>
    <t>Kovács-Holczer Borka</t>
  </si>
  <si>
    <t>Kozma Sólyom Vajk</t>
  </si>
  <si>
    <t>Kőhalmi Lilla Zorka</t>
  </si>
  <si>
    <t>Kökény André</t>
  </si>
  <si>
    <t>Budapest</t>
  </si>
  <si>
    <t>Kökényesi Zoé</t>
  </si>
  <si>
    <t>Krasznai Szilárd Benedek</t>
  </si>
  <si>
    <t>Krázli Kitti Bella</t>
  </si>
  <si>
    <t>Kriston Aliz</t>
  </si>
  <si>
    <t>Kulcsár Soma</t>
  </si>
  <si>
    <t>pol20141229</t>
  </si>
  <si>
    <t>Kupcsulik Márk Alajos</t>
  </si>
  <si>
    <t>csi20141211</t>
  </si>
  <si>
    <t>Lamere-Nyakas Izabell</t>
  </si>
  <si>
    <t>Lasz Zoltán</t>
  </si>
  <si>
    <t>László Katalin</t>
  </si>
  <si>
    <t>kov20150626</t>
  </si>
  <si>
    <t>Lautenbach Lisa</t>
  </si>
  <si>
    <t>Lehoczki Péter</t>
  </si>
  <si>
    <t>Lengyel Liza</t>
  </si>
  <si>
    <t>pla20150212</t>
  </si>
  <si>
    <t>Lengyel Soma</t>
  </si>
  <si>
    <t>Lepsényi Márk</t>
  </si>
  <si>
    <t>Lévai Heléna</t>
  </si>
  <si>
    <t>Levárdy Mátyás</t>
  </si>
  <si>
    <t>LI CHONGHE</t>
  </si>
  <si>
    <t>LI RUO LIN</t>
  </si>
  <si>
    <t>Ligeti-Harth Szonja Mása</t>
  </si>
  <si>
    <t>Liszits Bence</t>
  </si>
  <si>
    <t>cso20150304</t>
  </si>
  <si>
    <t>Liu Xinyi</t>
  </si>
  <si>
    <t>zhu20141231</t>
  </si>
  <si>
    <t>Lőrinczy Sára</t>
  </si>
  <si>
    <t>Lőw Mihály</t>
  </si>
  <si>
    <t>Lukács Nóra</t>
  </si>
  <si>
    <t>Maarouf Amira</t>
  </si>
  <si>
    <t>kon20150202</t>
  </si>
  <si>
    <t>Majoros Ármin Márk</t>
  </si>
  <si>
    <t>kor20141007</t>
  </si>
  <si>
    <t>Mangel Léna</t>
  </si>
  <si>
    <t>Markovich Mátyás</t>
  </si>
  <si>
    <t>kut20150114</t>
  </si>
  <si>
    <t>Marossy Klára Ilona</t>
  </si>
  <si>
    <t>Martits Mira</t>
  </si>
  <si>
    <t>Máté Sámuel Gábor</t>
  </si>
  <si>
    <t>Mati-Ifkó Margaréta Éva</t>
  </si>
  <si>
    <t>ifk20140216</t>
  </si>
  <si>
    <t>Matók Vendel Viktor</t>
  </si>
  <si>
    <t>pet20140912</t>
  </si>
  <si>
    <t>Meleg-Sugiyama Soma</t>
  </si>
  <si>
    <t>Mihálka Benedek</t>
  </si>
  <si>
    <t>Mihály-Rácz Eszter</t>
  </si>
  <si>
    <t>Mihók Dóra Ida</t>
  </si>
  <si>
    <t>Miklósi-Kovács Boldizsár</t>
  </si>
  <si>
    <t>Miklós-Király Sarolta</t>
  </si>
  <si>
    <t>kir20150130</t>
  </si>
  <si>
    <t>Mikusi Gergely Bálint</t>
  </si>
  <si>
    <t>Molnár-Szabó Marcell</t>
  </si>
  <si>
    <t>Moravcsik Stella Sára</t>
  </si>
  <si>
    <t>gaz20141121</t>
  </si>
  <si>
    <t>Nábrády Zakariás Márk</t>
  </si>
  <si>
    <t>Nádasdi Dániel</t>
  </si>
  <si>
    <t>Nagy Ábel Zakariás</t>
  </si>
  <si>
    <t>Nagy Barbara Lujza</t>
  </si>
  <si>
    <t>Nagy Boldizsár Alex</t>
  </si>
  <si>
    <t>Nagy Eszter</t>
  </si>
  <si>
    <t>Nagy Julianna</t>
  </si>
  <si>
    <t>nag20140803</t>
  </si>
  <si>
    <t>Nagy Orsolya</t>
  </si>
  <si>
    <t>Nagy-György Julianna</t>
  </si>
  <si>
    <t>Nagy-Kende Roland Rikárdó</t>
  </si>
  <si>
    <t>Nagy-Tóth András</t>
  </si>
  <si>
    <t>Nálhi Kamilla</t>
  </si>
  <si>
    <t>Nátrán Áron Bence</t>
  </si>
  <si>
    <t>Negyeliczky Max Emilián</t>
  </si>
  <si>
    <t>Németh Panka Sára</t>
  </si>
  <si>
    <t>Nikolits Kornél Marcell</t>
  </si>
  <si>
    <t>tot20150505</t>
  </si>
  <si>
    <t>Nyári Lili</t>
  </si>
  <si>
    <t>Nyitrai Misa János</t>
  </si>
  <si>
    <t>Oláh Áron</t>
  </si>
  <si>
    <t>Olaszy Milán Zsolt</t>
  </si>
  <si>
    <t>Ormai Bertalan</t>
  </si>
  <si>
    <t>Őri Dávid</t>
  </si>
  <si>
    <t>Paczona Erik</t>
  </si>
  <si>
    <t>Palicz Erik</t>
  </si>
  <si>
    <t>Pankovics Viktor Regő</t>
  </si>
  <si>
    <t>Pantner Huba</t>
  </si>
  <si>
    <t>Pápai Vencel Gábor</t>
  </si>
  <si>
    <t>Papp Dániel</t>
  </si>
  <si>
    <t>Papp Lilla</t>
  </si>
  <si>
    <t>bal20150330</t>
  </si>
  <si>
    <t>Pártl Dorottya</t>
  </si>
  <si>
    <t>pan20150211</t>
  </si>
  <si>
    <t>PATAKI STEFÁNIA SZONJA</t>
  </si>
  <si>
    <t>her20150303</t>
  </si>
  <si>
    <t>Paveszka László Gábor</t>
  </si>
  <si>
    <t>Perger Szonja</t>
  </si>
  <si>
    <t>Péter Csenge Anna</t>
  </si>
  <si>
    <t>Pilz Dániel Benett</t>
  </si>
  <si>
    <t>Pogány Liza</t>
  </si>
  <si>
    <t>Polgár Máté</t>
  </si>
  <si>
    <t>Polgár Mikolt</t>
  </si>
  <si>
    <t>len20141129</t>
  </si>
  <si>
    <t>Pollák Panka Szeréna</t>
  </si>
  <si>
    <t>Potos Eszter</t>
  </si>
  <si>
    <t>Preseka Hanga Viola</t>
  </si>
  <si>
    <t>Puss Bence</t>
  </si>
  <si>
    <t>Pusztai Botond</t>
  </si>
  <si>
    <t>Rákosi Mihály Imre</t>
  </si>
  <si>
    <t>Répássy Sebestyén</t>
  </si>
  <si>
    <t>Richter Oliver Kahu</t>
  </si>
  <si>
    <t>Rind Lénárd</t>
  </si>
  <si>
    <t>Ritecz János</t>
  </si>
  <si>
    <t>Rózsa Gergely Márk</t>
  </si>
  <si>
    <t>kis20140812</t>
  </si>
  <si>
    <t>Sánta Imre Ádám</t>
  </si>
  <si>
    <t>Sárossy Johanna</t>
  </si>
  <si>
    <t>Schannen Emmett Kristóf</t>
  </si>
  <si>
    <t>Schiffer Lilla</t>
  </si>
  <si>
    <t>Segretain Iris Ilona</t>
  </si>
  <si>
    <t>Serbán Gréta</t>
  </si>
  <si>
    <t>Seregi  Bonifác András</t>
  </si>
  <si>
    <t>SHENG YUQIAN</t>
  </si>
  <si>
    <t>SHI HAOZE</t>
  </si>
  <si>
    <t>Sik Rozália</t>
  </si>
  <si>
    <t>Siklósi Elza Klára</t>
  </si>
  <si>
    <t>Simon Emília Magdolna</t>
  </si>
  <si>
    <t>Simon Enikő</t>
  </si>
  <si>
    <t>Simon Magdolna Katalin</t>
  </si>
  <si>
    <t>Soós Albert László</t>
  </si>
  <si>
    <t>Sopov Dániel</t>
  </si>
  <si>
    <t>Sopov Marcell</t>
  </si>
  <si>
    <t>Stecbauer Zsófia Mária</t>
  </si>
  <si>
    <t>Surányi Dorina Lea</t>
  </si>
  <si>
    <t>Szabó András Móric</t>
  </si>
  <si>
    <t xml:space="preserve">Szabó Anna Violetta </t>
  </si>
  <si>
    <t>Szabó Eszter</t>
  </si>
  <si>
    <t>Szalay Liliána</t>
  </si>
  <si>
    <t>Szarka Eliza Éva</t>
  </si>
  <si>
    <t>Szaszovszky Léna</t>
  </si>
  <si>
    <t>Székely Csenge Dóra</t>
  </si>
  <si>
    <t>Székely Dávid</t>
  </si>
  <si>
    <t>Székely-Körmöczy Réka</t>
  </si>
  <si>
    <t>sza20140204</t>
  </si>
  <si>
    <t>Szendi-Nagy Léna</t>
  </si>
  <si>
    <t>Szendrei Ábel</t>
  </si>
  <si>
    <t>Szenthe Szófia Zille</t>
  </si>
  <si>
    <t>Szerencsi Milán</t>
  </si>
  <si>
    <t>apa20150812</t>
  </si>
  <si>
    <t>Szigeti Botond Márk</t>
  </si>
  <si>
    <t>Szigeti-Böröcz Ida</t>
  </si>
  <si>
    <t>bor20140829</t>
  </si>
  <si>
    <t>Sziklai Lili</t>
  </si>
  <si>
    <t>Szokoli Johanna</t>
  </si>
  <si>
    <t>Sztarovics Janka</t>
  </si>
  <si>
    <t>Szűcs Donát Péter</t>
  </si>
  <si>
    <t>Tajti-Orbán Ágoston András</t>
  </si>
  <si>
    <t>Takács Janka</t>
  </si>
  <si>
    <t>Tálas Erik Péter</t>
  </si>
  <si>
    <t>vor20140902</t>
  </si>
  <si>
    <t>Tamási-Kiss Milán</t>
  </si>
  <si>
    <t>Tatár Tivadar</t>
  </si>
  <si>
    <t>Terner Hédi Szonja</t>
  </si>
  <si>
    <t>Tiszai Péter Sámuel</t>
  </si>
  <si>
    <t>Tomasovszky Simon</t>
  </si>
  <si>
    <t>Tompa Bianka Gréta</t>
  </si>
  <si>
    <t>Tóth Attila Bonifác</t>
  </si>
  <si>
    <t>Tóth Mici</t>
  </si>
  <si>
    <t>Tóth Rita Noémi</t>
  </si>
  <si>
    <t>Tölgyesi Bíborka</t>
  </si>
  <si>
    <t>Török Blanka Nóra</t>
  </si>
  <si>
    <t>Török Emma Róza</t>
  </si>
  <si>
    <t>Török Márton</t>
  </si>
  <si>
    <t>bor20141106</t>
  </si>
  <si>
    <t>Tudlik Domán Bendegúz</t>
  </si>
  <si>
    <t>Tuli Balázs Péter</t>
  </si>
  <si>
    <t>Turi Dorottya</t>
  </si>
  <si>
    <t>Vajda Sára</t>
  </si>
  <si>
    <t>Valkó Júlia</t>
  </si>
  <si>
    <t>Valkovszki Barnabás</t>
  </si>
  <si>
    <t>Vámos Dávid</t>
  </si>
  <si>
    <t>Vancsó Gergely Imre</t>
  </si>
  <si>
    <t>Váradi Zalán Vince</t>
  </si>
  <si>
    <t>hid20150226</t>
  </si>
  <si>
    <t>Varga Dániel Dominik</t>
  </si>
  <si>
    <t>Varga Márton</t>
  </si>
  <si>
    <t>Varga Míra Eliza</t>
  </si>
  <si>
    <t>Varga-Andersen Tristan</t>
  </si>
  <si>
    <t>Vass Gergő</t>
  </si>
  <si>
    <t>Vatai Máté Kelemen</t>
  </si>
  <si>
    <t>Véghelyi Márton</t>
  </si>
  <si>
    <t>szo20150207</t>
  </si>
  <si>
    <t>Veress Áron Tamás</t>
  </si>
  <si>
    <t>bod20140203</t>
  </si>
  <si>
    <t>Vermes Zorka</t>
  </si>
  <si>
    <t>Vida Bianka</t>
  </si>
  <si>
    <t>zsa20140529</t>
  </si>
  <si>
    <t>Vida Kinga</t>
  </si>
  <si>
    <t>Vincze Patrik</t>
  </si>
  <si>
    <t>Virágh Júlia Anna</t>
  </si>
  <si>
    <t>WANG KING ZIQING</t>
  </si>
  <si>
    <t>Wei Zichen</t>
  </si>
  <si>
    <t>Wieland Panni Zoé</t>
  </si>
  <si>
    <t>YANG GENYUAN</t>
  </si>
  <si>
    <t>Yang xin tong</t>
  </si>
  <si>
    <t>Yu Xun</t>
  </si>
  <si>
    <t>Zahari Merse</t>
  </si>
  <si>
    <t>Zempléni Laura</t>
  </si>
  <si>
    <t>Zhang Han</t>
  </si>
  <si>
    <t>Zuber Benedek</t>
  </si>
  <si>
    <t>Zseli Áron</t>
  </si>
  <si>
    <t>gya20150709</t>
  </si>
  <si>
    <t>nev</t>
  </si>
  <si>
    <t>tagozat</t>
  </si>
  <si>
    <t>visszalepett</t>
  </si>
  <si>
    <t>Összeg</t>
  </si>
  <si>
    <t>seged</t>
  </si>
  <si>
    <t>ok</t>
  </si>
  <si>
    <t>a_nev</t>
  </si>
  <si>
    <t>email</t>
  </si>
  <si>
    <t>sz_h</t>
  </si>
  <si>
    <t>szul_i</t>
  </si>
  <si>
    <t>szul_nap</t>
  </si>
  <si>
    <t>osszpont</t>
  </si>
  <si>
    <t>ny_1</t>
  </si>
  <si>
    <t>ny_2</t>
  </si>
  <si>
    <t>ny_osszefuz</t>
  </si>
  <si>
    <t>targy</t>
  </si>
  <si>
    <t>szoveg</t>
  </si>
  <si>
    <t>indok</t>
  </si>
  <si>
    <t>hatarozat</t>
  </si>
  <si>
    <t>felvi_2</t>
  </si>
  <si>
    <t>isk_nev</t>
  </si>
  <si>
    <t>isk_cim</t>
  </si>
  <si>
    <t>isk_irsz</t>
  </si>
  <si>
    <t>isk_varos</t>
  </si>
  <si>
    <t>isk_utca</t>
  </si>
  <si>
    <t>isk_mail</t>
  </si>
  <si>
    <t>darab</t>
  </si>
  <si>
    <t>ny_1_nagy</t>
  </si>
  <si>
    <t>d_evossz</t>
  </si>
  <si>
    <t>d_ev</t>
  </si>
  <si>
    <t>d_ho</t>
  </si>
  <si>
    <t>d_nap</t>
  </si>
  <si>
    <t>d_varos</t>
  </si>
  <si>
    <t>Szentendre,</t>
  </si>
  <si>
    <t>Jókai utca 3.</t>
  </si>
  <si>
    <t>2025. június 26.</t>
  </si>
  <si>
    <t>XI. kerület, Albertfalva utca 9-13.</t>
  </si>
  <si>
    <t>II. kerület, Áldás utca 1.</t>
  </si>
  <si>
    <t>XIV. kerület, Álmos vezér tér 9.</t>
  </si>
  <si>
    <t>VII. kerület, Alsóerdősor utca 14-16.</t>
  </si>
  <si>
    <t>III. kerület, Mókus utca 2.</t>
  </si>
  <si>
    <t>Sóskút,</t>
  </si>
  <si>
    <t>Tulipán utca 9.</t>
  </si>
  <si>
    <t>Budapest,</t>
  </si>
  <si>
    <t>Arató Emil tér 1.</t>
  </si>
  <si>
    <t>XXII. Kerület, Árpád utca 2.</t>
  </si>
  <si>
    <t>II. kerület, Tárogató út 2-4.</t>
  </si>
  <si>
    <t>IX. kerület, Bakáts tér 12.</t>
  </si>
  <si>
    <t>Törökbálint,</t>
  </si>
  <si>
    <t>Óvoda utca 6.</t>
  </si>
  <si>
    <t>Baracska,</t>
  </si>
  <si>
    <t>Templom utca 19.</t>
  </si>
  <si>
    <t>IV. kerület, Nyár utca 4.</t>
  </si>
  <si>
    <t>XI. kerület, Keveháza utca 2.</t>
  </si>
  <si>
    <t>XI. kerület, Fogócska utca 6.</t>
  </si>
  <si>
    <t>Biatorbágy,</t>
  </si>
  <si>
    <t>Szentháromság  tér 6.</t>
  </si>
  <si>
    <t>Budaörs,</t>
  </si>
  <si>
    <t>Iskola tér 1.</t>
  </si>
  <si>
    <t>Páty,</t>
  </si>
  <si>
    <t>Kökény utca 3040.</t>
  </si>
  <si>
    <t>III. kerület, Kiscelli köz 17.</t>
  </si>
  <si>
    <t>II. kerület, Tárogató út 2-4 2</t>
  </si>
  <si>
    <t>XXII. Kerület, Promontor  utca 21.</t>
  </si>
  <si>
    <t>XXII. kerület, Pannónia utca 50.</t>
  </si>
  <si>
    <t>XXII. kerület, Kossuth Lajos utca 22.</t>
  </si>
  <si>
    <t>XXII. kerület, Dózsa György út 89-94.</t>
  </si>
  <si>
    <t>Budajenő,</t>
  </si>
  <si>
    <t>Fő utca 3.</t>
  </si>
  <si>
    <t>Budakeszi,</t>
  </si>
  <si>
    <t>Knáb János utca 60.</t>
  </si>
  <si>
    <t>Árpád fejedelem tér 1.</t>
  </si>
  <si>
    <t>Hársfa utca 29.</t>
  </si>
  <si>
    <t>Ifjúság utca 6.</t>
  </si>
  <si>
    <t>Berkenye utca 13-15.</t>
  </si>
  <si>
    <t>I. kerület, Batthyány utca 8.</t>
  </si>
  <si>
    <t>II. kerület, Pitypang utca 17.</t>
  </si>
  <si>
    <t>III. kerület, Szérűskert utca 40-42.</t>
  </si>
  <si>
    <t>III. kerület, Haránt köz 13/A.</t>
  </si>
  <si>
    <t>IX. kerület, Ifjúmunkás utca 1.</t>
  </si>
  <si>
    <t>IX. kerület, Ifjúmunkás utca 13.</t>
  </si>
  <si>
    <t>IX. kerület, Mester utca 19.</t>
  </si>
  <si>
    <t>Lónyay utca 4/C.</t>
  </si>
  <si>
    <t>XIII. kerület, Pozsonyi út 10</t>
  </si>
  <si>
    <t>V. kerület, Nádor utca 12.</t>
  </si>
  <si>
    <t>V. kerület, Szemere utca 5.</t>
  </si>
  <si>
    <t>dr 20140825</t>
  </si>
  <si>
    <t>V. kerület, Szemere utca 3.</t>
  </si>
  <si>
    <t>V. kerület, Váci utca 43.</t>
  </si>
  <si>
    <t>VI. kerület, Bajza utca 49-51.</t>
  </si>
  <si>
    <t>VI. kerület, Városligeti fasor 4.</t>
  </si>
  <si>
    <t>VI. kerület, Felső Erdősor utca 20.</t>
  </si>
  <si>
    <t>VII. kerület, Hernád utca 42-46.</t>
  </si>
  <si>
    <t>XIII. kerület, Csata utca 20.</t>
  </si>
  <si>
    <t>XIII. kerület, Radnóti Miklós utca 8-10.</t>
  </si>
  <si>
    <t>XIII. kerület, Fiastyúk utca 47-49.</t>
  </si>
  <si>
    <t>XIII. kerület, Radnóti Miklós utca 35.</t>
  </si>
  <si>
    <t>Karikás Frigyes utca 3.</t>
  </si>
  <si>
    <t>XIII. kerület, Tutaj utca 7-11.</t>
  </si>
  <si>
    <t>XIII. kerület, Gyöngyösi sétány 7.</t>
  </si>
  <si>
    <t>XIII. kerület, Tomori utca 2.</t>
  </si>
  <si>
    <t>XIII. kerület, Vizafogó sétány 2.</t>
  </si>
  <si>
    <t>XIV. kerület, Erzsébet királyné útja 35-37.</t>
  </si>
  <si>
    <t>XIV. kerület, Kaffka Margit köz 2-6.</t>
  </si>
  <si>
    <t>XIV. kerület, Hermina út 23.</t>
  </si>
  <si>
    <t>Újváros park 2.</t>
  </si>
  <si>
    <t>XIV. kerület, Telepes utca 32.</t>
  </si>
  <si>
    <t> Regele János utca 43-45.</t>
  </si>
  <si>
    <t>XVI. Kerület, Tiszakömlő utca 29-35.</t>
  </si>
  <si>
    <t>XVI. kerület, Csömöri út 20.</t>
  </si>
  <si>
    <t>XVII. kerület, Hősök tere 19-20.</t>
  </si>
  <si>
    <t>XVII. kerület, Erzsébet körút 56.</t>
  </si>
  <si>
    <t>XVIII. kerület, Wlassics Gyula utca 69.</t>
  </si>
  <si>
    <t>XX. kerület, Lajtha László utca 5-7.</t>
  </si>
  <si>
    <t>XX. Kerület, János utca 4.</t>
  </si>
  <si>
    <t>XXIII. kerület, Hősök tere 18-20.</t>
  </si>
  <si>
    <t>XII. kerület, Konkoly-Thege út 21.</t>
  </si>
  <si>
    <t>V. kerület, Irányi utca 3.</t>
  </si>
  <si>
    <t>XIV. kerület, Laky Adolf utca 38-40.</t>
  </si>
  <si>
    <t>I. kerület, Tárnok utca 9-11.</t>
  </si>
  <si>
    <t>II. kerület, Budenz József utca 20-22.</t>
  </si>
  <si>
    <t>II. kerület, Medve utca 5-7.</t>
  </si>
  <si>
    <t>III. kerület, Dózsa György utca 42.</t>
  </si>
  <si>
    <t>Lovag utca 9-11.</t>
  </si>
  <si>
    <t>Diósd,</t>
  </si>
  <si>
    <t>Gárdonyi Géza utca 14.</t>
  </si>
  <si>
    <t>XI. kerület, Soproni út 50.</t>
  </si>
  <si>
    <t>III. kerület, Keve utca 41.</t>
  </si>
  <si>
    <t>Akadémia utca 3.</t>
  </si>
  <si>
    <t>Pöltenberg utca 8b-14.</t>
  </si>
  <si>
    <t>III. kerület, Vörösvári út 93.</t>
  </si>
  <si>
    <t>VII. kerület, Damjanich utca 41-43.</t>
  </si>
  <si>
    <t>XII. kerület, Kiss János altábornagy utca 42-44.</t>
  </si>
  <si>
    <t>Érd,</t>
  </si>
  <si>
    <t>Erszébet utca 26-32.</t>
  </si>
  <si>
    <t>Gárdonyi Géza utca 1/b.</t>
  </si>
  <si>
    <t>Diósdi út 95-99.</t>
  </si>
  <si>
    <t>VII. kerület, Kertész utca 30.</t>
  </si>
  <si>
    <t>Csákvár,</t>
  </si>
  <si>
    <t>Szabadság tér 8.</t>
  </si>
  <si>
    <t>Igmándi utca 40.</t>
  </si>
  <si>
    <t>Veresegyház,</t>
  </si>
  <si>
    <t>Fő út 77-79.</t>
  </si>
  <si>
    <t>XI. kerület, Érdi út 2.</t>
  </si>
  <si>
    <t>II. kerület, Fillér utca 70-76.</t>
  </si>
  <si>
    <t>III. kerület, Fodros utca 38-40.</t>
  </si>
  <si>
    <t>Gádor utca 101-105.</t>
  </si>
  <si>
    <t>XI. kerület, Csíki-hegyek utca 13-15.</t>
  </si>
  <si>
    <t>XI. kerület, Törökugrató utca 15.</t>
  </si>
  <si>
    <t>Batthany Lajos utca 30-32.</t>
  </si>
  <si>
    <t>Vecsés,</t>
  </si>
  <si>
    <t>Fő út 90-92.</t>
  </si>
  <si>
    <t>XI. kerület, Bikszádi utca 11-15.</t>
  </si>
  <si>
    <t>XVIII. kerület, Gulner Gyula utca 2.</t>
  </si>
  <si>
    <t>VI. kerület, Bajza utca 26.</t>
  </si>
  <si>
    <t>Gyömrő,</t>
  </si>
  <si>
    <t>Bajcsy Zsilinszky u. 79-81.</t>
  </si>
  <si>
    <t>XX. kerület, Mártírok útja 205.</t>
  </si>
  <si>
    <t>Herceghalom,</t>
  </si>
  <si>
    <t>Gesztenyés út 15.</t>
  </si>
  <si>
    <t>XX. Kerület, Attila utca 25-27.</t>
  </si>
  <si>
    <t>Üröm,</t>
  </si>
  <si>
    <t>Iskola utca 3.</t>
  </si>
  <si>
    <t>Budakalász,</t>
  </si>
  <si>
    <t>Budai út 54.</t>
  </si>
  <si>
    <t>XVIII. kerület, Kapocs utca 56.</t>
  </si>
  <si>
    <t>XIX. kerület, Kisviola utca 44.</t>
  </si>
  <si>
    <t>XI. kerület, Adács utca 10.</t>
  </si>
  <si>
    <t>Őszibarack utca 29.</t>
  </si>
  <si>
    <t>XIX. kerület, Árpád utca 14.</t>
  </si>
  <si>
    <t>XIX. kerület, Eötvös utca 13.</t>
  </si>
  <si>
    <t>XIX. kerület, Hungária út 11.</t>
  </si>
  <si>
    <t>XIX. kerület, Hungária út 28.</t>
  </si>
  <si>
    <t>Pannónia út 12.</t>
  </si>
  <si>
    <t>XIX. kerület, Csokonai utca 9.</t>
  </si>
  <si>
    <t>II. kerület, Szabadság utca 23.</t>
  </si>
  <si>
    <t>II. kerület, Marczibányi tér 1.</t>
  </si>
  <si>
    <t>I. kerület, Toldy Ferenc utca 28-30.</t>
  </si>
  <si>
    <t>XXII. Kerület, Tompa utca 2-4.</t>
  </si>
  <si>
    <t>V. kerület, Akadémia utca 3.</t>
  </si>
  <si>
    <t>Kápolna tér 4.</t>
  </si>
  <si>
    <t>X. kerület, Gyakorló utca 34. X./43.</t>
  </si>
  <si>
    <t>X. kerület, Újhegyi sétány 1-3.</t>
  </si>
  <si>
    <t>Szent László tér 1.</t>
  </si>
  <si>
    <t>XX. kerület, Kakastó utca 15/a.</t>
  </si>
  <si>
    <t>Vihar utca 31.</t>
  </si>
  <si>
    <t>XI. kerület, Baranyai utca 16-18.</t>
  </si>
  <si>
    <t>XII. kerület, Budakeszi út 48.</t>
  </si>
  <si>
    <t>I. kerület, Lisznyai utca 40-42.</t>
  </si>
  <si>
    <t>XV. Kerület, Neptun utca 57.</t>
  </si>
  <si>
    <t>Karolina utca 1.</t>
  </si>
  <si>
    <t>Komáromi utca 16.</t>
  </si>
  <si>
    <t>Esze Tamás utca 1.</t>
  </si>
  <si>
    <t>III. kerület, Kalászi  utca 5-7.</t>
  </si>
  <si>
    <t>VIII. kerület, Somogyi Béla utca 9-15.</t>
  </si>
  <si>
    <t>Monorierdő,</t>
  </si>
  <si>
    <t>Szabadság utca 43.</t>
  </si>
  <si>
    <t>Nagykovácsi,</t>
  </si>
  <si>
    <t>Kossuth utca 101.</t>
  </si>
  <si>
    <t>XII. kerület, Németvölgyi út 46.</t>
  </si>
  <si>
    <t>Fülöp,</t>
  </si>
  <si>
    <t>Kossuth utca 30.</t>
  </si>
  <si>
    <t>III. kerület, Harrer Pál utca 7.</t>
  </si>
  <si>
    <t>, Váradi u.15/b</t>
  </si>
  <si>
    <t>XIII. kerület, Hajdú utca 18-24.</t>
  </si>
  <si>
    <t>XII. kerület, Istenhegyi utca 32.</t>
  </si>
  <si>
    <t>Csaba utca 16/C</t>
  </si>
  <si>
    <t>II. kerület, Pasaréti út 191-193.</t>
  </si>
  <si>
    <t>Knézich utca 5-7.</t>
  </si>
  <si>
    <t>XVIII. kerület, Üllői út 380-382.</t>
  </si>
  <si>
    <t>Pilisborosjenő,</t>
  </si>
  <si>
    <t>Fő út 1.</t>
  </si>
  <si>
    <t>Pilisvörösvár,</t>
  </si>
  <si>
    <t>Kisvasút utca 5.</t>
  </si>
  <si>
    <t>Telki,</t>
  </si>
  <si>
    <t>Muskátli utca 2.</t>
  </si>
  <si>
    <t>V. kerület, Fővám tér 2-3. Félemelet 3.</t>
  </si>
  <si>
    <t>XV. kerület, Tóth István utca 100.</t>
  </si>
  <si>
    <t>II. kerület, Máriaremetei út 71.</t>
  </si>
  <si>
    <t>Karinthy Frigyes utca 4.</t>
  </si>
  <si>
    <t>II. kerület, Törökvész út 67-69.</t>
  </si>
  <si>
    <t>XXII. kerület, Rákóczi út 16.</t>
  </si>
  <si>
    <t>XII. kerület, Meredek utca 1.</t>
  </si>
  <si>
    <t>II. kerület, Hűvösvölgyi út 131.</t>
  </si>
  <si>
    <t>Solymár,</t>
  </si>
  <si>
    <t>Templom tér 26.</t>
  </si>
  <si>
    <t>XII. kerület, Diana utca 4.</t>
  </si>
  <si>
    <t>II. kerület, Ady Endre utca 3.</t>
  </si>
  <si>
    <t>Mezőkövesd utca 10.</t>
  </si>
  <si>
    <t>Kecskemét,</t>
  </si>
  <si>
    <t>Szent Imre utca 9.</t>
  </si>
  <si>
    <t>VII. kerület, Damjanich utca 48</t>
  </si>
  <si>
    <t>XV. Kerület, Szent Korona útja 8. 8.em.24.</t>
  </si>
  <si>
    <t>Rákóczi Ferenc utca 6.</t>
  </si>
  <si>
    <t>Martinovics utca 9.</t>
  </si>
  <si>
    <t>XII. kerület, Mártonhegyi út 34.</t>
  </si>
  <si>
    <t>Alkotmány utca 12.</t>
  </si>
  <si>
    <t>VI. kerület, Pethő Sándor utca 4.</t>
  </si>
  <si>
    <t>XII. kerület, Diana utca 35-37.</t>
  </si>
  <si>
    <t>Muskétás utca 1.</t>
  </si>
  <si>
    <t>XI. kerület, Köbölkút utca 27.</t>
  </si>
  <si>
    <t>XI. kerület, Bocskai út 47-49.</t>
  </si>
  <si>
    <t>XI. kerület, Bartók Béla út 27.</t>
  </si>
  <si>
    <t> Bikszádi utca 11-15.</t>
  </si>
  <si>
    <t>XI. kerület, Kiskőrös utca 1.</t>
  </si>
  <si>
    <t>XI. kerület, Bikszádi utca 61-63.</t>
  </si>
  <si>
    <t>II. kerület, Ürömi utca 64.</t>
  </si>
  <si>
    <t>VIII. kerület, Vajda Péter utca 25-31.</t>
  </si>
  <si>
    <t>XII. kerület, Városmajor utca 59.</t>
  </si>
  <si>
    <t>XII. kerület, Virányos út 48.</t>
  </si>
  <si>
    <t>Dózsa György utca 15.</t>
  </si>
  <si>
    <t>XII. kerület, Zugligeti út 113.</t>
  </si>
  <si>
    <t>XIV. kerület, Újvidék tér 3.</t>
  </si>
  <si>
    <t>XIV. kerület, Padlizsán utca 11-13.</t>
  </si>
  <si>
    <t>XIV. kerület, Egressy út 69.</t>
  </si>
  <si>
    <t>szamitott_rang</t>
  </si>
  <si>
    <t>I. ker lakos</t>
  </si>
  <si>
    <t>Testvér</t>
  </si>
  <si>
    <t>Mindkettő</t>
  </si>
  <si>
    <t>Husnjak Marin</t>
  </si>
  <si>
    <t>Szabó Anna Violetta</t>
  </si>
  <si>
    <t>Összes</t>
  </si>
  <si>
    <t>r_irasbeliossz</t>
  </si>
  <si>
    <t>r_biziirasbeliossz</t>
  </si>
  <si>
    <t>r_p_mindossz</t>
  </si>
  <si>
    <t>sorszam</t>
  </si>
  <si>
    <t>bekerulhet</t>
  </si>
  <si>
    <t>IGEN</t>
  </si>
  <si>
    <t>kuszob_iras</t>
  </si>
  <si>
    <t>kuszob_bizi</t>
  </si>
  <si>
    <t>kuszob_szobeli</t>
  </si>
  <si>
    <t>hiany_iras</t>
  </si>
  <si>
    <t>hiany_bizi</t>
  </si>
  <si>
    <t>hiany_szobeli</t>
  </si>
  <si>
    <t>hiany_min</t>
  </si>
  <si>
    <t>Budapest XI. kerület</t>
  </si>
  <si>
    <t>Albert Aliz</t>
  </si>
  <si>
    <t>2040 Budaörs, Lakatos utca 1 Fsz. 1.</t>
  </si>
  <si>
    <t>Budapest VIII. kerület</t>
  </si>
  <si>
    <t>Karácsony Anna</t>
  </si>
  <si>
    <t xml:space="preserve">1115 Budapest XI. kerület, Bánk bán utca 9 </t>
  </si>
  <si>
    <t>Budapest IX. kerület</t>
  </si>
  <si>
    <t>dr. Andrási Márta</t>
  </si>
  <si>
    <t>1182 Budapest XVIII. kerület, Várkapitány utca 10 2 ajtó</t>
  </si>
  <si>
    <t>Antal Gábor</t>
  </si>
  <si>
    <t>Tóth Anna</t>
  </si>
  <si>
    <t xml:space="preserve">1025 Budapest II. kerület, Vöröstorony lejtő 1 </t>
  </si>
  <si>
    <t>Horváth Gabriella Zsófia</t>
  </si>
  <si>
    <t>1132 Budapest XIII. kerület, Visegrádi utca 25 3/30.</t>
  </si>
  <si>
    <t>Noske Borbála</t>
  </si>
  <si>
    <t>1118 Budapest XI. kerület, Rodostó utca 7 2/A 1/3</t>
  </si>
  <si>
    <t>Budapest XX. kerület</t>
  </si>
  <si>
    <t>Segesdi Katalin</t>
  </si>
  <si>
    <t xml:space="preserve">1118 Budapest XI. kerület, Rahó utca 12 </t>
  </si>
  <si>
    <t>Bácsfai Péter</t>
  </si>
  <si>
    <t>Frank Veronika</t>
  </si>
  <si>
    <t xml:space="preserve">1121 Budapest XII. kerület, Hörcsög utca 1/a </t>
  </si>
  <si>
    <t>Dr. Bagyuràné dr Frank Veronika</t>
  </si>
  <si>
    <t>Vokó Zsófia</t>
  </si>
  <si>
    <t>1119 Budapest XI. kerület, Andor utca 6 6/28.</t>
  </si>
  <si>
    <t>Bajzak Róbert</t>
  </si>
  <si>
    <t>Kiss Emma</t>
  </si>
  <si>
    <t xml:space="preserve">1113 Budapest XI. kerület, Villányi út 64/B </t>
  </si>
  <si>
    <t xml:space="preserve">2040 Budaörs, Panoráma utca 23 </t>
  </si>
  <si>
    <t>Erdős Klára</t>
  </si>
  <si>
    <t xml:space="preserve">2083 Solymár, Bocskai utca 18 </t>
  </si>
  <si>
    <t>Bakos Richárd</t>
  </si>
  <si>
    <t>Szalai Zsófia Sára</t>
  </si>
  <si>
    <t xml:space="preserve">2030 Érd, Hunyadi János utca 95 </t>
  </si>
  <si>
    <t>Baky Zsófia Sára</t>
  </si>
  <si>
    <t>Balaton  Fanni</t>
  </si>
  <si>
    <t>Kecskemét</t>
  </si>
  <si>
    <t>Kothencz Ágnes</t>
  </si>
  <si>
    <t>1118 Budapest XI. kerület, Szüret utca 9 B ép, fsz.1.</t>
  </si>
  <si>
    <t>Dr.Kothencz Ágnes</t>
  </si>
  <si>
    <t>Budapest XII. kerület</t>
  </si>
  <si>
    <t>Boér Katalin</t>
  </si>
  <si>
    <t xml:space="preserve">1025 Budapest, Búzavirág utca 6/2 </t>
  </si>
  <si>
    <t>Dr. Balázs Péter</t>
  </si>
  <si>
    <t>Beretzky Szilvia Rita</t>
  </si>
  <si>
    <t xml:space="preserve">1202 Budapest XX. kerület, Kiss Ernő utca 13/B </t>
  </si>
  <si>
    <t>Bálint Tamás</t>
  </si>
  <si>
    <t>Varga Éva</t>
  </si>
  <si>
    <t>1118 Budapest, Maléter Pál utca 1. Fszt/4.</t>
  </si>
  <si>
    <t>Budapest VI. kerület</t>
  </si>
  <si>
    <t>Tóth Eszter Katalin</t>
  </si>
  <si>
    <t xml:space="preserve">1112 Budapest XI. kerület, Vadon utca 18 </t>
  </si>
  <si>
    <t>Ban Istvan</t>
  </si>
  <si>
    <t>vercsehal</t>
  </si>
  <si>
    <t>Budapest III. kerület</t>
  </si>
  <si>
    <t>Ambrózy Anna</t>
  </si>
  <si>
    <t xml:space="preserve">2011 Budakalász, Kovács Lajos utca 39. </t>
  </si>
  <si>
    <t xml:space="preserve">Ambrózy-Bannerth Anna </t>
  </si>
  <si>
    <t>Keszler Anita</t>
  </si>
  <si>
    <t>1115 Budapest XI. kerület, Bartók Béla út 98-102. E ép. 5/6.</t>
  </si>
  <si>
    <t>Bányász Gábor</t>
  </si>
  <si>
    <t>Nagy Enikő Annamária</t>
  </si>
  <si>
    <t xml:space="preserve">2040 Budaörs, Föveny  utca 12 </t>
  </si>
  <si>
    <t>Nagy Enikő</t>
  </si>
  <si>
    <t>Testvére 6/B osztàlyos tanuló a Szilàgyi Erzsèbet Gimnàziumban</t>
  </si>
  <si>
    <t>Budapest X. kerület</t>
  </si>
  <si>
    <t>Bárdy Szilvia</t>
  </si>
  <si>
    <t>1025 Budapest II. kerület, Apostol utca 22-24. A épület II. lcsh. 2/6.</t>
  </si>
  <si>
    <t>Lizi26</t>
  </si>
  <si>
    <t>Kiss Veronika</t>
  </si>
  <si>
    <t xml:space="preserve">1125 Budapest XII. kerület, Diós árok 19/a </t>
  </si>
  <si>
    <t>Valentínyi Emese</t>
  </si>
  <si>
    <t xml:space="preserve">1112 Budapest XI. kerület, Kányakapu utca 10 </t>
  </si>
  <si>
    <t>Willi Ildikó</t>
  </si>
  <si>
    <t xml:space="preserve">1118 Budapest XI. kerület, Kelenhegyi út 11. </t>
  </si>
  <si>
    <t>Dunaújváros</t>
  </si>
  <si>
    <t>Bazsa Orsolya Gyöngyi</t>
  </si>
  <si>
    <t>1121 Budapest XII. kerület, Mártonhegyi út 31. II 1/4</t>
  </si>
  <si>
    <t>Bényei-Bazsa Orsolya</t>
  </si>
  <si>
    <t>Loch Krisztina Ágnes</t>
  </si>
  <si>
    <t>1013 Budapest, Döbrentei utca 11 3/1.</t>
  </si>
  <si>
    <t>Loch Krisztina</t>
  </si>
  <si>
    <t>2092 Budakeszi, Rákóczi utca 32 -</t>
  </si>
  <si>
    <t>Gedeon Erika Anna</t>
  </si>
  <si>
    <t>1195 Budapest XIX. kerület, Árpád utca 7/A V/15.</t>
  </si>
  <si>
    <t>Gedeon Erika, Bieless Zoltán</t>
  </si>
  <si>
    <t>Sájer Andrea Éva</t>
  </si>
  <si>
    <t xml:space="preserve">1124 Budapest XII. kerület, Gébics utca 8. </t>
  </si>
  <si>
    <t>Bikki István</t>
  </si>
  <si>
    <t>Ujhelyi Anna</t>
  </si>
  <si>
    <t>1119 Budapest XI. kerület, Petzvál József  utca 27 2/5</t>
  </si>
  <si>
    <t>Anna Ujhelyi</t>
  </si>
  <si>
    <t>Abu Dhabi</t>
  </si>
  <si>
    <t>Telekesi Boglárka</t>
  </si>
  <si>
    <t xml:space="preserve">1182 Budapest XVIII. kerület, Gyulafehérvár utca 3. </t>
  </si>
  <si>
    <t>Gáborjáni Szabó Orsolya</t>
  </si>
  <si>
    <t xml:space="preserve">2030 Érd, Duna utca 68. </t>
  </si>
  <si>
    <t>dr. Bodó Csanád</t>
  </si>
  <si>
    <t>Baghy Petra</t>
  </si>
  <si>
    <t>8630 Balatonboglár, Berzsenyi utca 23 b</t>
  </si>
  <si>
    <t>dr. Baghy Petra</t>
  </si>
  <si>
    <t>1132 Budapest XIII. kerület, Csanády utca 12/a 1. emelet 6.</t>
  </si>
  <si>
    <t>Sebők Liza</t>
  </si>
  <si>
    <t>1131 Budapest XIII. kerület, Szent László út 132 II/8</t>
  </si>
  <si>
    <t>Bogsán Ákos</t>
  </si>
  <si>
    <t>Budapest XIV. kerület</t>
  </si>
  <si>
    <t>Pecze Mariann</t>
  </si>
  <si>
    <t xml:space="preserve">1142 Budapest XIV. kerület, Kassai utca 90 </t>
  </si>
  <si>
    <t>Dr. Borbély-Pecze Tibor Bors</t>
  </si>
  <si>
    <t>Budapest XIII. kerület</t>
  </si>
  <si>
    <t>Matalin Dóra</t>
  </si>
  <si>
    <t>1136 Budapest XIII. kerület, Felka utca 3. 5/2</t>
  </si>
  <si>
    <t xml:space="preserve">1136 Budapest XIII. kerület, Felka utca 3. </t>
  </si>
  <si>
    <t>Bordós Judit</t>
  </si>
  <si>
    <t xml:space="preserve">2011 Budakalász, Rákóczi Ferenc utca 6 </t>
  </si>
  <si>
    <t>Márton Katalin</t>
  </si>
  <si>
    <t xml:space="preserve">1021 Budapest II. kerület, Völgy utca 14 </t>
  </si>
  <si>
    <t xml:space="preserve">1028 Budapest II. kerület, Petőfi utca 33 </t>
  </si>
  <si>
    <t>Hart Andrea</t>
  </si>
  <si>
    <t xml:space="preserve">2083 Solymár, Rét utca 21 </t>
  </si>
  <si>
    <t>Bőcs András</t>
  </si>
  <si>
    <t>Pálfalvai Eszter</t>
  </si>
  <si>
    <t xml:space="preserve">1037 Budapest III. kerület, Mátyáshegyi út 45. </t>
  </si>
  <si>
    <t>Braun-Pálfalvai Eszter</t>
  </si>
  <si>
    <t>Gyurina Veronika</t>
  </si>
  <si>
    <t>1118 Budapest XI. kerület, Dayka Gábor utca 30. 5.</t>
  </si>
  <si>
    <t>Simon Ágnes</t>
  </si>
  <si>
    <t>1022 Budapest II. kerület, Marczibányi tér 9/a Fszt. 1.</t>
  </si>
  <si>
    <t>Bujdosó Attila</t>
  </si>
  <si>
    <t>futás</t>
  </si>
  <si>
    <t>Kanizsai Eszter Piroska</t>
  </si>
  <si>
    <t>1011 Budapest I. kerület, Batthyány tér 5 2/1</t>
  </si>
  <si>
    <t>Kanizsai Eszter</t>
  </si>
  <si>
    <t>Albel Éva</t>
  </si>
  <si>
    <t xml:space="preserve">2085 Pilisvörösvár, Nagyváradi utca 13 </t>
  </si>
  <si>
    <t>Bun Zoltán</t>
  </si>
  <si>
    <t>1074 Budapest VII. kerület, Alsó erdősor utca 12 fsz. 4.</t>
  </si>
  <si>
    <t>Ömböli Mónika</t>
  </si>
  <si>
    <t>1095 Budapest IX. kerület, Mester utca 21 3/28</t>
  </si>
  <si>
    <t>Pető Rita</t>
  </si>
  <si>
    <t>1028 Budapest II. kerület, Hunyadi János utca 15 fszt 1</t>
  </si>
  <si>
    <t>Czirják István</t>
  </si>
  <si>
    <t>Lakner Eszter Csilla</t>
  </si>
  <si>
    <t>1135 Budapest XIII. kerület, Zsinór utca 44. 3.em.8.a</t>
  </si>
  <si>
    <t>Császár-Lakner Eszter</t>
  </si>
  <si>
    <t>Barcelona</t>
  </si>
  <si>
    <t>Cser Brigitta</t>
  </si>
  <si>
    <t xml:space="preserve">1014 Budapest I. kerület, Úri utca 6. </t>
  </si>
  <si>
    <t>Nagy Helga</t>
  </si>
  <si>
    <t>1143 Budapest XIV. kerület, Jurisich Miklós  utca 20 V.9.</t>
  </si>
  <si>
    <t>201234</t>
  </si>
  <si>
    <t/>
  </si>
  <si>
    <t>035123</t>
  </si>
  <si>
    <t>035026</t>
  </si>
  <si>
    <t>034993</t>
  </si>
  <si>
    <t>035001</t>
  </si>
  <si>
    <t>034990</t>
  </si>
  <si>
    <t>034986</t>
  </si>
  <si>
    <t>034808</t>
  </si>
  <si>
    <t>037320</t>
  </si>
  <si>
    <t>034798</t>
  </si>
  <si>
    <t>035160</t>
  </si>
  <si>
    <t>034983</t>
  </si>
  <si>
    <t>032408</t>
  </si>
  <si>
    <t>201263</t>
  </si>
  <si>
    <t>037740</t>
  </si>
  <si>
    <t>203474</t>
  </si>
  <si>
    <t>203410</t>
  </si>
  <si>
    <t>200702</t>
  </si>
  <si>
    <t>034792</t>
  </si>
  <si>
    <t>035142</t>
  </si>
  <si>
    <t>035288</t>
  </si>
  <si>
    <t>035124</t>
  </si>
  <si>
    <t>037325</t>
  </si>
  <si>
    <t>038026</t>
  </si>
  <si>
    <t>034895</t>
  </si>
  <si>
    <t>035028</t>
  </si>
  <si>
    <t>035348</t>
  </si>
  <si>
    <t>032454</t>
  </si>
  <si>
    <t>034810</t>
  </si>
  <si>
    <t>034789</t>
  </si>
  <si>
    <t>100566</t>
  </si>
  <si>
    <t>035327</t>
  </si>
  <si>
    <t>201491</t>
  </si>
  <si>
    <t>albertaliz81@gmail.com</t>
  </si>
  <si>
    <t>karacsonyanna1028@gmail.com</t>
  </si>
  <si>
    <t>antal.gabor.77@gmail.com</t>
  </si>
  <si>
    <t>annatoth@yahoo.com</t>
  </si>
  <si>
    <t>hor.gab@gmail.com</t>
  </si>
  <si>
    <t>noskebori@yahoo.com</t>
  </si>
  <si>
    <t>ksegesdi@gmail.com</t>
  </si>
  <si>
    <t>frank.veronyka@gmail.com</t>
  </si>
  <si>
    <t>bajzak@gmail.com</t>
  </si>
  <si>
    <t>ekiss22@gmail.com</t>
  </si>
  <si>
    <t>bakos.richard@gmail.com</t>
  </si>
  <si>
    <t>bakyzsofi@gmail.com</t>
  </si>
  <si>
    <t>ophidiaster@gmail.com</t>
  </si>
  <si>
    <t>dr.balazs.peter@lexmail.hu</t>
  </si>
  <si>
    <t>tamas_balint@hotmail.com</t>
  </si>
  <si>
    <t>drvargavica@gmail.com</t>
  </si>
  <si>
    <t>ban.istvan@dteam.hu</t>
  </si>
  <si>
    <t>banyaszg@gmail.com</t>
  </si>
  <si>
    <t>bnagyeniko@gmail.com</t>
  </si>
  <si>
    <t>bardysz@gmail.com</t>
  </si>
  <si>
    <t>vercsi28@gmail.com</t>
  </si>
  <si>
    <t>evalentinyi85@gmail.com</t>
  </si>
  <si>
    <t>benodok@gmail.com</t>
  </si>
  <si>
    <t>bazsaorsi@gmail.com</t>
  </si>
  <si>
    <t>lokriszi@gmail.com</t>
  </si>
  <si>
    <t>z.bieless@gmail.com</t>
  </si>
  <si>
    <t>bikki@firkastudio.hu</t>
  </si>
  <si>
    <t>ujhelyianna@gmail.com</t>
  </si>
  <si>
    <t>btelekesi@gmail.com</t>
  </si>
  <si>
    <t>bodo.csanad@btk.elte.hu</t>
  </si>
  <si>
    <t>petrabaghy@gmail.com</t>
  </si>
  <si>
    <t>bogsan.akos@gmail.com</t>
  </si>
  <si>
    <t>borsborbely@gmail.com</t>
  </si>
  <si>
    <t>matalindora@gmail.com</t>
  </si>
  <si>
    <t>judit_bordos@hotmail.com</t>
  </si>
  <si>
    <t>katkamarton1@gmail.com</t>
  </si>
  <si>
    <t>bocsandras@gmail.com</t>
  </si>
  <si>
    <t>palfalvai.eszter@gmail.com</t>
  </si>
  <si>
    <t>veronika.gyurina@gmail.com</t>
  </si>
  <si>
    <t>bujatt@gmail.com</t>
  </si>
  <si>
    <t>kanizsai.eszter.p@gmail.com</t>
  </si>
  <si>
    <t>bunzoltan@gmail.com</t>
  </si>
  <si>
    <t>ombolimoni79@gmail.com</t>
  </si>
  <si>
    <t>istvanczirjak@yahoo.com</t>
  </si>
  <si>
    <t>lakner.eszter@gmail.com</t>
  </si>
  <si>
    <t>cser.br@gmail.com</t>
  </si>
  <si>
    <t>Gazdagrét-Csíkihegyek Általános Iskola</t>
  </si>
  <si>
    <t>magyar nyelv és irodalom</t>
  </si>
  <si>
    <t>matematika</t>
  </si>
  <si>
    <t>angol nyelv</t>
  </si>
  <si>
    <t>környezetismeret</t>
  </si>
  <si>
    <t>ének-zene</t>
  </si>
  <si>
    <t>testnevelés</t>
  </si>
  <si>
    <t>vizuális kultúra</t>
  </si>
  <si>
    <t>etika/hit- és erkölcstan</t>
  </si>
  <si>
    <t>technika és tervezés</t>
  </si>
  <si>
    <t>néptánc</t>
  </si>
  <si>
    <t>irodalom</t>
  </si>
  <si>
    <t>digitális kultúra</t>
  </si>
  <si>
    <t>magyar nyelv</t>
  </si>
  <si>
    <t xml:space="preserve">jól megfelelt </t>
  </si>
  <si>
    <t>hittan</t>
  </si>
  <si>
    <t>történelem</t>
  </si>
  <si>
    <t>etika</t>
  </si>
  <si>
    <t>kínai nyelv</t>
  </si>
  <si>
    <t>katolikus hittan</t>
  </si>
  <si>
    <t>német nemzetiségi nyelv</t>
  </si>
  <si>
    <t>rajz, festés</t>
  </si>
  <si>
    <t>olvasás-írás</t>
  </si>
  <si>
    <t>görög népismeret</t>
  </si>
  <si>
    <t>görög nyelv és irodalom</t>
  </si>
  <si>
    <t>evangélikus hittan</t>
  </si>
  <si>
    <t>református hittan</t>
  </si>
  <si>
    <t>dráma és színház</t>
  </si>
  <si>
    <t>tánc és mozgás</t>
  </si>
  <si>
    <t>német nyelv</t>
  </si>
  <si>
    <t>egyházi ének</t>
  </si>
  <si>
    <t>természettudomány</t>
  </si>
  <si>
    <t>önismeret-drámajáték</t>
  </si>
  <si>
    <t>bibliaismeret</t>
  </si>
  <si>
    <t>német nyelv és irodalom</t>
  </si>
  <si>
    <t>hon- és népismeret</t>
  </si>
  <si>
    <t>német nemzetiségi nyelv és irodalom</t>
  </si>
  <si>
    <t xml:space="preserve">dicséretesen megfelelt </t>
  </si>
  <si>
    <t>életvitel és gyakorlat</t>
  </si>
  <si>
    <t>dirty</t>
  </si>
  <si>
    <t>aktiv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</si>
</sst>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.mm\.dd\ hh:mm:ss"/>
  </numFmts>
  <fonts count="7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u/>
      <sz val="11"/>
      <color theme="10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B4D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8C8"/>
        <bgColor indexed="6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2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9" borderId="3" xfId="0" applyFont="1" applyFill="1" applyBorder="1"/>
    <xf numFmtId="0" fontId="0" fillId="10" borderId="1" xfId="0" applyFill="1" applyBorder="1"/>
    <xf numFmtId="0" fontId="0" fillId="10" borderId="2" xfId="0" applyFill="1" applyBorder="1"/>
    <xf numFmtId="0" fontId="4" fillId="9" borderId="0" xfId="0" applyFont="1" applyFill="1"/>
    <xf numFmtId="0" fontId="0" fillId="10" borderId="4" xfId="0" applyFill="1" applyBorder="1"/>
    <xf numFmtId="0" fontId="0" fillId="10" borderId="5" xfId="0" applyFill="1" applyBorder="1"/>
    <xf numFmtId="0" fontId="4" fillId="9" borderId="2" xfId="0" applyFont="1" applyFill="1" applyBorder="1"/>
    <xf numFmtId="0" fontId="4" fillId="9" borderId="6" xfId="0" applyFont="1" applyFill="1" applyBorder="1"/>
    <xf numFmtId="0" fontId="0" fillId="10" borderId="6" xfId="0" applyFill="1" applyBorder="1"/>
    <xf numFmtId="0" fontId="0" fillId="10" borderId="0" xfId="0" applyFill="1"/>
    <xf numFmtId="0" fontId="0" fillId="10" borderId="7" xfId="0" applyFill="1" applyBorder="1"/>
    <xf numFmtId="14" fontId="0" fillId="0" borderId="0" xfId="0" applyNumberFormat="1"/>
    <xf numFmtId="49" fontId="0" fillId="0" borderId="0" xfId="0" applyNumberFormat="1"/>
    <xf numFmtId="49" fontId="0" fillId="11" borderId="0" xfId="0" applyNumberFormat="1" applyFill="1"/>
    <xf numFmtId="0" fontId="0" fillId="11" borderId="0" xfId="0" applyFill="1"/>
    <xf numFmtId="0" fontId="6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4" fontId="6" fillId="0" borderId="0" xfId="0" applyNumberFormat="1" applyFont="1"/>
    <xf numFmtId="164" fontId="0" fillId="0" borderId="0" xfId="0" applyNumberFormat="1"/>
    <xf numFmtId="1" fontId="6" fillId="0" borderId="0" xfId="0" applyNumberFormat="1" applyFont="1"/>
    <xf numFmtId="1" fontId="0" fillId="0" borderId="0" xfId="0" applyNumberFormat="1"/>
  </cellXfs>
  <cellStyles count="3">
    <cellStyle name="Hivatkozás" xfId="2" builtinId="8"/>
    <cellStyle name="Normál" xfId="0" builtinId="0"/>
    <cellStyle name="Normál 2" xfId="1" xr:uid="{A3AB8264-0FA1-482B-AF02-19771B6EB1A8}"/>
  </cellStyles>
  <dxfs count="95">
    <dxf>
      <numFmt numFmtId="1" formatCode="0"/>
    </dxf>
    <dxf>
      <numFmt numFmtId="164" formatCode="yyyy\.mm\.dd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rgb="FFB4DCFF"/>
        </patternFill>
      </fill>
    </dxf>
    <dxf>
      <fill>
        <patternFill patternType="solid">
          <fgColor indexed="64"/>
          <bgColor rgb="FFB4DCFF"/>
        </patternFill>
      </fill>
    </dxf>
    <dxf>
      <fill>
        <patternFill patternType="solid">
          <fgColor indexed="64"/>
          <bgColor rgb="FFB4DCFF"/>
        </patternFill>
      </fill>
    </dxf>
    <dxf>
      <numFmt numFmtId="0" formatCode="General"/>
      <fill>
        <patternFill patternType="solid">
          <fgColor indexed="64"/>
          <bgColor rgb="FFB4DCFF"/>
        </patternFill>
      </fill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0</xdr:rowOff>
        </xdr:from>
        <xdr:to>
          <xdr:col>1</xdr:col>
          <xdr:colOff>171450</xdr:colOff>
          <xdr:row>2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Frissítés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0</xdr:rowOff>
        </xdr:from>
        <xdr:to>
          <xdr:col>1</xdr:col>
          <xdr:colOff>600075</xdr:colOff>
          <xdr:row>6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felvettek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7</xdr:row>
          <xdr:rowOff>19050</xdr:rowOff>
        </xdr:from>
        <xdr:to>
          <xdr:col>1</xdr:col>
          <xdr:colOff>533400</xdr:colOff>
          <xdr:row>8</xdr:row>
          <xdr:rowOff>66675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 esélyesek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</xdr:row>
          <xdr:rowOff>161925</xdr:rowOff>
        </xdr:from>
        <xdr:to>
          <xdr:col>1</xdr:col>
          <xdr:colOff>295275</xdr:colOff>
          <xdr:row>4</xdr:row>
          <xdr:rowOff>38100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Nézzük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E1E4D2-BDE0-4AF8-AA06-7D0D840B4AA7}" name="iskola" displayName="iskola" ref="D3:K203" totalsRowShown="0">
  <autoFilter ref="D3:K203" xr:uid="{86E1E4D2-BDE0-4AF8-AA06-7D0D840B4AA7}"/>
  <sortState xmlns:xlrd2="http://schemas.microsoft.com/office/spreadsheetml/2017/richdata2" ref="D4:K203">
    <sortCondition ref="F3:F203"/>
  </sortState>
  <tableColumns count="8">
    <tableColumn id="1" xr3:uid="{71664D9D-42B9-41ED-904C-C984C542712A}" name="iskolaom" dataDxfId="94">
      <calculatedColumnFormula>TEXT(E4,"000000")</calculatedColumnFormula>
    </tableColumn>
    <tableColumn id="2" xr3:uid="{F3B22258-5AB7-4D27-8B84-64D7E8CA778D}" name="iskola"/>
    <tableColumn id="3" xr3:uid="{9F969AAE-36DB-4A2C-B0E0-40F2D95C9703}" name="isknev"/>
    <tableColumn id="7" xr3:uid="{B7A05F07-2C9D-42BA-97E5-5366A4BE2404}" name="cim_ossze"/>
    <tableColumn id="5" xr3:uid="{6A09047A-B5C4-4CE6-83EB-BEB907B2FF1F}" name="irsz"/>
    <tableColumn id="9" xr3:uid="{CE24D495-E27D-47E9-B5E5-607924C871EF}" name="mail"/>
    <tableColumn id="10" xr3:uid="{B048A484-CC25-461F-9FF5-3BBFFB43F4D6}" name="telefon"/>
    <tableColumn id="4" xr3:uid="{C04DF027-7AB6-41D6-B42D-F27A461C8F43}" name="dupla" dataDxfId="93">
      <calculatedColumnFormula>COUNTIF(iskola[[#This Row],[isknev]],iskola[[#This Row],[isknev]])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484021-2D8B-4A7E-903D-D129F627A6BA}" name="szovegek" displayName="szovegek" ref="N3:Y7" totalsRowShown="0">
  <autoFilter ref="N3:Y7" xr:uid="{40484021-2D8B-4A7E-903D-D129F627A6BA}"/>
  <tableColumns count="12">
    <tableColumn id="1" xr3:uid="{45069DFC-4FF2-450F-9328-C744F876E6D7}" name="kategoria"/>
    <tableColumn id="6" xr3:uid="{E6F8210B-3FBD-40AD-BC34-8A227A93B18B}" name="orommel"/>
    <tableColumn id="7" xr3:uid="{7028AF2A-CC1C-4BE1-B658-4412DC403E34}" name="gratula"/>
    <tableColumn id="5" xr3:uid="{BEA42339-16CB-46E6-839E-970F7EBED25F}" name="megszolit"/>
    <tableColumn id="2" xr3:uid="{BBE5CB74-EB19-4C51-B7ED-ADF605EE6CD1}" name="resz1"/>
    <tableColumn id="3" xr3:uid="{7F1FE8FA-B306-44B8-9E20-573C9180DC01}" name="resz2"/>
    <tableColumn id="4" xr3:uid="{81FE9CF0-E090-4DAA-AC3E-A64BF71761F5}" name="resz3"/>
    <tableColumn id="8" xr3:uid="{4EE94649-851E-41F9-B7EA-F2462C7A2673}" name="indok1"/>
    <tableColumn id="9" xr3:uid="{44DB4CC6-EFE2-4E9A-8D7B-0B1D7D162D7F}" name="indok2"/>
    <tableColumn id="10" xr3:uid="{CAE8764E-F095-4119-944A-F4A4D0DD88FE}" name="hatarozat1"/>
    <tableColumn id="11" xr3:uid="{5177F3E6-4D55-4725-8364-CF9253CC6D0A}" name="hatarozat2"/>
    <tableColumn id="12" xr3:uid="{8D4118EC-2C1D-4090-BC89-5BEE38999E78}" name="hatarozat3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37CFCB6-E782-4CD1-9C51-490B9978DA91}" name="diakadat" displayName="diakadat" ref="A1:AX50" totalsRowShown="0">
  <autoFilter ref="A1:AX50" xr:uid="{937CFCB6-E782-4CD1-9C51-490B9978DA91}"/>
  <tableColumns count="50">
    <tableColumn id="2" xr3:uid="{9C29174B-1100-43CB-8756-D03A1623638A}" name="sorsz"/>
    <tableColumn id="3" xr3:uid="{3BFBE75B-CA0B-489A-9ACB-07770A2C62C1}" name="iktsz"/>
    <tableColumn id="4" xr3:uid="{4A55D01B-4348-43B9-8D16-A1C33572286C}" name="bizottsag"/>
    <tableColumn id="5" xr3:uid="{F8F1715D-7F79-4CE5-8925-2216B364D6AF}" name="datum_nap"/>
    <tableColumn id="6" xr3:uid="{DB4D0F63-33F3-435D-8801-3A7F23B3D5B1}" name="hiv_ora"/>
    <tableColumn id="7" xr3:uid="{6A6DCC0A-5B4B-499F-A454-8EC1F83CAA59}" name="hiv_nap"/>
    <tableColumn id="9" xr3:uid="{8319593E-2EBB-4841-AE04-AEF02E914847}" name="rangsor" dataDxfId="92"/>
    <tableColumn id="10" xr3:uid="{059026E5-C761-4B3A-8772-E8CC27BA550E}" name="idopont_kiadva"/>
    <tableColumn id="11" xr3:uid="{A449F0CD-B2E6-4F6A-8EAC-67687E71A19C}" name="oktazon"/>
    <tableColumn id="12" xr3:uid="{96C4A7EB-FF24-4DCD-BDBD-C9D662E41022}" name="f_nev"/>
    <tableColumn id="13" xr3:uid="{5E44FEB3-DF9D-4FDB-B90F-3214712D4712}" name="f_szul_hely"/>
    <tableColumn id="14" xr3:uid="{BD21BB7A-DBDE-4389-A9E8-A84F2505D117}" name="f_szul_ido"/>
    <tableColumn id="8" xr3:uid="{0F7B45CE-33A5-4ECD-AA53-DDA96A6B7D61}" name="szul_ev" dataDxfId="91"/>
    <tableColumn id="53" xr3:uid="{20E43671-CB20-4EF4-84EB-15D9E200D667}" name="szul_ho" dataDxfId="90"/>
    <tableColumn id="15" xr3:uid="{CA4950E2-8227-4EDA-B553-ECB41C127880}" name="f_a_nev"/>
    <tableColumn id="16" xr3:uid="{32373C65-B875-4513-A0A7-9C926F09C6A1}" name="mail"/>
    <tableColumn id="18" xr3:uid="{DAD49E37-246D-4A5A-AAFC-CB85CB6A3EA4}" name="tel"/>
    <tableColumn id="20" xr3:uid="{779745C1-E575-4565-A932-9A7F2E2AEF50}" name="a_cim"/>
    <tableColumn id="21" xr3:uid="{F834CC65-18A4-44C0-AB74-13C98A170369}" name="ert_nev"/>
    <tableColumn id="22" xr3:uid="{410800DA-B368-4357-9F24-79C690B41078}" name="ert_cim"/>
    <tableColumn id="23" xr3:uid="{3275EAE1-0BD1-4400-9023-158FDCC8DC4D}" name="iskom" dataDxfId="89"/>
    <tableColumn id="24" xr3:uid="{B1666922-1AFA-453B-8235-A30332DC3B08}" name="isknev"/>
    <tableColumn id="25" xr3:uid="{FD303CF1-CA9A-4CDE-BF03-FF6CF34C58A4}" name="i_cim" dataDxfId="88"/>
    <tableColumn id="26" xr3:uid="{A306CAAC-185F-4C73-8DD0-1B8AF6BAE374}" name="i_mail" dataDxfId="87"/>
    <tableColumn id="27" xr3:uid="{72785672-B67D-424B-B8D0-4E26B7AD1730}" name="p_magyar"/>
    <tableColumn id="28" xr3:uid="{5CD6A391-B75C-47F2-884C-1508925EAF67}" name="p_matek"/>
    <tableColumn id="29" xr3:uid="{5DEAB410-26C6-49F3-A011-C3E08CBF53D6}" name="irasbeliossz" dataDxfId="86"/>
    <tableColumn id="30" xr3:uid="{6DB97D88-8F24-4AFC-AED4-52721FA4D590}" name="irasbeliossz+szorzo" dataDxfId="85"/>
    <tableColumn id="31" xr3:uid="{80BFACB0-2846-473A-A512-1436287CA9B6}" name="p_bizonyitvany"/>
    <tableColumn id="32" xr3:uid="{01D4B608-5FD9-4D28-B418-EA16637AF26B}" name="biziirasbeliossz" dataDxfId="84"/>
    <tableColumn id="33" xr3:uid="{545E1202-6818-4EDD-8157-915B99D54BA1}" name="p_szovegalkotas"/>
    <tableColumn id="34" xr3:uid="{55DC9411-142A-4067-8783-A7DF8949C687}" name="p_kirako"/>
    <tableColumn id="35" xr3:uid="{1355C788-DECD-4664-AD22-FD3D1BD61D29}" name="p_bemutatkozas"/>
    <tableColumn id="36" xr3:uid="{45093671-9865-4394-911A-11F7A306465D}" name="szobeli" dataDxfId="83"/>
    <tableColumn id="37" xr3:uid="{0711F099-245D-4B55-BB6D-8D3C08CF5EA2}" name="p_mindossz" dataDxfId="82"/>
    <tableColumn id="38" xr3:uid="{253A5202-717C-406C-A8DF-6B4EEBD5F007}" name="f_hatranyos"/>
    <tableColumn id="39" xr3:uid="{19EE955C-30A0-40B8-A45C-A7B7789B90B4}" name="I_ker_irsz"/>
    <tableColumn id="40" xr3:uid="{EDD90977-388F-46F4-ADDD-63557102F711}" name="f_SNI2"/>
    <tableColumn id="41" xr3:uid="{2C155A49-A925-4EF7-8F22-4A895EBC0A7F}" name="f_BTNN"/>
    <tableColumn id="42" xr3:uid="{55E57985-E185-4ACE-AC0F-127349762BAA}" name="f_testver"/>
    <tableColumn id="43" xr3:uid="{2EEA750B-C9E5-470E-8C33-51EFF92B51DC}" name="f_jelige"/>
    <tableColumn id="44" xr3:uid="{57D95F2A-116D-41A8-84B5-9499CDD36802}" name="j_1000"/>
    <tableColumn id="45" xr3:uid="{2F012FAC-12BC-4740-A5C4-5C4535A643DC}" name="j_2000"/>
    <tableColumn id="46" xr3:uid="{0B8CF8F0-CCEA-46AA-876E-6F91916FA569}" name="j_3000"/>
    <tableColumn id="47" xr3:uid="{12597212-F5F8-44BA-97B0-C38C41B31B69}" name="j_4000"/>
    <tableColumn id="48" xr3:uid="{F0C981D3-1678-4E57-8F57-6D934B4BBD01}" name="megjegyzes"/>
    <tableColumn id="49" xr3:uid="{25AAA139-9C87-4382-B884-65492790016E}" name="sajat megjegyzes"/>
    <tableColumn id="50" xr3:uid="{66FBC12F-7387-43BD-9E3E-5E0CEB9E7800}" name="jelszo"/>
    <tableColumn id="51" xr3:uid="{61EBFEC0-AFBE-43DF-B677-D0ECDBF8F850}" name="file_url"/>
    <tableColumn id="52" xr3:uid="{ECDAB386-5304-41CC-BC5C-3D6D2B7B28F0}" name="bizottsag_toldalek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A651FF-AE10-4A40-961F-C4CA6A5BDC07}" name="rangsor" displayName="rangsor" ref="A1:M344" totalsRowCount="1" dataDxfId="77">
  <autoFilter ref="A1:M343" xr:uid="{EBA651FF-AE10-4A40-961F-C4CA6A5BDC07}"/>
  <tableColumns count="13">
    <tableColumn id="1" xr3:uid="{3D1C19ED-49BB-4890-AEF5-829C3AC9BA9F}" name="nev" totalsRowLabel="Összeg" dataDxfId="76"/>
    <tableColumn id="10" xr3:uid="{F3F0D8CF-1492-445D-942F-DFAE2A98FB4B}" name="oktazon" dataDxfId="75"/>
    <tableColumn id="11" xr3:uid="{651C14F8-B0CC-4B08-8792-0BB4B6C2C524}" name="tagozat" dataDxfId="74"/>
    <tableColumn id="3" xr3:uid="{680E5D0F-E190-4A2D-BBF6-8BB8349B3E44}" name="felvesz" totalsRowFunction="count" dataDxfId="73"/>
    <tableColumn id="4" xr3:uid="{94CDC470-581B-4D9A-BEE9-BF22B38DEFC0}" name="mastvalaszt" totalsRowFunction="count" dataDxfId="72"/>
    <tableColumn id="2" xr3:uid="{6562D3E8-4D14-4863-AE57-F840E08160AE}" name="elut" totalsRowFunction="count" dataDxfId="71"/>
    <tableColumn id="12" xr3:uid="{39489686-0BF9-45FA-B111-BB3C01E55EA6}" name="visszalepett" totalsRowFunction="count" dataDxfId="70"/>
    <tableColumn id="5" xr3:uid="{A796697C-EE11-40BA-B926-DB6C168AAA72}" name="j_1000" dataDxfId="69"/>
    <tableColumn id="6" xr3:uid="{25B0BFD5-69F7-4522-92DC-DF947379AB9B}" name="j_2000" dataDxfId="68"/>
    <tableColumn id="7" xr3:uid="{4B59168D-96EA-42F2-A0F1-81F706BDFDF8}" name="j_3000" dataDxfId="67"/>
    <tableColumn id="8" xr3:uid="{AE8466D8-6F20-4363-B28F-36B45A5149C6}" name="j_4000" dataDxfId="66"/>
    <tableColumn id="9" xr3:uid="{1DEBBFDF-73E5-4273-B30E-866D9CBA92BE}" name="irasbeliossz" dataDxfId="65"/>
    <tableColumn id="13" xr3:uid="{EE61E56C-D481-4329-AA95-CE8B1274ADCC}" name="p_mindossz" dataDxfId="64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4C2980-CC71-47FB-9953-7C4A008A0FCD}" name="lista" displayName="lista" ref="D1:AR593" totalsRowShown="0" headerRowDxfId="63">
  <autoFilter ref="D1:AR593" xr:uid="{F74C2980-CC71-47FB-9953-7C4A008A0FCD}"/>
  <tableColumns count="41">
    <tableColumn id="1" xr3:uid="{2039DBBB-864C-42BB-B2D9-FF6104810572}" name="nev" dataDxfId="62">
      <calculatedColumnFormula array="1">SzuressNev($B$1,ROW()-1)</calculatedColumnFormula>
    </tableColumn>
    <tableColumn id="2" xr3:uid="{50D0376D-86EE-413B-A97D-8F26EDC661D4}" name="seged" dataDxfId="61">
      <calculatedColumnFormula>COUNTIF($D$2:D2,D2)</calculatedColumnFormula>
    </tableColumn>
    <tableColumn id="3" xr3:uid="{D7EFBEFD-5F93-4805-9CE0-E275F3558E90}" name="ok" dataDxfId="60">
      <calculatedColumnFormula array="1">ElutasitasEgyOk2(D2,E2)</calculatedColumnFormula>
    </tableColumn>
    <tableColumn id="4" xr3:uid="{CE230961-6ABB-4308-AB11-14E0A24741FD}" name="oktazon" dataDxfId="59">
      <calculatedColumnFormula>IFERROR(INDEX(diakadat!$I$2:$I$50,MATCH(D2,diakadat!$J$2:$J$50,0),1),"")</calculatedColumnFormula>
    </tableColumn>
    <tableColumn id="5" xr3:uid="{D5230C5C-BB9E-4C2F-AF39-1FC48D77E550}" name="a_nev" dataDxfId="58">
      <calculatedColumnFormula>IFERROR(INDEX(diakadat!$O$2:$O$50,MATCH(D2,diakadat!$J$2:$J$50,0),1),"")</calculatedColumnFormula>
    </tableColumn>
    <tableColumn id="7" xr3:uid="{5BB5CB5B-4073-418E-A568-9FBACF02D6D5}" name="email" dataDxfId="57">
      <calculatedColumnFormula>IFERROR(INDEX(diakadat!#REF!,MATCH(D2,diakadat!$J$2:$J$50,0),1),"")</calculatedColumnFormula>
    </tableColumn>
    <tableColumn id="8" xr3:uid="{79C7E0CB-8EFC-43C8-8235-26818F171B1F}" name="sz_h" dataDxfId="56">
      <calculatedColumnFormula>IFERROR(INDEX(diakadat!$K$2:$K$50,MATCH(D2,diakadat!$J$2:$J$50,0),1),"")</calculatedColumnFormula>
    </tableColumn>
    <tableColumn id="10" xr3:uid="{B621B9E0-B1B7-4D2E-827E-91E30C1D34D8}" name="szul_i" dataDxfId="55">
      <calculatedColumnFormula array="1">IFERROR(DatumSzovegge2(INDEX(diakadat!$L$2:$L$50,MATCH(D2,diakadat!$J$2:$J$50,0),1)),"")</calculatedColumnFormula>
    </tableColumn>
    <tableColumn id="9" xr3:uid="{B4214860-BC4B-46AB-96A6-815547787133}" name="szul_ev" dataDxfId="54">
      <calculatedColumnFormula array="1">IFERROR(DatumSzovegge5(INDEX(diakadat!$L$2:$L$50,MATCH(D2,diakadat!$J$2:$J$50,0),1)),"")</calculatedColumnFormula>
    </tableColumn>
    <tableColumn id="12" xr3:uid="{B385D758-A152-4B33-BB79-53151E0CF809}" name="szul_ho" dataDxfId="53">
      <calculatedColumnFormula array="1">IFERROR(DatumSzovegge3(INDEX(diakadat!$L$2:$L$50,MATCH(D2,diakadat!$J$2:$J$50,0),1)),"")</calculatedColumnFormula>
    </tableColumn>
    <tableColumn id="13" xr3:uid="{C65762AC-3FF2-4D1F-908A-218C7DD2A7FC}" name="szul_nap" dataDxfId="52">
      <calculatedColumnFormula array="1">IFERROR(DatumSzovegge4(INDEX(diakadat!$L$2:$L$50,MATCH(D2,diakadat!$J$2:$J$50,0),1)),"")</calculatedColumnFormula>
    </tableColumn>
    <tableColumn id="11" xr3:uid="{DBA4B795-B5E8-4D8B-A9A4-8F95EDF4AB52}" name="ert_cim" dataDxfId="51">
      <calculatedColumnFormula>IFERROR(INDEX(diakadat!$R$2:$R$50,MATCH(D2,diakadat!$J$2:$J$50,0),1),"")</calculatedColumnFormula>
    </tableColumn>
    <tableColumn id="6" xr3:uid="{2F97059A-7410-4645-9CFF-A30740D2F7FB}" name="osszpont" dataDxfId="50">
      <calculatedColumnFormula>IFERROR(INDEX(diakadat!$AI$2:$AI$50,MATCH(D2,diakadat!$J$2:$J$50,0),1),"")</calculatedColumnFormula>
    </tableColumn>
    <tableColumn id="21" xr3:uid="{EAD40131-947C-4CFE-A5EA-68A05DDDFA05}" name="tagozat" dataDxfId="49">
      <calculatedColumnFormula>IFERROR(INDEX('rangsor'!$C$2:$C$343,MATCH(D2,'rangsor'!$A$2:$A$343,0),1),"")</calculatedColumnFormula>
    </tableColumn>
    <tableColumn id="22" xr3:uid="{9526D5E2-A1A6-429B-AAC8-D2ED35426FC8}" name="ny_1" dataDxfId="48"/>
    <tableColumn id="24" xr3:uid="{30C9FBF1-1581-416D-930C-9EEF57BC68DA}" name="ny_2" dataDxfId="47"/>
    <tableColumn id="25" xr3:uid="{2FE06792-E9E9-4EF2-AED2-E814FDAEE758}" name="ny_osszefuz" dataDxfId="46"/>
    <tableColumn id="26" xr3:uid="{FF19DDC9-D978-4882-A8E8-A16C224BBC34}" name="targy" dataDxfId="45">
      <calculatedColumnFormula array="1">Határozat(D2)</calculatedColumnFormula>
    </tableColumn>
    <tableColumn id="27" xr3:uid="{905FD96D-E2A2-499A-B127-0426C4FD3BFA}" name="szoveg" dataDxfId="44"/>
    <tableColumn id="28" xr3:uid="{024A09B8-1B65-4A41-89B1-326C08A2FA75}" name="indok" dataDxfId="43"/>
    <tableColumn id="29" xr3:uid="{B1C8EF9E-5990-401F-9801-96355933F6A0}" name="orommel" dataDxfId="42"/>
    <tableColumn id="30" xr3:uid="{1009CD69-4D7C-4813-B78E-A910D73B4EAE}" name="megszolit" dataDxfId="41"/>
    <tableColumn id="31" xr3:uid="{1CA85BE0-E372-4B6D-BACA-60357694B665}" name="gratula" dataDxfId="40"/>
    <tableColumn id="32" xr3:uid="{E11AABC4-BF2C-49F4-97D9-C58531E36B05}" name="hatarozat" dataDxfId="39"/>
    <tableColumn id="33" xr3:uid="{0FB3C78F-CF95-4566-BAB6-13037011F7B9}" name="felvi_2" dataDxfId="38"/>
    <tableColumn id="36" xr3:uid="{8D7A8F9D-09AE-4D1F-BEAD-3E734F0BA163}" name="iskom" dataDxfId="37">
      <calculatedColumnFormula>IFERROR(INDEX(diakadat!$U$2:$U$50,MATCH(D2,diakadat!$J$2:$J$50),1),"")</calculatedColumnFormula>
    </tableColumn>
    <tableColumn id="34" xr3:uid="{49C1D1B1-09C6-4E65-A2A5-74BD50E7BCF7}" name="isk_nev" dataDxfId="36">
      <calculatedColumnFormula>IFERROR(INDEX(diakadat!$V$2:$V$50,MATCH(D2,diakadat!$J$2:$J$50),1),"")</calculatedColumnFormula>
    </tableColumn>
    <tableColumn id="35" xr3:uid="{D601398F-468D-4336-A189-9163FE29BF78}" name="isk_cim" dataDxfId="35">
      <calculatedColumnFormula>IFERROR(INDEX(diakadat!$W$2:$W$50,MATCH(D2,diakadat!$J$2:$J$50),1),"")</calculatedColumnFormula>
    </tableColumn>
    <tableColumn id="19" xr3:uid="{0DD33DC1-6351-44F5-81FF-3845088B377E}" name="isk_irsz"/>
    <tableColumn id="20" xr3:uid="{3439B5D0-E9D1-42A1-B928-FC01D5EFF87A}" name="isk_varos"/>
    <tableColumn id="23" xr3:uid="{709D0309-F9A1-4069-83C7-01B4A57C70F5}" name="isk_utca"/>
    <tableColumn id="37" xr3:uid="{497FADA2-BC48-45C8-BEB7-2357D0CBE3AA}" name="isk_mail" dataDxfId="34">
      <calculatedColumnFormula>IFERROR(INDEX(diakadat!$X$2:$X$50,MATCH(D2,diakadat!$J$2:$J$50),1),"")</calculatedColumnFormula>
    </tableColumn>
    <tableColumn id="39" xr3:uid="{6D3C579C-EDB3-4505-9ECA-995999124503}" name="iktsz" dataDxfId="33"/>
    <tableColumn id="45" xr3:uid="{CCFFBC07-DB43-4DC9-9624-D8BEBF4F7B6D}" name="darab" dataDxfId="32">
      <calculatedColumnFormula>COUNTIF($AD$2:$AD$350,AD2)</calculatedColumnFormula>
    </tableColumn>
    <tableColumn id="46" xr3:uid="{6D856BBC-B577-46F5-BD09-063BF5536085}" name="ny_1_nagy" dataDxfId="31">
      <calculatedColumnFormula array="1">ElsoBetuNagy(R2)</calculatedColumnFormula>
    </tableColumn>
    <tableColumn id="49" xr3:uid="{E4C0199A-3F8D-454D-B396-0D9CC2D334F6}" name="jelszo" dataDxfId="30"/>
    <tableColumn id="14" xr3:uid="{2909DDAE-6922-49A1-B993-A4DBE4832173}" name="d_evossz" dataDxfId="29"/>
    <tableColumn id="15" xr3:uid="{76B3F045-449F-4A56-858F-674B49AC56F9}" name="d_ev" dataDxfId="28">
      <calculatedColumnFormula array="1">DatumSzovegge5(AN2)</calculatedColumnFormula>
    </tableColumn>
    <tableColumn id="16" xr3:uid="{4281AEF6-00BA-499D-B24A-41EB2BF3200A}" name="d_ho" dataDxfId="27">
      <calculatedColumnFormula array="1">DatumSzovegge3(AN2)</calculatedColumnFormula>
    </tableColumn>
    <tableColumn id="17" xr3:uid="{37892849-3BBF-4443-8436-DB4B69F656E5}" name="d_nap" dataDxfId="26">
      <calculatedColumnFormula array="1">DatumSzovegge4(AN2)</calculatedColumnFormula>
    </tableColumn>
    <tableColumn id="18" xr3:uid="{A1C81DE2-706F-43FE-8EA9-F20CED0D4CEB}" name="d_varos" dataDxfId="2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925165-89FC-4E08-9236-B931EE5D3C31}" name="tagozatokszures" displayName="tagozatokszures" ref="D1:G20" totalsRowShown="0">
  <autoFilter ref="D1:G20" xr:uid="{C0925165-89FC-4E08-9236-B931EE5D3C31}"/>
  <sortState xmlns:xlrd2="http://schemas.microsoft.com/office/spreadsheetml/2017/richdata2" ref="D2:G20">
    <sortCondition ref="G2:G20"/>
  </sortState>
  <tableColumns count="4">
    <tableColumn id="1" xr3:uid="{E0EB35C0-C508-43F5-91F6-E7167DC52E60}" name="nev"/>
    <tableColumn id="2" xr3:uid="{960F844F-F157-48DD-BC00-C1349848051A}" name="oktazon"/>
    <tableColumn id="3" xr3:uid="{31F047F5-90F0-4A0F-882E-4118BD655913}" name="osszpont"/>
    <tableColumn id="4" xr3:uid="{035654D5-E6C9-4D27-84FD-F3CD443EAFF2}" name="szamitott_rang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CAF30D3-6AE9-46DF-860A-EC0E5BD5B75E}" name="eselyesek_tbl" displayName="eselyesek_tbl" ref="C1:P166" totalsRowShown="0" tableBorderDxfId="24">
  <autoFilter ref="C1:P166" xr:uid="{ECAF30D3-6AE9-46DF-860A-EC0E5BD5B75E}"/>
  <tableColumns count="14">
    <tableColumn id="1" xr3:uid="{55AD4A94-B899-4BEF-80C6-EBDC07D82EFE}" name="sorszam" dataDxfId="23"/>
    <tableColumn id="2" xr3:uid="{F3052040-2DDD-48B4-BF4B-4C34529A449F}" name="oktazon" dataDxfId="22"/>
    <tableColumn id="3" xr3:uid="{9E781F8B-A395-454C-9A2C-27E2A35D0B0D}" name="f_nev" dataDxfId="21"/>
    <tableColumn id="4" xr3:uid="{F2C58F7C-07AF-4D89-B5D7-2952C42360BE}" name="irasbeliossz" dataDxfId="20"/>
    <tableColumn id="5" xr3:uid="{8B03598B-7687-4340-AE2F-0EA206A21A08}" name="biziirasbeliossz" dataDxfId="19"/>
    <tableColumn id="6" xr3:uid="{2AAA487C-5FAB-44E0-9BE3-8F1ACEA25F8D}" name="szobeli" dataDxfId="18"/>
    <tableColumn id="7" xr3:uid="{702C163E-64E2-4AD8-8C85-983CF2EF51EE}" name="kuszob_iras" dataDxfId="17"/>
    <tableColumn id="8" xr3:uid="{3E032102-D4B2-4D22-A3BD-901039C9654C}" name="kuszob_bizi"/>
    <tableColumn id="9" xr3:uid="{33F9C8F2-A7BD-46FA-90AE-4D3BA900C668}" name="kuszob_szobeli"/>
    <tableColumn id="10" xr3:uid="{0F516B61-47FE-4FE2-A53B-CC6CF9B74230}" name="hiany_iras"/>
    <tableColumn id="11" xr3:uid="{7D9377D7-A0EF-4790-BBBA-B3E79150D84B}" name="hiany_bizi"/>
    <tableColumn id="12" xr3:uid="{BC77BE4A-6000-4A88-8259-4FBA5796F154}" name="hiany_szobeli"/>
    <tableColumn id="13" xr3:uid="{0A3CCE0D-5576-45E3-A256-C3E3D19EE4DC}" name="hiany_min"/>
    <tableColumn id="14" xr3:uid="{398F6BB6-9AD3-4B89-9EF9-01C0CD9022E4}" name="bekerulhe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D04A4B-88A7-41EA-873A-6FD53A71314A}" name="diak_lista_tbl" displayName="diak_lista_tbl" ref="C1:M60" totalsRowShown="0" headerRowDxfId="16" dataDxfId="15" tableBorderDxfId="14">
  <autoFilter ref="C1:M60" xr:uid="{F1D04A4B-88A7-41EA-873A-6FD53A71314A}"/>
  <tableColumns count="11">
    <tableColumn id="1" xr3:uid="{58B42682-C5FE-4F80-BDFB-C09C9A424BB7}" name="sorszam" dataDxfId="13"/>
    <tableColumn id="2" xr3:uid="{F096825C-7AB7-4174-A4BB-22975A019AD7}" name="r_irasbeliossz" dataDxfId="12"/>
    <tableColumn id="3" xr3:uid="{A2FCA124-2B43-4E1D-8591-BC21CA52CD16}" name="r_biziirasbeliossz" dataDxfId="11"/>
    <tableColumn id="4" xr3:uid="{6DCEA9B5-7D53-45D8-82D0-D5193A3B4A49}" name="r_p_mindossz" dataDxfId="10"/>
    <tableColumn id="5" xr3:uid="{889B40BF-5C03-487B-B967-BBD17DF2A6CC}" name="oktazon" dataDxfId="9"/>
    <tableColumn id="6" xr3:uid="{A1752F0E-49B9-48B7-B933-05E227591318}" name="f_nev" dataDxfId="8"/>
    <tableColumn id="7" xr3:uid="{81CF4E85-5D6D-4F91-96F0-8F2D6D4F7C2F}" name="irasbeliossz" dataDxfId="7"/>
    <tableColumn id="8" xr3:uid="{DA814BE5-3DC5-49A9-B66F-8479D2CEE07E}" name="biziirasbeliossz" dataDxfId="6"/>
    <tableColumn id="9" xr3:uid="{E2313C36-25E7-405A-8BA1-AA481F0D7AC6}" name="szobeli" dataDxfId="5"/>
    <tableColumn id="10" xr3:uid="{E5C5C57E-EB8B-4D2D-8549-2F72E21CD136}" name="p_mindossz" dataDxfId="4"/>
    <tableColumn id="11" xr3:uid="{13133373-E39D-4E30-8997-4C9DFC4E8827}" name="p_bizonyitvany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0841A9F-2103-4504-AF99-DCA7406B4015}" name="tbl_idopontok" displayName="tbl_idopontok" ref="A1:B4" totalsRowShown="0" headerRowDxfId="2">
  <autoFilter ref="A1:B4" xr:uid="{90841A9F-2103-4504-AF99-DCA7406B4015}"/>
  <tableColumns count="2">
    <tableColumn id="1" xr3:uid="{9DAA8E8E-06FD-4849-B8CE-5CC3BCD3FF3A}" name="datum_nap" dataDxfId="1"/>
    <tableColumn id="2" xr3:uid="{5975F5D6-FBC5-4995-8E81-06DE0D74D97C}" name="akt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mailto:iskola@pirosiskola.hu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igazgato@budajeno.edu.hu" TargetMode="External"/><Relationship Id="rId1" Type="http://schemas.openxmlformats.org/officeDocument/2006/relationships/hyperlink" Target="mailto:koskaroly@iskola.kispest.hu" TargetMode="External"/><Relationship Id="rId6" Type="http://schemas.openxmlformats.org/officeDocument/2006/relationships/hyperlink" Target="mailto:info@almosvezer.hu" TargetMode="External"/><Relationship Id="rId5" Type="http://schemas.openxmlformats.org/officeDocument/2006/relationships/hyperlink" Target="mailto:info@almosvezer.hu" TargetMode="External"/><Relationship Id="rId4" Type="http://schemas.openxmlformats.org/officeDocument/2006/relationships/hyperlink" Target="mailto:iskola.tomori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2CC5E-0A96-471B-BD8E-3F8CEB21302D}">
  <sheetPr codeName="Munka4"/>
  <dimension ref="A3:Y203"/>
  <sheetViews>
    <sheetView zoomScaleNormal="100" workbookViewId="0">
      <selection activeCell="B22" sqref="B22"/>
    </sheetView>
  </sheetViews>
  <sheetFormatPr defaultRowHeight="15" x14ac:dyDescent="0.25"/>
  <cols>
    <col min="1" max="1" width="13.140625" customWidth="1"/>
    <col min="2" max="2" width="12.28515625" customWidth="1"/>
    <col min="3" max="3" width="3.42578125" customWidth="1"/>
    <col min="4" max="4" width="12.28515625" customWidth="1"/>
    <col min="6" max="6" width="66" customWidth="1"/>
    <col min="7" max="7" width="42.28515625" customWidth="1"/>
    <col min="8" max="8" width="34.5703125" customWidth="1"/>
    <col min="9" max="10" width="30.5703125" bestFit="1" customWidth="1"/>
    <col min="11" max="11" width="13.85546875" customWidth="1"/>
    <col min="13" max="13" width="11.5703125" bestFit="1" customWidth="1"/>
    <col min="14" max="14" width="12.28515625" bestFit="1" customWidth="1"/>
    <col min="15" max="15" width="62.140625" customWidth="1"/>
    <col min="16" max="16" width="11.140625" bestFit="1" customWidth="1"/>
    <col min="17" max="17" width="27.28515625" bestFit="1" customWidth="1"/>
    <col min="18" max="18" width="179.140625" bestFit="1" customWidth="1"/>
    <col min="19" max="19" width="32.42578125" bestFit="1" customWidth="1"/>
  </cols>
  <sheetData>
    <row r="3" spans="1:25" x14ac:dyDescent="0.25">
      <c r="B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N3" t="s">
        <v>9</v>
      </c>
      <c r="O3" t="s">
        <v>10</v>
      </c>
      <c r="P3" t="s">
        <v>11</v>
      </c>
      <c r="Q3" t="s">
        <v>12</v>
      </c>
      <c r="R3" t="s">
        <v>13</v>
      </c>
      <c r="S3" t="s">
        <v>14</v>
      </c>
      <c r="T3" t="s">
        <v>15</v>
      </c>
      <c r="U3" t="s">
        <v>16</v>
      </c>
      <c r="V3" t="s">
        <v>17</v>
      </c>
      <c r="W3" t="s">
        <v>18</v>
      </c>
      <c r="X3" t="s">
        <v>19</v>
      </c>
      <c r="Y3" t="s">
        <v>20</v>
      </c>
    </row>
    <row r="4" spans="1:25" x14ac:dyDescent="0.25">
      <c r="B4" t="s">
        <v>21</v>
      </c>
      <c r="D4" t="str">
        <f t="shared" ref="D4:D35" si="0">TEXT(E4,"000000")</f>
        <v>037728</v>
      </c>
      <c r="E4">
        <v>37728</v>
      </c>
      <c r="F4" t="s">
        <v>22</v>
      </c>
      <c r="G4" t="s">
        <v>23</v>
      </c>
      <c r="H4" t="s">
        <v>5</v>
      </c>
      <c r="I4" t="s">
        <v>24</v>
      </c>
      <c r="J4" t="s">
        <v>25</v>
      </c>
      <c r="K4">
        <f>COUNTIF(iskola[[#This Row],[isknev]],iskola[[#This Row],[isknev]])</f>
        <v>1</v>
      </c>
      <c r="N4" t="s">
        <v>21</v>
      </c>
      <c r="O4" t="s">
        <v>26</v>
      </c>
      <c r="P4" t="s">
        <v>27</v>
      </c>
      <c r="Q4" t="s">
        <v>28</v>
      </c>
      <c r="R4" t="s">
        <v>29</v>
      </c>
      <c r="S4" t="s">
        <v>30</v>
      </c>
      <c r="T4" t="s">
        <v>31</v>
      </c>
      <c r="U4" t="s">
        <v>32</v>
      </c>
      <c r="V4" t="s">
        <v>33</v>
      </c>
      <c r="W4" t="s">
        <v>34</v>
      </c>
      <c r="X4" t="s">
        <v>35</v>
      </c>
      <c r="Y4" t="s">
        <v>36</v>
      </c>
    </row>
    <row r="5" spans="1:25" x14ac:dyDescent="0.25">
      <c r="B5" t="s">
        <v>37</v>
      </c>
      <c r="D5" t="str">
        <f t="shared" si="0"/>
        <v>034997</v>
      </c>
      <c r="E5">
        <v>34997</v>
      </c>
      <c r="F5" t="s">
        <v>38</v>
      </c>
      <c r="G5" t="s">
        <v>39</v>
      </c>
      <c r="I5" t="s">
        <v>40</v>
      </c>
      <c r="J5" t="s">
        <v>41</v>
      </c>
      <c r="K5">
        <f>COUNTIF(iskola[[#This Row],[isknev]],iskola[[#This Row],[isknev]])</f>
        <v>1</v>
      </c>
      <c r="N5" t="s">
        <v>42</v>
      </c>
      <c r="R5" t="s">
        <v>43</v>
      </c>
    </row>
    <row r="6" spans="1:25" x14ac:dyDescent="0.25">
      <c r="B6" t="s">
        <v>44</v>
      </c>
      <c r="D6" t="str">
        <f t="shared" si="0"/>
        <v>034798</v>
      </c>
      <c r="E6">
        <v>34798</v>
      </c>
      <c r="F6" t="s">
        <v>45</v>
      </c>
      <c r="G6" t="s">
        <v>46</v>
      </c>
      <c r="I6" t="s">
        <v>47</v>
      </c>
      <c r="J6" t="s">
        <v>48</v>
      </c>
      <c r="K6">
        <f>COUNTIF(iskola[[#This Row],[isknev]],iskola[[#This Row],[isknev]])</f>
        <v>1</v>
      </c>
      <c r="N6" t="s">
        <v>0</v>
      </c>
      <c r="R6" t="s">
        <v>49</v>
      </c>
      <c r="S6" t="s">
        <v>50</v>
      </c>
    </row>
    <row r="7" spans="1:25" x14ac:dyDescent="0.25">
      <c r="D7" t="str">
        <f t="shared" si="0"/>
        <v>035314</v>
      </c>
      <c r="E7">
        <v>35314</v>
      </c>
      <c r="F7" t="s">
        <v>51</v>
      </c>
      <c r="G7" t="s">
        <v>52</v>
      </c>
      <c r="I7" s="3" t="s">
        <v>53</v>
      </c>
      <c r="J7" s="3">
        <v>612226521</v>
      </c>
      <c r="K7">
        <f>COUNTIF(iskola[[#This Row],[isknev]],iskola[[#This Row],[isknev]])</f>
        <v>1</v>
      </c>
      <c r="N7" t="s">
        <v>54</v>
      </c>
      <c r="R7" t="s">
        <v>55</v>
      </c>
    </row>
    <row r="8" spans="1:25" x14ac:dyDescent="0.25">
      <c r="B8">
        <v>1000</v>
      </c>
      <c r="D8" t="str">
        <f>TEXT(E8,"000000")</f>
        <v>100566</v>
      </c>
      <c r="E8">
        <v>100566</v>
      </c>
      <c r="F8" t="s">
        <v>56</v>
      </c>
      <c r="G8" t="s">
        <v>57</v>
      </c>
      <c r="I8" t="s">
        <v>58</v>
      </c>
      <c r="J8">
        <v>3427773</v>
      </c>
      <c r="K8">
        <f>COUNTIF(iskola[[#This Row],[isknev]],iskola[[#This Row],[isknev]])</f>
        <v>1</v>
      </c>
    </row>
    <row r="9" spans="1:25" x14ac:dyDescent="0.25">
      <c r="B9">
        <v>2000</v>
      </c>
      <c r="D9" t="str">
        <f>TEXT(E9,"000000")</f>
        <v>034840</v>
      </c>
      <c r="E9">
        <v>34840</v>
      </c>
      <c r="F9" t="s">
        <v>59</v>
      </c>
      <c r="G9" t="s">
        <v>60</v>
      </c>
      <c r="I9" t="s">
        <v>61</v>
      </c>
      <c r="J9" t="s">
        <v>62</v>
      </c>
      <c r="K9">
        <f>COUNTIF(iskola[[#This Row],[isknev]],iskola[[#This Row],[isknev]])</f>
        <v>1</v>
      </c>
    </row>
    <row r="10" spans="1:25" x14ac:dyDescent="0.25">
      <c r="B10">
        <v>3000</v>
      </c>
      <c r="D10" t="str">
        <f t="shared" si="0"/>
        <v>032355</v>
      </c>
      <c r="E10">
        <v>32355</v>
      </c>
      <c r="F10" t="s">
        <v>63</v>
      </c>
      <c r="G10" t="s">
        <v>64</v>
      </c>
      <c r="I10" t="s">
        <v>65</v>
      </c>
      <c r="J10" t="s">
        <v>66</v>
      </c>
      <c r="K10">
        <f>COUNTIF(iskola[[#This Row],[isknev]],iskola[[#This Row],[isknev]])</f>
        <v>1</v>
      </c>
    </row>
    <row r="11" spans="1:25" x14ac:dyDescent="0.25">
      <c r="B11">
        <v>4000</v>
      </c>
      <c r="D11" t="str">
        <f t="shared" si="0"/>
        <v>034848</v>
      </c>
      <c r="E11">
        <v>34848</v>
      </c>
      <c r="F11" t="s">
        <v>67</v>
      </c>
      <c r="G11" t="s">
        <v>68</v>
      </c>
      <c r="I11" t="s">
        <v>69</v>
      </c>
      <c r="J11" t="s">
        <v>70</v>
      </c>
      <c r="K11">
        <f>COUNTIF(iskola[[#This Row],[isknev]],iskola[[#This Row],[isknev]])</f>
        <v>1</v>
      </c>
    </row>
    <row r="12" spans="1:25" x14ac:dyDescent="0.25">
      <c r="D12" t="str">
        <f t="shared" si="0"/>
        <v>035191</v>
      </c>
      <c r="E12">
        <v>35191</v>
      </c>
      <c r="F12" t="s">
        <v>71</v>
      </c>
      <c r="G12" t="s">
        <v>72</v>
      </c>
      <c r="I12" t="s">
        <v>73</v>
      </c>
      <c r="J12" t="s">
        <v>74</v>
      </c>
      <c r="K12">
        <f>COUNTIF(iskola[[#This Row],[isknev]],iskola[[#This Row],[isknev]])</f>
        <v>1</v>
      </c>
    </row>
    <row r="13" spans="1:25" x14ac:dyDescent="0.25">
      <c r="D13" t="str">
        <f t="shared" si="0"/>
        <v>202925</v>
      </c>
      <c r="E13">
        <v>202925</v>
      </c>
      <c r="F13" t="s">
        <v>75</v>
      </c>
      <c r="G13" t="s">
        <v>76</v>
      </c>
      <c r="I13" t="s">
        <v>77</v>
      </c>
      <c r="J13" t="s">
        <v>78</v>
      </c>
      <c r="K13">
        <f>COUNTIF(iskola[[#This Row],[isknev]],iskola[[#This Row],[isknev]])</f>
        <v>1</v>
      </c>
    </row>
    <row r="14" spans="1:25" x14ac:dyDescent="0.25">
      <c r="A14">
        <v>175</v>
      </c>
      <c r="B14" t="s">
        <v>79</v>
      </c>
      <c r="D14" t="str">
        <f t="shared" si="0"/>
        <v>034937</v>
      </c>
      <c r="E14">
        <v>34937</v>
      </c>
      <c r="F14" t="s">
        <v>80</v>
      </c>
      <c r="G14" t="s">
        <v>81</v>
      </c>
      <c r="I14" t="s">
        <v>82</v>
      </c>
      <c r="J14" t="s">
        <v>83</v>
      </c>
      <c r="K14">
        <f>COUNTIF(iskola[[#This Row],[isknev]],iskola[[#This Row],[isknev]])</f>
        <v>1</v>
      </c>
    </row>
    <row r="15" spans="1:25" x14ac:dyDescent="0.25">
      <c r="D15" t="str">
        <f t="shared" si="0"/>
        <v>032616</v>
      </c>
      <c r="E15">
        <v>32616</v>
      </c>
      <c r="F15" t="s">
        <v>84</v>
      </c>
      <c r="G15" t="s">
        <v>85</v>
      </c>
      <c r="I15" t="s">
        <v>86</v>
      </c>
      <c r="J15" t="s">
        <v>87</v>
      </c>
      <c r="K15">
        <f>COUNTIF(iskola[[#This Row],[isknev]],iskola[[#This Row],[isknev]])</f>
        <v>1</v>
      </c>
    </row>
    <row r="16" spans="1:25" x14ac:dyDescent="0.25">
      <c r="D16" t="str">
        <f t="shared" si="0"/>
        <v>030166</v>
      </c>
      <c r="E16">
        <v>30166</v>
      </c>
      <c r="F16" t="s">
        <v>88</v>
      </c>
      <c r="G16" t="s">
        <v>89</v>
      </c>
      <c r="I16" t="s">
        <v>90</v>
      </c>
      <c r="J16" t="s">
        <v>91</v>
      </c>
      <c r="K16">
        <f>COUNTIF(iskola[[#This Row],[isknev]],iskola[[#This Row],[isknev]])</f>
        <v>1</v>
      </c>
    </row>
    <row r="17" spans="1:11" x14ac:dyDescent="0.25">
      <c r="D17" t="str">
        <f t="shared" si="0"/>
        <v>200415</v>
      </c>
      <c r="E17">
        <v>200415</v>
      </c>
      <c r="F17" t="s">
        <v>92</v>
      </c>
      <c r="G17" t="s">
        <v>93</v>
      </c>
      <c r="I17" t="s">
        <v>94</v>
      </c>
      <c r="J17" t="s">
        <v>95</v>
      </c>
      <c r="K17">
        <f>COUNTIF(iskola[[#This Row],[isknev]],iskola[[#This Row],[isknev]])</f>
        <v>1</v>
      </c>
    </row>
    <row r="18" spans="1:11" x14ac:dyDescent="0.25">
      <c r="D18" t="str">
        <f t="shared" si="0"/>
        <v>035328</v>
      </c>
      <c r="E18">
        <v>35328</v>
      </c>
      <c r="F18" t="s">
        <v>96</v>
      </c>
      <c r="G18" t="s">
        <v>97</v>
      </c>
      <c r="I18" t="s">
        <v>98</v>
      </c>
      <c r="J18" t="s">
        <v>99</v>
      </c>
      <c r="K18">
        <f>COUNTIF(iskola[[#This Row],[isknev]],iskola[[#This Row],[isknev]])</f>
        <v>1</v>
      </c>
    </row>
    <row r="19" spans="1:11" x14ac:dyDescent="0.25">
      <c r="A19" s="22"/>
      <c r="D19" t="str">
        <f t="shared" si="0"/>
        <v>035328</v>
      </c>
      <c r="E19">
        <v>35328</v>
      </c>
      <c r="F19" t="s">
        <v>100</v>
      </c>
      <c r="G19" t="s">
        <v>101</v>
      </c>
      <c r="I19" t="s">
        <v>102</v>
      </c>
      <c r="J19" t="s">
        <v>103</v>
      </c>
      <c r="K19">
        <f>COUNTIF(iskola[[#This Row],[isknev]],iskola[[#This Row],[isknev]])</f>
        <v>1</v>
      </c>
    </row>
    <row r="20" spans="1:11" x14ac:dyDescent="0.25">
      <c r="D20" t="str">
        <f t="shared" si="0"/>
        <v>032441</v>
      </c>
      <c r="E20">
        <v>32441</v>
      </c>
      <c r="F20" t="s">
        <v>104</v>
      </c>
      <c r="G20" t="s">
        <v>105</v>
      </c>
      <c r="I20" t="s">
        <v>106</v>
      </c>
      <c r="J20" t="s">
        <v>107</v>
      </c>
      <c r="K20">
        <f>COUNTIF(iskola[[#This Row],[isknev]],iskola[[#This Row],[isknev]])</f>
        <v>1</v>
      </c>
    </row>
    <row r="21" spans="1:11" x14ac:dyDescent="0.25">
      <c r="D21" t="str">
        <f t="shared" si="0"/>
        <v>038948</v>
      </c>
      <c r="E21">
        <v>38948</v>
      </c>
      <c r="F21" t="s">
        <v>108</v>
      </c>
      <c r="G21" t="s">
        <v>109</v>
      </c>
      <c r="I21" t="s">
        <v>110</v>
      </c>
      <c r="J21" t="s">
        <v>111</v>
      </c>
      <c r="K21">
        <f>COUNTIF(iskola[[#This Row],[isknev]],iskola[[#This Row],[isknev]])</f>
        <v>1</v>
      </c>
    </row>
    <row r="22" spans="1:11" x14ac:dyDescent="0.25">
      <c r="D22" t="str">
        <f t="shared" si="0"/>
        <v>032447</v>
      </c>
      <c r="E22">
        <v>32447</v>
      </c>
      <c r="F22" t="s">
        <v>112</v>
      </c>
      <c r="G22" t="s">
        <v>113</v>
      </c>
      <c r="I22" t="s">
        <v>114</v>
      </c>
      <c r="J22" t="s">
        <v>115</v>
      </c>
      <c r="K22">
        <f>COUNTIF(iskola[[#This Row],[isknev]],iskola[[#This Row],[isknev]])</f>
        <v>1</v>
      </c>
    </row>
    <row r="23" spans="1:11" x14ac:dyDescent="0.25">
      <c r="D23" t="str">
        <f t="shared" si="0"/>
        <v>200202</v>
      </c>
      <c r="E23">
        <v>200202</v>
      </c>
      <c r="F23" t="s">
        <v>116</v>
      </c>
      <c r="G23" t="s">
        <v>117</v>
      </c>
      <c r="I23" t="s">
        <v>118</v>
      </c>
      <c r="J23">
        <v>3612009971</v>
      </c>
      <c r="K23">
        <f>COUNTIF(iskola[[#This Row],[isknev]],iskola[[#This Row],[isknev]])</f>
        <v>1</v>
      </c>
    </row>
    <row r="24" spans="1:11" x14ac:dyDescent="0.25">
      <c r="D24" t="str">
        <f t="shared" si="0"/>
        <v>203474</v>
      </c>
      <c r="E24">
        <v>203474</v>
      </c>
      <c r="F24" t="s">
        <v>119</v>
      </c>
      <c r="G24" t="s">
        <v>120</v>
      </c>
      <c r="I24" t="s">
        <v>121</v>
      </c>
      <c r="J24">
        <v>36303103733</v>
      </c>
      <c r="K24">
        <f>COUNTIF(iskola[[#This Row],[isknev]],iskola[[#This Row],[isknev]])</f>
        <v>1</v>
      </c>
    </row>
    <row r="25" spans="1:11" x14ac:dyDescent="0.25">
      <c r="D25" t="str">
        <f t="shared" si="0"/>
        <v>039879</v>
      </c>
      <c r="E25">
        <v>39879</v>
      </c>
      <c r="F25" t="s">
        <v>122</v>
      </c>
      <c r="G25" t="s">
        <v>123</v>
      </c>
      <c r="I25" t="s">
        <v>124</v>
      </c>
      <c r="J25" t="s">
        <v>125</v>
      </c>
      <c r="K25">
        <f>COUNTIF(iskola[[#This Row],[isknev]],iskola[[#This Row],[isknev]])</f>
        <v>1</v>
      </c>
    </row>
    <row r="26" spans="1:11" x14ac:dyDescent="0.25">
      <c r="D26" t="str">
        <f t="shared" si="0"/>
        <v>035199</v>
      </c>
      <c r="E26">
        <v>35199</v>
      </c>
      <c r="F26" t="s">
        <v>126</v>
      </c>
      <c r="G26" t="s">
        <v>127</v>
      </c>
      <c r="I26" t="s">
        <v>128</v>
      </c>
      <c r="J26" t="s">
        <v>129</v>
      </c>
      <c r="K26">
        <f>COUNTIF(iskola[[#This Row],[isknev]],iskola[[#This Row],[isknev]])</f>
        <v>1</v>
      </c>
    </row>
    <row r="27" spans="1:11" x14ac:dyDescent="0.25">
      <c r="D27" t="str">
        <f t="shared" si="0"/>
        <v>035197</v>
      </c>
      <c r="E27">
        <v>35197</v>
      </c>
      <c r="F27" t="s">
        <v>130</v>
      </c>
      <c r="G27" t="s">
        <v>131</v>
      </c>
      <c r="I27" t="s">
        <v>132</v>
      </c>
      <c r="J27" t="s">
        <v>133</v>
      </c>
      <c r="K27">
        <f>COUNTIF(iskola[[#This Row],[isknev]],iskola[[#This Row],[isknev]])</f>
        <v>1</v>
      </c>
    </row>
    <row r="28" spans="1:11" x14ac:dyDescent="0.25">
      <c r="D28" t="str">
        <f t="shared" si="0"/>
        <v>035202</v>
      </c>
      <c r="E28">
        <v>35202</v>
      </c>
      <c r="F28" t="s">
        <v>134</v>
      </c>
      <c r="G28" t="s">
        <v>135</v>
      </c>
      <c r="I28" t="s">
        <v>136</v>
      </c>
      <c r="J28" t="s">
        <v>137</v>
      </c>
      <c r="K28">
        <f>COUNTIF(iskola[[#This Row],[isknev]],iskola[[#This Row],[isknev]])</f>
        <v>1</v>
      </c>
    </row>
    <row r="29" spans="1:11" x14ac:dyDescent="0.25">
      <c r="D29" t="str">
        <f t="shared" si="0"/>
        <v>032444</v>
      </c>
      <c r="E29">
        <v>32444</v>
      </c>
      <c r="F29" t="s">
        <v>138</v>
      </c>
      <c r="G29" t="s">
        <v>139</v>
      </c>
      <c r="I29" s="3" t="s">
        <v>140</v>
      </c>
      <c r="J29" t="s">
        <v>141</v>
      </c>
      <c r="K29">
        <f>COUNTIF(iskola[[#This Row],[isknev]],iskola[[#This Row],[isknev]])</f>
        <v>1</v>
      </c>
    </row>
    <row r="30" spans="1:11" x14ac:dyDescent="0.25">
      <c r="D30" t="str">
        <f t="shared" si="0"/>
        <v>203426</v>
      </c>
      <c r="E30">
        <v>203426</v>
      </c>
      <c r="F30" t="s">
        <v>142</v>
      </c>
      <c r="G30" t="s">
        <v>143</v>
      </c>
      <c r="I30" t="s">
        <v>144</v>
      </c>
      <c r="J30" t="s">
        <v>145</v>
      </c>
      <c r="K30">
        <f>COUNTIF(iskola[[#This Row],[isknev]],iskola[[#This Row],[isknev]])</f>
        <v>1</v>
      </c>
    </row>
    <row r="31" spans="1:11" x14ac:dyDescent="0.25">
      <c r="D31" t="str">
        <f t="shared" si="0"/>
        <v>032445</v>
      </c>
      <c r="E31">
        <v>32445</v>
      </c>
      <c r="F31" t="s">
        <v>146</v>
      </c>
      <c r="G31" t="s">
        <v>147</v>
      </c>
      <c r="I31" t="s">
        <v>148</v>
      </c>
      <c r="J31" t="s">
        <v>148</v>
      </c>
      <c r="K31">
        <f>COUNTIF(iskola[[#This Row],[isknev]],iskola[[#This Row],[isknev]])</f>
        <v>1</v>
      </c>
    </row>
    <row r="32" spans="1:11" x14ac:dyDescent="0.25">
      <c r="D32" t="str">
        <f t="shared" si="0"/>
        <v>037737</v>
      </c>
      <c r="E32">
        <v>37737</v>
      </c>
      <c r="F32" t="s">
        <v>149</v>
      </c>
      <c r="G32" t="s">
        <v>150</v>
      </c>
      <c r="I32" t="s">
        <v>151</v>
      </c>
      <c r="J32" t="s">
        <v>152</v>
      </c>
      <c r="K32">
        <f>COUNTIF(iskola[[#This Row],[isknev]],iskola[[#This Row],[isknev]])</f>
        <v>1</v>
      </c>
    </row>
    <row r="33" spans="4:11" x14ac:dyDescent="0.25">
      <c r="D33" t="str">
        <f t="shared" si="0"/>
        <v>037738</v>
      </c>
      <c r="E33">
        <v>37738</v>
      </c>
      <c r="F33" t="s">
        <v>153</v>
      </c>
      <c r="G33" t="s">
        <v>154</v>
      </c>
      <c r="I33" t="s">
        <v>155</v>
      </c>
      <c r="J33" t="s">
        <v>156</v>
      </c>
      <c r="K33">
        <f>COUNTIF(iskola[[#This Row],[isknev]],iskola[[#This Row],[isknev]])</f>
        <v>1</v>
      </c>
    </row>
    <row r="34" spans="4:11" x14ac:dyDescent="0.25">
      <c r="D34" t="str">
        <f t="shared" si="0"/>
        <v>203126</v>
      </c>
      <c r="E34">
        <v>203126</v>
      </c>
      <c r="F34" t="s">
        <v>157</v>
      </c>
      <c r="G34" t="s">
        <v>158</v>
      </c>
      <c r="I34" t="s">
        <v>148</v>
      </c>
      <c r="J34" t="s">
        <v>148</v>
      </c>
      <c r="K34">
        <f>COUNTIF(iskola[[#This Row],[isknev]],iskola[[#This Row],[isknev]])</f>
        <v>1</v>
      </c>
    </row>
    <row r="35" spans="4:11" x14ac:dyDescent="0.25">
      <c r="D35" t="str">
        <f t="shared" si="0"/>
        <v>034789</v>
      </c>
      <c r="E35">
        <v>34789</v>
      </c>
      <c r="F35" t="s">
        <v>159</v>
      </c>
      <c r="G35" t="s">
        <v>160</v>
      </c>
      <c r="I35" t="s">
        <v>161</v>
      </c>
      <c r="J35" t="s">
        <v>162</v>
      </c>
      <c r="K35">
        <f>COUNTIF(iskola[[#This Row],[isknev]],iskola[[#This Row],[isknev]])</f>
        <v>1</v>
      </c>
    </row>
    <row r="36" spans="4:11" x14ac:dyDescent="0.25">
      <c r="D36" t="str">
        <f t="shared" ref="D36:D67" si="1">TEXT(E36,"000000")</f>
        <v>034808</v>
      </c>
      <c r="E36">
        <v>34808</v>
      </c>
      <c r="F36" t="s">
        <v>163</v>
      </c>
      <c r="G36" t="s">
        <v>164</v>
      </c>
      <c r="I36" t="s">
        <v>165</v>
      </c>
      <c r="J36" t="s">
        <v>166</v>
      </c>
      <c r="K36">
        <f>COUNTIF(iskola[[#This Row],[isknev]],iskola[[#This Row],[isknev]])</f>
        <v>1</v>
      </c>
    </row>
    <row r="37" spans="4:11" x14ac:dyDescent="0.25">
      <c r="D37" t="str">
        <f t="shared" si="1"/>
        <v>034847</v>
      </c>
      <c r="E37">
        <v>34847</v>
      </c>
      <c r="F37" t="s">
        <v>167</v>
      </c>
      <c r="G37" t="s">
        <v>168</v>
      </c>
      <c r="I37" t="s">
        <v>169</v>
      </c>
      <c r="J37" t="s">
        <v>170</v>
      </c>
      <c r="K37">
        <f>COUNTIF(iskola[[#This Row],[isknev]],iskola[[#This Row],[isknev]])</f>
        <v>1</v>
      </c>
    </row>
    <row r="38" spans="4:11" x14ac:dyDescent="0.25">
      <c r="D38" t="str">
        <f t="shared" si="1"/>
        <v>035361</v>
      </c>
      <c r="E38">
        <v>35361</v>
      </c>
      <c r="F38" t="s">
        <v>171</v>
      </c>
      <c r="G38" t="s">
        <v>172</v>
      </c>
      <c r="I38" t="s">
        <v>148</v>
      </c>
      <c r="J38" t="s">
        <v>148</v>
      </c>
      <c r="K38">
        <f>COUNTIF(iskola[[#This Row],[isknev]],iskola[[#This Row],[isknev]])</f>
        <v>1</v>
      </c>
    </row>
    <row r="39" spans="4:11" x14ac:dyDescent="0.25">
      <c r="D39" t="str">
        <f t="shared" si="1"/>
        <v>034938</v>
      </c>
      <c r="E39">
        <v>34938</v>
      </c>
      <c r="F39" t="s">
        <v>173</v>
      </c>
      <c r="G39" t="s">
        <v>174</v>
      </c>
      <c r="I39" t="s">
        <v>148</v>
      </c>
      <c r="J39" t="s">
        <v>148</v>
      </c>
      <c r="K39">
        <f>COUNTIF(iskola[[#This Row],[isknev]],iskola[[#This Row],[isknev]])</f>
        <v>1</v>
      </c>
    </row>
    <row r="40" spans="4:11" x14ac:dyDescent="0.25">
      <c r="D40" t="str">
        <f t="shared" si="1"/>
        <v>034939</v>
      </c>
      <c r="E40">
        <v>34939</v>
      </c>
      <c r="F40" t="s">
        <v>175</v>
      </c>
      <c r="G40" t="s">
        <v>176</v>
      </c>
      <c r="I40" t="s">
        <v>177</v>
      </c>
      <c r="J40" t="s">
        <v>178</v>
      </c>
      <c r="K40">
        <f>COUNTIF(iskola[[#This Row],[isknev]],iskola[[#This Row],[isknev]])</f>
        <v>1</v>
      </c>
    </row>
    <row r="41" spans="4:11" x14ac:dyDescent="0.25">
      <c r="D41" t="str">
        <f t="shared" si="1"/>
        <v>034942</v>
      </c>
      <c r="E41">
        <v>34942</v>
      </c>
      <c r="F41" t="s">
        <v>179</v>
      </c>
      <c r="G41" t="s">
        <v>180</v>
      </c>
      <c r="I41" t="s">
        <v>181</v>
      </c>
      <c r="J41" t="s">
        <v>182</v>
      </c>
      <c r="K41">
        <f>COUNTIF(iskola[[#This Row],[isknev]],iskola[[#This Row],[isknev]])</f>
        <v>1</v>
      </c>
    </row>
    <row r="42" spans="4:11" x14ac:dyDescent="0.25">
      <c r="D42" t="str">
        <f t="shared" si="1"/>
        <v>035282</v>
      </c>
      <c r="E42">
        <v>35282</v>
      </c>
      <c r="F42" t="s">
        <v>183</v>
      </c>
      <c r="G42" t="s">
        <v>184</v>
      </c>
      <c r="I42" t="s">
        <v>185</v>
      </c>
      <c r="J42" t="s">
        <v>186</v>
      </c>
      <c r="K42">
        <f>COUNTIF(iskola[[#This Row],[isknev]],iskola[[#This Row],[isknev]])</f>
        <v>1</v>
      </c>
    </row>
    <row r="43" spans="4:11" x14ac:dyDescent="0.25">
      <c r="D43" t="str">
        <f t="shared" si="1"/>
        <v>203452</v>
      </c>
      <c r="E43">
        <v>203452</v>
      </c>
      <c r="F43" t="s">
        <v>187</v>
      </c>
      <c r="G43" t="s">
        <v>188</v>
      </c>
      <c r="I43" t="s">
        <v>148</v>
      </c>
      <c r="J43" t="s">
        <v>148</v>
      </c>
      <c r="K43">
        <f>COUNTIF(iskola[[#This Row],[isknev]],iskola[[#This Row],[isknev]])</f>
        <v>1</v>
      </c>
    </row>
    <row r="44" spans="4:11" x14ac:dyDescent="0.25">
      <c r="D44" t="str">
        <f t="shared" si="1"/>
        <v>034886</v>
      </c>
      <c r="E44">
        <v>34886</v>
      </c>
      <c r="F44" t="s">
        <v>189</v>
      </c>
      <c r="G44" t="s">
        <v>190</v>
      </c>
      <c r="I44" t="s">
        <v>191</v>
      </c>
      <c r="J44" t="s">
        <v>192</v>
      </c>
      <c r="K44">
        <f>COUNTIF(iskola[[#This Row],[isknev]],iskola[[#This Row],[isknev]])</f>
        <v>1</v>
      </c>
    </row>
    <row r="45" spans="4:11" x14ac:dyDescent="0.25">
      <c r="D45" t="str">
        <f t="shared" si="1"/>
        <v>038026</v>
      </c>
      <c r="E45">
        <v>38026</v>
      </c>
      <c r="F45" t="s">
        <v>193</v>
      </c>
      <c r="G45" t="s">
        <v>194</v>
      </c>
      <c r="I45" t="s">
        <v>195</v>
      </c>
      <c r="J45" t="s">
        <v>196</v>
      </c>
      <c r="K45">
        <f>COUNTIF(iskola[[#This Row],[isknev]],iskola[[#This Row],[isknev]])</f>
        <v>1</v>
      </c>
    </row>
    <row r="46" spans="4:11" x14ac:dyDescent="0.25">
      <c r="D46" t="str">
        <f t="shared" si="1"/>
        <v>034885</v>
      </c>
      <c r="E46">
        <v>34885</v>
      </c>
      <c r="F46" t="s">
        <v>197</v>
      </c>
      <c r="G46" t="s">
        <v>198</v>
      </c>
      <c r="I46" t="s">
        <v>199</v>
      </c>
      <c r="J46" t="s">
        <v>200</v>
      </c>
      <c r="K46">
        <f>COUNTIF(iskola[[#This Row],[isknev]],iskola[[#This Row],[isknev]])</f>
        <v>1</v>
      </c>
    </row>
    <row r="47" spans="4:11" x14ac:dyDescent="0.25">
      <c r="D47" t="str">
        <f t="shared" si="1"/>
        <v>034889</v>
      </c>
      <c r="E47">
        <v>34889</v>
      </c>
      <c r="F47" t="s">
        <v>201</v>
      </c>
      <c r="G47" t="s">
        <v>202</v>
      </c>
      <c r="I47" t="s">
        <v>203</v>
      </c>
      <c r="J47" t="s">
        <v>204</v>
      </c>
      <c r="K47">
        <f>COUNTIF(iskola[[#This Row],[isknev]],iskola[[#This Row],[isknev]])</f>
        <v>1</v>
      </c>
    </row>
    <row r="48" spans="4:11" x14ac:dyDescent="0.25">
      <c r="D48" t="str">
        <f t="shared" si="1"/>
        <v>034895</v>
      </c>
      <c r="E48">
        <v>34895</v>
      </c>
      <c r="F48" t="s">
        <v>205</v>
      </c>
      <c r="G48" t="s">
        <v>206</v>
      </c>
      <c r="I48" t="s">
        <v>207</v>
      </c>
      <c r="J48" t="s">
        <v>208</v>
      </c>
      <c r="K48">
        <f>COUNTIF(iskola[[#This Row],[isknev]],iskola[[#This Row],[isknev]])</f>
        <v>1</v>
      </c>
    </row>
    <row r="49" spans="4:11" x14ac:dyDescent="0.25">
      <c r="D49" t="str">
        <f t="shared" si="1"/>
        <v>034895</v>
      </c>
      <c r="E49">
        <v>34895</v>
      </c>
      <c r="F49" t="s">
        <v>209</v>
      </c>
      <c r="G49" t="s">
        <v>206</v>
      </c>
      <c r="I49" t="s">
        <v>148</v>
      </c>
      <c r="J49" t="s">
        <v>148</v>
      </c>
      <c r="K49">
        <f>COUNTIF(iskola[[#This Row],[isknev]],iskola[[#This Row],[isknev]])</f>
        <v>1</v>
      </c>
    </row>
    <row r="50" spans="4:11" x14ac:dyDescent="0.25">
      <c r="D50" t="str">
        <f t="shared" si="1"/>
        <v>034897</v>
      </c>
      <c r="E50">
        <v>34897</v>
      </c>
      <c r="F50" t="s">
        <v>210</v>
      </c>
      <c r="G50" t="s">
        <v>211</v>
      </c>
      <c r="I50" t="s">
        <v>148</v>
      </c>
      <c r="J50" t="s">
        <v>148</v>
      </c>
      <c r="K50">
        <f>COUNTIF(iskola[[#This Row],[isknev]],iskola[[#This Row],[isknev]])</f>
        <v>1</v>
      </c>
    </row>
    <row r="51" spans="4:11" x14ac:dyDescent="0.25">
      <c r="D51" t="str">
        <f t="shared" si="1"/>
        <v>035329</v>
      </c>
      <c r="E51">
        <v>35329</v>
      </c>
      <c r="F51" t="s">
        <v>212</v>
      </c>
      <c r="G51" t="s">
        <v>213</v>
      </c>
      <c r="I51" t="s">
        <v>148</v>
      </c>
      <c r="J51" t="s">
        <v>148</v>
      </c>
      <c r="K51">
        <f>COUNTIF(iskola[[#This Row],[isknev]],iskola[[#This Row],[isknev]])</f>
        <v>1</v>
      </c>
    </row>
    <row r="52" spans="4:11" x14ac:dyDescent="0.25">
      <c r="D52" t="str">
        <f t="shared" si="1"/>
        <v>034911</v>
      </c>
      <c r="E52">
        <v>34911</v>
      </c>
      <c r="F52" t="s">
        <v>214</v>
      </c>
      <c r="G52" t="s">
        <v>215</v>
      </c>
      <c r="I52" t="s">
        <v>148</v>
      </c>
      <c r="J52" t="s">
        <v>148</v>
      </c>
      <c r="K52">
        <f>COUNTIF(iskola[[#This Row],[isknev]],iskola[[#This Row],[isknev]])</f>
        <v>1</v>
      </c>
    </row>
    <row r="53" spans="4:11" x14ac:dyDescent="0.25">
      <c r="D53" t="str">
        <f t="shared" si="1"/>
        <v>035020</v>
      </c>
      <c r="E53">
        <v>35020</v>
      </c>
      <c r="F53" t="s">
        <v>216</v>
      </c>
      <c r="G53" t="s">
        <v>217</v>
      </c>
      <c r="I53" t="s">
        <v>218</v>
      </c>
      <c r="J53" t="s">
        <v>219</v>
      </c>
      <c r="K53">
        <f>COUNTIF(iskola[[#This Row],[isknev]],iskola[[#This Row],[isknev]])</f>
        <v>1</v>
      </c>
    </row>
    <row r="54" spans="4:11" x14ac:dyDescent="0.25">
      <c r="D54" t="str">
        <f t="shared" si="1"/>
        <v>035026</v>
      </c>
      <c r="E54">
        <v>35026</v>
      </c>
      <c r="F54" t="s">
        <v>220</v>
      </c>
      <c r="G54" t="s">
        <v>221</v>
      </c>
      <c r="I54" t="s">
        <v>222</v>
      </c>
      <c r="J54" t="s">
        <v>223</v>
      </c>
      <c r="K54">
        <f>COUNTIF(iskola[[#This Row],[isknev]],iskola[[#This Row],[isknev]])</f>
        <v>1</v>
      </c>
    </row>
    <row r="55" spans="4:11" x14ac:dyDescent="0.25">
      <c r="D55" t="str">
        <f t="shared" si="1"/>
        <v>035031</v>
      </c>
      <c r="E55">
        <v>35031</v>
      </c>
      <c r="F55" t="s">
        <v>224</v>
      </c>
      <c r="G55" t="s">
        <v>225</v>
      </c>
      <c r="I55" t="s">
        <v>148</v>
      </c>
      <c r="J55" t="s">
        <v>148</v>
      </c>
      <c r="K55">
        <f>COUNTIF(iskola[[#This Row],[isknev]],iskola[[#This Row],[isknev]])</f>
        <v>1</v>
      </c>
    </row>
    <row r="56" spans="4:11" x14ac:dyDescent="0.25">
      <c r="D56" t="str">
        <f t="shared" si="1"/>
        <v>203287</v>
      </c>
      <c r="E56">
        <v>203287</v>
      </c>
      <c r="F56" t="s">
        <v>226</v>
      </c>
      <c r="G56" t="s">
        <v>227</v>
      </c>
      <c r="I56" t="s">
        <v>228</v>
      </c>
      <c r="J56" t="s">
        <v>229</v>
      </c>
      <c r="K56">
        <f>COUNTIF(iskola[[#This Row],[isknev]],iskola[[#This Row],[isknev]])</f>
        <v>1</v>
      </c>
    </row>
    <row r="57" spans="4:11" x14ac:dyDescent="0.25">
      <c r="D57" t="str">
        <f t="shared" si="1"/>
        <v>035023</v>
      </c>
      <c r="E57">
        <v>35023</v>
      </c>
      <c r="F57" t="s">
        <v>230</v>
      </c>
      <c r="G57" t="s">
        <v>231</v>
      </c>
      <c r="I57" t="s">
        <v>148</v>
      </c>
      <c r="J57" t="s">
        <v>148</v>
      </c>
      <c r="K57">
        <f>COUNTIF(iskola[[#This Row],[isknev]],iskola[[#This Row],[isknev]])</f>
        <v>1</v>
      </c>
    </row>
    <row r="58" spans="4:11" x14ac:dyDescent="0.25">
      <c r="D58" t="str">
        <f t="shared" si="1"/>
        <v>035028</v>
      </c>
      <c r="E58">
        <v>35028</v>
      </c>
      <c r="F58" t="s">
        <v>232</v>
      </c>
      <c r="G58" t="s">
        <v>233</v>
      </c>
      <c r="I58" t="s">
        <v>234</v>
      </c>
      <c r="J58" t="s">
        <v>235</v>
      </c>
      <c r="K58">
        <f>COUNTIF(iskola[[#This Row],[isknev]],iskola[[#This Row],[isknev]])</f>
        <v>1</v>
      </c>
    </row>
    <row r="59" spans="4:11" x14ac:dyDescent="0.25">
      <c r="D59" t="str">
        <f t="shared" si="1"/>
        <v>035022</v>
      </c>
      <c r="E59">
        <v>35022</v>
      </c>
      <c r="F59" t="s">
        <v>236</v>
      </c>
      <c r="G59" t="s">
        <v>237</v>
      </c>
      <c r="I59" t="s">
        <v>148</v>
      </c>
      <c r="J59" t="s">
        <v>148</v>
      </c>
      <c r="K59">
        <f>COUNTIF(iskola[[#This Row],[isknev]],iskola[[#This Row],[isknev]])</f>
        <v>1</v>
      </c>
    </row>
    <row r="60" spans="4:11" x14ac:dyDescent="0.25">
      <c r="D60" t="str">
        <f t="shared" si="1"/>
        <v>203202</v>
      </c>
      <c r="E60">
        <v>203202</v>
      </c>
      <c r="F60" t="s">
        <v>238</v>
      </c>
      <c r="G60" t="s">
        <v>239</v>
      </c>
      <c r="I60" s="3" t="s">
        <v>240</v>
      </c>
      <c r="J60">
        <v>3613208893</v>
      </c>
      <c r="K60">
        <f>COUNTIF(iskola[[#This Row],[isknev]],iskola[[#This Row],[isknev]])</f>
        <v>1</v>
      </c>
    </row>
    <row r="61" spans="4:11" x14ac:dyDescent="0.25">
      <c r="D61" t="str">
        <f t="shared" si="1"/>
        <v>203288</v>
      </c>
      <c r="E61">
        <v>203288</v>
      </c>
      <c r="F61" t="s">
        <v>241</v>
      </c>
      <c r="G61" t="s">
        <v>242</v>
      </c>
      <c r="I61" t="s">
        <v>148</v>
      </c>
      <c r="J61" t="s">
        <v>148</v>
      </c>
      <c r="K61">
        <f>COUNTIF(iskola[[#This Row],[isknev]],iskola[[#This Row],[isknev]])</f>
        <v>1</v>
      </c>
    </row>
    <row r="62" spans="4:11" x14ac:dyDescent="0.25">
      <c r="D62" t="str">
        <f t="shared" si="1"/>
        <v>035048</v>
      </c>
      <c r="E62">
        <v>35048</v>
      </c>
      <c r="F62" t="s">
        <v>243</v>
      </c>
      <c r="G62" t="s">
        <v>244</v>
      </c>
      <c r="I62" t="s">
        <v>148</v>
      </c>
      <c r="J62" t="s">
        <v>148</v>
      </c>
      <c r="K62">
        <f>COUNTIF(iskola[[#This Row],[isknev]],iskola[[#This Row],[isknev]])</f>
        <v>1</v>
      </c>
    </row>
    <row r="63" spans="4:11" x14ac:dyDescent="0.25">
      <c r="D63" t="str">
        <f t="shared" si="1"/>
        <v>035049</v>
      </c>
      <c r="E63">
        <v>35049</v>
      </c>
      <c r="F63" t="s">
        <v>245</v>
      </c>
      <c r="G63" t="s">
        <v>246</v>
      </c>
      <c r="I63" t="s">
        <v>148</v>
      </c>
      <c r="J63" t="s">
        <v>148</v>
      </c>
      <c r="K63">
        <f>COUNTIF(iskola[[#This Row],[isknev]],iskola[[#This Row],[isknev]])</f>
        <v>1</v>
      </c>
    </row>
    <row r="64" spans="4:11" x14ac:dyDescent="0.25">
      <c r="D64" t="str">
        <f t="shared" si="1"/>
        <v>035051</v>
      </c>
      <c r="E64">
        <v>35051</v>
      </c>
      <c r="F64" t="s">
        <v>247</v>
      </c>
      <c r="G64" t="s">
        <v>248</v>
      </c>
      <c r="I64" t="s">
        <v>148</v>
      </c>
      <c r="J64" t="s">
        <v>148</v>
      </c>
      <c r="K64">
        <f>COUNTIF(iskola[[#This Row],[isknev]],iskola[[#This Row],[isknev]])</f>
        <v>1</v>
      </c>
    </row>
    <row r="65" spans="4:11" x14ac:dyDescent="0.25">
      <c r="D65" t="str">
        <f t="shared" si="1"/>
        <v>035058</v>
      </c>
      <c r="E65">
        <v>35058</v>
      </c>
      <c r="F65" t="s">
        <v>249</v>
      </c>
      <c r="G65" t="s">
        <v>250</v>
      </c>
      <c r="I65" t="s">
        <v>251</v>
      </c>
      <c r="J65" t="s">
        <v>252</v>
      </c>
      <c r="K65">
        <f>COUNTIF(iskola[[#This Row],[isknev]],iskola[[#This Row],[isknev]])</f>
        <v>1</v>
      </c>
    </row>
    <row r="66" spans="4:11" x14ac:dyDescent="0.25">
      <c r="D66" t="str">
        <f t="shared" si="1"/>
        <v>035057</v>
      </c>
      <c r="E66">
        <v>35057</v>
      </c>
      <c r="F66" t="s">
        <v>253</v>
      </c>
      <c r="G66" t="s">
        <v>254</v>
      </c>
      <c r="I66" t="s">
        <v>255</v>
      </c>
      <c r="J66" t="s">
        <v>256</v>
      </c>
      <c r="K66">
        <f>COUNTIF(iskola[[#This Row],[isknev]],iskola[[#This Row],[isknev]])</f>
        <v>1</v>
      </c>
    </row>
    <row r="67" spans="4:11" x14ac:dyDescent="0.25">
      <c r="D67" t="str">
        <f t="shared" si="1"/>
        <v>035088</v>
      </c>
      <c r="E67">
        <v>35088</v>
      </c>
      <c r="F67" t="s">
        <v>257</v>
      </c>
      <c r="G67" t="s">
        <v>258</v>
      </c>
      <c r="I67" t="s">
        <v>259</v>
      </c>
      <c r="J67" t="s">
        <v>260</v>
      </c>
      <c r="K67">
        <f>COUNTIF(iskola[[#This Row],[isknev]],iskola[[#This Row],[isknev]])</f>
        <v>1</v>
      </c>
    </row>
    <row r="68" spans="4:11" x14ac:dyDescent="0.25">
      <c r="D68" t="str">
        <f t="shared" ref="D68:D99" si="2">TEXT(E68,"000000")</f>
        <v>035095</v>
      </c>
      <c r="E68">
        <v>35095</v>
      </c>
      <c r="F68" t="s">
        <v>261</v>
      </c>
      <c r="G68" t="s">
        <v>262</v>
      </c>
      <c r="I68" t="s">
        <v>148</v>
      </c>
      <c r="J68" t="s">
        <v>148</v>
      </c>
      <c r="K68">
        <f>COUNTIF(iskola[[#This Row],[isknev]],iskola[[#This Row],[isknev]])</f>
        <v>1</v>
      </c>
    </row>
    <row r="69" spans="4:11" x14ac:dyDescent="0.25">
      <c r="D69" t="str">
        <f t="shared" si="2"/>
        <v>035086</v>
      </c>
      <c r="E69">
        <v>35086</v>
      </c>
      <c r="F69" t="s">
        <v>263</v>
      </c>
      <c r="G69" t="s">
        <v>264</v>
      </c>
      <c r="I69" t="s">
        <v>148</v>
      </c>
      <c r="J69" t="s">
        <v>148</v>
      </c>
      <c r="K69">
        <f>COUNTIF(iskola[[#This Row],[isknev]],iskola[[#This Row],[isknev]])</f>
        <v>1</v>
      </c>
    </row>
    <row r="70" spans="4:11" x14ac:dyDescent="0.25">
      <c r="D70" t="str">
        <f t="shared" si="2"/>
        <v>035107</v>
      </c>
      <c r="E70">
        <v>35107</v>
      </c>
      <c r="F70" t="s">
        <v>265</v>
      </c>
      <c r="G70" t="s">
        <v>266</v>
      </c>
      <c r="I70" t="s">
        <v>267</v>
      </c>
      <c r="J70">
        <v>2580688</v>
      </c>
      <c r="K70">
        <f>COUNTIF(iskola[[#This Row],[isknev]],iskola[[#This Row],[isknev]])</f>
        <v>1</v>
      </c>
    </row>
    <row r="71" spans="4:11" x14ac:dyDescent="0.25">
      <c r="D71" t="str">
        <f t="shared" si="2"/>
        <v>035104</v>
      </c>
      <c r="E71">
        <v>35104</v>
      </c>
      <c r="F71" t="s">
        <v>268</v>
      </c>
      <c r="G71" t="s">
        <v>269</v>
      </c>
      <c r="I71" t="s">
        <v>148</v>
      </c>
      <c r="J71" t="s">
        <v>148</v>
      </c>
      <c r="K71">
        <f>COUNTIF(iskola[[#This Row],[isknev]],iskola[[#This Row],[isknev]])</f>
        <v>1</v>
      </c>
    </row>
    <row r="72" spans="4:11" x14ac:dyDescent="0.25">
      <c r="D72" t="str">
        <f t="shared" si="2"/>
        <v>035119</v>
      </c>
      <c r="E72">
        <v>35119</v>
      </c>
      <c r="F72" t="s">
        <v>270</v>
      </c>
      <c r="G72" t="s">
        <v>271</v>
      </c>
      <c r="I72" t="s">
        <v>148</v>
      </c>
      <c r="J72" t="s">
        <v>148</v>
      </c>
      <c r="K72">
        <f>COUNTIF(iskola[[#This Row],[isknev]],iskola[[#This Row],[isknev]])</f>
        <v>1</v>
      </c>
    </row>
    <row r="73" spans="4:11" x14ac:dyDescent="0.25">
      <c r="D73" t="str">
        <f t="shared" si="2"/>
        <v>035168</v>
      </c>
      <c r="E73">
        <v>35168</v>
      </c>
      <c r="F73" t="s">
        <v>272</v>
      </c>
      <c r="G73" t="s">
        <v>273</v>
      </c>
      <c r="I73" t="s">
        <v>148</v>
      </c>
      <c r="J73" t="s">
        <v>148</v>
      </c>
      <c r="K73">
        <f>COUNTIF(iskola[[#This Row],[isknev]],iskola[[#This Row],[isknev]])</f>
        <v>1</v>
      </c>
    </row>
    <row r="74" spans="4:11" x14ac:dyDescent="0.25">
      <c r="D74" t="str">
        <f t="shared" si="2"/>
        <v>035324</v>
      </c>
      <c r="E74">
        <v>35324</v>
      </c>
      <c r="F74" t="s">
        <v>274</v>
      </c>
      <c r="G74" t="s">
        <v>275</v>
      </c>
      <c r="I74" t="s">
        <v>148</v>
      </c>
      <c r="J74" t="s">
        <v>148</v>
      </c>
      <c r="K74">
        <f>COUNTIF(iskola[[#This Row],[isknev]],iskola[[#This Row],[isknev]])</f>
        <v>1</v>
      </c>
    </row>
    <row r="75" spans="4:11" x14ac:dyDescent="0.25">
      <c r="D75" t="str">
        <f t="shared" si="2"/>
        <v>035155</v>
      </c>
      <c r="E75">
        <v>35155</v>
      </c>
      <c r="F75" t="s">
        <v>276</v>
      </c>
      <c r="G75" t="s">
        <v>277</v>
      </c>
      <c r="I75" t="s">
        <v>148</v>
      </c>
      <c r="J75" t="s">
        <v>148</v>
      </c>
      <c r="K75">
        <f>COUNTIF(iskola[[#This Row],[isknev]],iskola[[#This Row],[isknev]])</f>
        <v>1</v>
      </c>
    </row>
    <row r="76" spans="4:11" x14ac:dyDescent="0.25">
      <c r="D76" t="str">
        <f t="shared" si="2"/>
        <v>035019</v>
      </c>
      <c r="E76">
        <v>35019</v>
      </c>
      <c r="F76" t="s">
        <v>278</v>
      </c>
      <c r="G76" t="s">
        <v>279</v>
      </c>
      <c r="I76" t="s">
        <v>148</v>
      </c>
      <c r="J76" t="s">
        <v>148</v>
      </c>
      <c r="K76">
        <f>COUNTIF(iskola[[#This Row],[isknev]],iskola[[#This Row],[isknev]])</f>
        <v>1</v>
      </c>
    </row>
    <row r="77" spans="4:11" x14ac:dyDescent="0.25">
      <c r="D77" t="str">
        <f t="shared" si="2"/>
        <v>034894</v>
      </c>
      <c r="E77">
        <v>34894</v>
      </c>
      <c r="F77" t="s">
        <v>280</v>
      </c>
      <c r="G77" t="s">
        <v>281</v>
      </c>
      <c r="I77" t="s">
        <v>148</v>
      </c>
      <c r="J77" t="s">
        <v>148</v>
      </c>
      <c r="K77">
        <f>COUNTIF(iskola[[#This Row],[isknev]],iskola[[#This Row],[isknev]])</f>
        <v>1</v>
      </c>
    </row>
    <row r="78" spans="4:11" x14ac:dyDescent="0.25">
      <c r="D78" t="str">
        <f t="shared" si="2"/>
        <v>064887</v>
      </c>
      <c r="E78">
        <v>64887</v>
      </c>
      <c r="F78" t="s">
        <v>282</v>
      </c>
      <c r="G78" t="s">
        <v>283</v>
      </c>
      <c r="I78" t="s">
        <v>284</v>
      </c>
      <c r="J78" t="s">
        <v>285</v>
      </c>
      <c r="K78">
        <f>COUNTIF(iskola[[#This Row],[isknev]],iskola[[#This Row],[isknev]])</f>
        <v>1</v>
      </c>
    </row>
    <row r="79" spans="4:11" x14ac:dyDescent="0.25">
      <c r="D79" t="str">
        <f t="shared" si="2"/>
        <v>034792</v>
      </c>
      <c r="E79">
        <v>34792</v>
      </c>
      <c r="F79" t="s">
        <v>286</v>
      </c>
      <c r="G79" t="s">
        <v>287</v>
      </c>
      <c r="I79" t="s">
        <v>288</v>
      </c>
      <c r="J79" t="s">
        <v>289</v>
      </c>
      <c r="K79">
        <f>COUNTIF(iskola[[#This Row],[isknev]],iskola[[#This Row],[isknev]])</f>
        <v>1</v>
      </c>
    </row>
    <row r="80" spans="4:11" x14ac:dyDescent="0.25">
      <c r="D80" t="str">
        <f t="shared" si="2"/>
        <v>034802</v>
      </c>
      <c r="E80">
        <v>34802</v>
      </c>
      <c r="F80" t="s">
        <v>290</v>
      </c>
      <c r="G80" t="s">
        <v>291</v>
      </c>
      <c r="I80" t="s">
        <v>292</v>
      </c>
      <c r="J80" t="s">
        <v>293</v>
      </c>
      <c r="K80">
        <f>COUNTIF(iskola[[#This Row],[isknev]],iskola[[#This Row],[isknev]])</f>
        <v>1</v>
      </c>
    </row>
    <row r="81" spans="4:11" x14ac:dyDescent="0.25">
      <c r="D81" t="str">
        <f t="shared" si="2"/>
        <v>034799</v>
      </c>
      <c r="E81">
        <v>34799</v>
      </c>
      <c r="F81" t="s">
        <v>294</v>
      </c>
      <c r="G81" t="s">
        <v>295</v>
      </c>
      <c r="I81" t="s">
        <v>296</v>
      </c>
      <c r="J81" t="s">
        <v>297</v>
      </c>
      <c r="K81">
        <f>COUNTIF(iskola[[#This Row],[isknev]],iskola[[#This Row],[isknev]])</f>
        <v>1</v>
      </c>
    </row>
    <row r="82" spans="4:11" x14ac:dyDescent="0.25">
      <c r="D82" t="str">
        <f t="shared" si="2"/>
        <v>034829</v>
      </c>
      <c r="E82">
        <v>34829</v>
      </c>
      <c r="F82" t="s">
        <v>298</v>
      </c>
      <c r="G82" t="s">
        <v>299</v>
      </c>
      <c r="I82" t="s">
        <v>300</v>
      </c>
      <c r="J82" t="s">
        <v>301</v>
      </c>
      <c r="K82">
        <f>COUNTIF(iskola[[#This Row],[isknev]],iskola[[#This Row],[isknev]])</f>
        <v>1</v>
      </c>
    </row>
    <row r="83" spans="4:11" x14ac:dyDescent="0.25">
      <c r="D83" t="str">
        <f t="shared" si="2"/>
        <v>203162</v>
      </c>
      <c r="E83">
        <v>203162</v>
      </c>
      <c r="F83" t="s">
        <v>302</v>
      </c>
      <c r="G83" t="s">
        <v>303</v>
      </c>
      <c r="I83" t="s">
        <v>304</v>
      </c>
      <c r="J83" t="s">
        <v>305</v>
      </c>
      <c r="K83">
        <f>COUNTIF(iskola[[#This Row],[isknev]],iskola[[#This Row],[isknev]])</f>
        <v>1</v>
      </c>
    </row>
    <row r="84" spans="4:11" x14ac:dyDescent="0.25">
      <c r="D84" t="str">
        <f t="shared" si="2"/>
        <v>032354</v>
      </c>
      <c r="E84">
        <v>32354</v>
      </c>
      <c r="F84" t="s">
        <v>306</v>
      </c>
      <c r="G84" t="s">
        <v>307</v>
      </c>
      <c r="I84" t="s">
        <v>308</v>
      </c>
      <c r="J84" t="s">
        <v>309</v>
      </c>
      <c r="K84">
        <f>COUNTIF(iskola[[#This Row],[isknev]],iskola[[#This Row],[isknev]])</f>
        <v>1</v>
      </c>
    </row>
    <row r="85" spans="4:11" x14ac:dyDescent="0.25">
      <c r="D85" t="str">
        <f t="shared" si="2"/>
        <v>034990</v>
      </c>
      <c r="E85">
        <v>34990</v>
      </c>
      <c r="F85" t="s">
        <v>310</v>
      </c>
      <c r="G85" t="s">
        <v>311</v>
      </c>
      <c r="I85" t="s">
        <v>312</v>
      </c>
      <c r="J85" t="s">
        <v>313</v>
      </c>
      <c r="K85">
        <f>COUNTIF(iskola[[#This Row],[isknev]],iskola[[#This Row],[isknev]])</f>
        <v>1</v>
      </c>
    </row>
    <row r="86" spans="4:11" x14ac:dyDescent="0.25">
      <c r="D86" t="str">
        <f t="shared" si="2"/>
        <v>034837</v>
      </c>
      <c r="E86">
        <v>34837</v>
      </c>
      <c r="F86" t="s">
        <v>314</v>
      </c>
      <c r="G86" t="s">
        <v>315</v>
      </c>
      <c r="I86" t="s">
        <v>316</v>
      </c>
      <c r="J86" t="s">
        <v>317</v>
      </c>
      <c r="K86">
        <f>COUNTIF(iskola[[#This Row],[isknev]],iskola[[#This Row],[isknev]])</f>
        <v>1</v>
      </c>
    </row>
    <row r="87" spans="4:11" x14ac:dyDescent="0.25">
      <c r="D87" t="str">
        <f t="shared" si="2"/>
        <v>035054</v>
      </c>
      <c r="E87">
        <v>35054</v>
      </c>
      <c r="F87" t="s">
        <v>318</v>
      </c>
      <c r="G87" t="s">
        <v>319</v>
      </c>
      <c r="I87" t="s">
        <v>320</v>
      </c>
      <c r="J87" t="s">
        <v>321</v>
      </c>
      <c r="K87">
        <f>COUNTIF(iskola[[#This Row],[isknev]],iskola[[#This Row],[isknev]])</f>
        <v>1</v>
      </c>
    </row>
    <row r="88" spans="4:11" x14ac:dyDescent="0.25">
      <c r="D88" t="str">
        <f t="shared" si="2"/>
        <v>203602</v>
      </c>
      <c r="E88">
        <v>203602</v>
      </c>
      <c r="F88" t="s">
        <v>322</v>
      </c>
      <c r="G88" t="s">
        <v>323</v>
      </c>
      <c r="I88" t="s">
        <v>148</v>
      </c>
      <c r="J88" t="s">
        <v>148</v>
      </c>
      <c r="K88">
        <f>COUNTIF(iskola[[#This Row],[isknev]],iskola[[#This Row],[isknev]])</f>
        <v>1</v>
      </c>
    </row>
    <row r="89" spans="4:11" x14ac:dyDescent="0.25">
      <c r="D89" t="str">
        <f t="shared" si="2"/>
        <v>034844</v>
      </c>
      <c r="E89">
        <v>34844</v>
      </c>
      <c r="F89" t="s">
        <v>324</v>
      </c>
      <c r="G89" t="s">
        <v>325</v>
      </c>
      <c r="I89" t="s">
        <v>148</v>
      </c>
      <c r="J89" t="s">
        <v>148</v>
      </c>
      <c r="K89">
        <f>COUNTIF(iskola[[#This Row],[isknev]],iskola[[#This Row],[isknev]])</f>
        <v>1</v>
      </c>
    </row>
    <row r="90" spans="4:11" x14ac:dyDescent="0.25">
      <c r="D90" t="str">
        <f t="shared" si="2"/>
        <v>038410</v>
      </c>
      <c r="E90">
        <v>38410</v>
      </c>
      <c r="F90" t="s">
        <v>326</v>
      </c>
      <c r="G90" t="s">
        <v>327</v>
      </c>
      <c r="I90" t="s">
        <v>148</v>
      </c>
      <c r="J90" t="s">
        <v>148</v>
      </c>
      <c r="K90">
        <f>COUNTIF(iskola[[#This Row],[isknev]],iskola[[#This Row],[isknev]])</f>
        <v>1</v>
      </c>
    </row>
    <row r="91" spans="4:11" x14ac:dyDescent="0.25">
      <c r="D91" t="str">
        <f t="shared" si="2"/>
        <v>035001</v>
      </c>
      <c r="E91">
        <v>35001</v>
      </c>
      <c r="F91" t="s">
        <v>328</v>
      </c>
      <c r="G91" t="s">
        <v>329</v>
      </c>
      <c r="I91" t="s">
        <v>330</v>
      </c>
      <c r="J91" t="s">
        <v>331</v>
      </c>
      <c r="K91">
        <f>COUNTIF(iskola[[#This Row],[isknev]],iskola[[#This Row],[isknev]])</f>
        <v>1</v>
      </c>
    </row>
    <row r="92" spans="4:11" x14ac:dyDescent="0.25">
      <c r="D92" t="str">
        <f t="shared" si="2"/>
        <v>037325</v>
      </c>
      <c r="E92">
        <v>37325</v>
      </c>
      <c r="F92" t="s">
        <v>332</v>
      </c>
      <c r="G92" t="s">
        <v>333</v>
      </c>
      <c r="I92" t="s">
        <v>148</v>
      </c>
      <c r="J92" t="s">
        <v>148</v>
      </c>
      <c r="K92">
        <f>COUNTIF(iskola[[#This Row],[isknev]],iskola[[#This Row],[isknev]])</f>
        <v>1</v>
      </c>
    </row>
    <row r="93" spans="4:11" x14ac:dyDescent="0.25">
      <c r="D93" t="str">
        <f t="shared" si="2"/>
        <v>037320</v>
      </c>
      <c r="E93">
        <v>37320</v>
      </c>
      <c r="F93" t="s">
        <v>334</v>
      </c>
      <c r="G93" t="s">
        <v>335</v>
      </c>
      <c r="I93" t="s">
        <v>336</v>
      </c>
      <c r="J93" t="s">
        <v>337</v>
      </c>
      <c r="K93">
        <f>COUNTIF(iskola[[#This Row],[isknev]],iskola[[#This Row],[isknev]])</f>
        <v>1</v>
      </c>
    </row>
    <row r="94" spans="4:11" x14ac:dyDescent="0.25">
      <c r="D94" t="str">
        <f t="shared" si="2"/>
        <v>037321</v>
      </c>
      <c r="E94">
        <v>37321</v>
      </c>
      <c r="F94" t="s">
        <v>338</v>
      </c>
      <c r="G94" t="s">
        <v>339</v>
      </c>
      <c r="I94" t="s">
        <v>148</v>
      </c>
      <c r="J94" t="s">
        <v>148</v>
      </c>
      <c r="K94">
        <f>COUNTIF(iskola[[#This Row],[isknev]],iskola[[#This Row],[isknev]])</f>
        <v>1</v>
      </c>
    </row>
    <row r="95" spans="4:11" x14ac:dyDescent="0.25">
      <c r="D95" t="str">
        <f t="shared" si="2"/>
        <v>201491</v>
      </c>
      <c r="E95">
        <v>201491</v>
      </c>
      <c r="F95" t="s">
        <v>340</v>
      </c>
      <c r="G95" t="s">
        <v>341</v>
      </c>
      <c r="I95" t="s">
        <v>342</v>
      </c>
      <c r="J95" t="s">
        <v>343</v>
      </c>
      <c r="K95">
        <f>COUNTIF(iskola[[#This Row],[isknev]],iskola[[#This Row],[isknev]])</f>
        <v>1</v>
      </c>
    </row>
    <row r="96" spans="4:11" x14ac:dyDescent="0.25">
      <c r="D96" t="str">
        <f t="shared" si="2"/>
        <v>030136</v>
      </c>
      <c r="E96">
        <v>30136</v>
      </c>
      <c r="F96" t="s">
        <v>344</v>
      </c>
      <c r="G96" t="s">
        <v>345</v>
      </c>
      <c r="I96" t="s">
        <v>148</v>
      </c>
      <c r="J96" t="s">
        <v>148</v>
      </c>
      <c r="K96">
        <f>COUNTIF(iskola[[#This Row],[isknev]],iskola[[#This Row],[isknev]])</f>
        <v>1</v>
      </c>
    </row>
    <row r="97" spans="4:11" x14ac:dyDescent="0.25">
      <c r="D97" t="str">
        <f t="shared" si="2"/>
        <v>203464</v>
      </c>
      <c r="E97">
        <v>203464</v>
      </c>
      <c r="F97" t="s">
        <v>346</v>
      </c>
      <c r="G97" t="s">
        <v>347</v>
      </c>
      <c r="I97" t="s">
        <v>148</v>
      </c>
      <c r="J97" t="s">
        <v>148</v>
      </c>
      <c r="K97">
        <f>COUNTIF(iskola[[#This Row],[isknev]],iskola[[#This Row],[isknev]])</f>
        <v>1</v>
      </c>
    </row>
    <row r="98" spans="4:11" x14ac:dyDescent="0.25">
      <c r="D98" t="str">
        <f t="shared" si="2"/>
        <v>032386</v>
      </c>
      <c r="E98">
        <v>32386</v>
      </c>
      <c r="F98" t="s">
        <v>348</v>
      </c>
      <c r="G98" t="s">
        <v>349</v>
      </c>
      <c r="I98" t="s">
        <v>350</v>
      </c>
      <c r="J98">
        <v>36307828150</v>
      </c>
      <c r="K98">
        <f>COUNTIF(iskola[[#This Row],[isknev]],iskola[[#This Row],[isknev]])</f>
        <v>1</v>
      </c>
    </row>
    <row r="99" spans="4:11" x14ac:dyDescent="0.25">
      <c r="D99" t="str">
        <f t="shared" si="2"/>
        <v>034983</v>
      </c>
      <c r="E99">
        <v>34983</v>
      </c>
      <c r="F99" t="s">
        <v>351</v>
      </c>
      <c r="G99" t="s">
        <v>352</v>
      </c>
      <c r="I99" t="s">
        <v>353</v>
      </c>
      <c r="J99" t="s">
        <v>354</v>
      </c>
      <c r="K99">
        <f>COUNTIF(iskola[[#This Row],[isknev]],iskola[[#This Row],[isknev]])</f>
        <v>1</v>
      </c>
    </row>
    <row r="100" spans="4:11" x14ac:dyDescent="0.25">
      <c r="D100" t="str">
        <f t="shared" ref="D100:D131" si="3">TEXT(E100,"000000")</f>
        <v>034812</v>
      </c>
      <c r="E100">
        <v>34812</v>
      </c>
      <c r="F100" t="s">
        <v>355</v>
      </c>
      <c r="G100" t="s">
        <v>356</v>
      </c>
      <c r="I100" t="s">
        <v>357</v>
      </c>
      <c r="J100" t="s">
        <v>358</v>
      </c>
      <c r="K100">
        <f>COUNTIF(iskola[[#This Row],[isknev]],iskola[[#This Row],[isknev]])</f>
        <v>1</v>
      </c>
    </row>
    <row r="101" spans="4:11" x14ac:dyDescent="0.25">
      <c r="D101" t="str">
        <f t="shared" si="3"/>
        <v>034832</v>
      </c>
      <c r="E101">
        <v>34832</v>
      </c>
      <c r="F101" t="s">
        <v>359</v>
      </c>
      <c r="G101" t="s">
        <v>360</v>
      </c>
      <c r="I101" t="s">
        <v>361</v>
      </c>
      <c r="J101" t="s">
        <v>362</v>
      </c>
      <c r="K101">
        <f>COUNTIF(iskola[[#This Row],[isknev]],iskola[[#This Row],[isknev]])</f>
        <v>1</v>
      </c>
    </row>
    <row r="102" spans="4:11" x14ac:dyDescent="0.25">
      <c r="D102" t="str">
        <f t="shared" si="3"/>
        <v>203387</v>
      </c>
      <c r="E102">
        <v>203387</v>
      </c>
      <c r="F102" t="s">
        <v>363</v>
      </c>
      <c r="G102" t="s">
        <v>76</v>
      </c>
      <c r="I102" t="s">
        <v>364</v>
      </c>
      <c r="J102" t="s">
        <v>365</v>
      </c>
      <c r="K102">
        <f>COUNTIF(iskola[[#This Row],[isknev]],iskola[[#This Row],[isknev]])</f>
        <v>1</v>
      </c>
    </row>
    <row r="103" spans="4:11" x14ac:dyDescent="0.25">
      <c r="D103" t="str">
        <f t="shared" si="3"/>
        <v>035196</v>
      </c>
      <c r="E103">
        <v>35196</v>
      </c>
      <c r="F103" t="s">
        <v>366</v>
      </c>
      <c r="G103" t="s">
        <v>367</v>
      </c>
      <c r="I103" t="s">
        <v>148</v>
      </c>
      <c r="J103" t="s">
        <v>148</v>
      </c>
      <c r="K103">
        <f>COUNTIF(iskola[[#This Row],[isknev]],iskola[[#This Row],[isknev]])</f>
        <v>1</v>
      </c>
    </row>
    <row r="104" spans="4:11" x14ac:dyDescent="0.25">
      <c r="D104" t="str">
        <f t="shared" si="3"/>
        <v>034994</v>
      </c>
      <c r="E104">
        <v>34994</v>
      </c>
      <c r="F104" t="s">
        <v>368</v>
      </c>
      <c r="G104" t="s">
        <v>369</v>
      </c>
      <c r="I104" t="s">
        <v>370</v>
      </c>
      <c r="J104" t="s">
        <v>371</v>
      </c>
      <c r="K104">
        <f>COUNTIF(iskola[[#This Row],[isknev]],iskola[[#This Row],[isknev]])</f>
        <v>1</v>
      </c>
    </row>
    <row r="105" spans="4:11" x14ac:dyDescent="0.25">
      <c r="D105" t="str">
        <f t="shared" si="3"/>
        <v>034993</v>
      </c>
      <c r="E105">
        <v>34993</v>
      </c>
      <c r="F105" t="s">
        <v>372</v>
      </c>
      <c r="G105" t="s">
        <v>373</v>
      </c>
      <c r="I105" t="s">
        <v>374</v>
      </c>
      <c r="J105" t="s">
        <v>375</v>
      </c>
      <c r="K105">
        <f>COUNTIF(iskola[[#This Row],[isknev]],iskola[[#This Row],[isknev]])</f>
        <v>1</v>
      </c>
    </row>
    <row r="106" spans="4:11" x14ac:dyDescent="0.25">
      <c r="D106" t="str">
        <f t="shared" si="3"/>
        <v>037708</v>
      </c>
      <c r="E106">
        <v>37708</v>
      </c>
      <c r="F106" t="s">
        <v>376</v>
      </c>
      <c r="G106" t="s">
        <v>377</v>
      </c>
      <c r="I106" t="s">
        <v>148</v>
      </c>
      <c r="J106" t="s">
        <v>148</v>
      </c>
      <c r="K106">
        <f>COUNTIF(iskola[[#This Row],[isknev]],iskola[[#This Row],[isknev]])</f>
        <v>1</v>
      </c>
    </row>
    <row r="107" spans="4:11" x14ac:dyDescent="0.25">
      <c r="D107" t="str">
        <f t="shared" si="3"/>
        <v>032515</v>
      </c>
      <c r="E107">
        <v>32515</v>
      </c>
      <c r="F107" t="s">
        <v>378</v>
      </c>
      <c r="G107" t="s">
        <v>379</v>
      </c>
      <c r="I107" t="s">
        <v>148</v>
      </c>
      <c r="J107" t="s">
        <v>148</v>
      </c>
      <c r="K107">
        <f>COUNTIF(iskola[[#This Row],[isknev]],iskola[[#This Row],[isknev]])</f>
        <v>1</v>
      </c>
    </row>
    <row r="108" spans="4:11" x14ac:dyDescent="0.25">
      <c r="D108" t="str">
        <f t="shared" si="3"/>
        <v>034978</v>
      </c>
      <c r="E108">
        <v>34978</v>
      </c>
      <c r="F108" t="s">
        <v>380</v>
      </c>
      <c r="G108" t="s">
        <v>381</v>
      </c>
      <c r="I108" t="s">
        <v>382</v>
      </c>
      <c r="J108">
        <v>6206201119</v>
      </c>
      <c r="K108">
        <f>COUNTIF(iskola[[#This Row],[isknev]],iskola[[#This Row],[isknev]])</f>
        <v>1</v>
      </c>
    </row>
    <row r="109" spans="4:11" x14ac:dyDescent="0.25">
      <c r="D109" t="str">
        <f t="shared" si="3"/>
        <v>035122</v>
      </c>
      <c r="E109">
        <v>35122</v>
      </c>
      <c r="F109" t="s">
        <v>383</v>
      </c>
      <c r="G109" t="s">
        <v>384</v>
      </c>
      <c r="I109" t="s">
        <v>385</v>
      </c>
      <c r="J109" t="s">
        <v>386</v>
      </c>
      <c r="K109">
        <f>COUNTIF(iskola[[#This Row],[isknev]],iskola[[#This Row],[isknev]])</f>
        <v>1</v>
      </c>
    </row>
    <row r="110" spans="4:11" x14ac:dyDescent="0.25">
      <c r="D110" t="str">
        <f t="shared" si="3"/>
        <v>101508</v>
      </c>
      <c r="E110">
        <v>101508</v>
      </c>
      <c r="F110" t="s">
        <v>387</v>
      </c>
      <c r="G110" t="s">
        <v>388</v>
      </c>
      <c r="I110" t="s">
        <v>148</v>
      </c>
      <c r="J110" t="s">
        <v>148</v>
      </c>
      <c r="K110">
        <f>COUNTIF(iskola[[#This Row],[isknev]],iskola[[#This Row],[isknev]])</f>
        <v>1</v>
      </c>
    </row>
    <row r="111" spans="4:11" x14ac:dyDescent="0.25">
      <c r="D111" t="str">
        <f t="shared" si="3"/>
        <v>032499</v>
      </c>
      <c r="E111">
        <v>32499</v>
      </c>
      <c r="F111" t="s">
        <v>389</v>
      </c>
      <c r="G111" t="s">
        <v>390</v>
      </c>
      <c r="I111" t="s">
        <v>148</v>
      </c>
      <c r="J111" t="s">
        <v>148</v>
      </c>
      <c r="K111">
        <f>COUNTIF(iskola[[#This Row],[isknev]],iskola[[#This Row],[isknev]])</f>
        <v>1</v>
      </c>
    </row>
    <row r="112" spans="4:11" x14ac:dyDescent="0.25">
      <c r="D112" t="str">
        <f t="shared" si="3"/>
        <v>035160</v>
      </c>
      <c r="E112">
        <v>35160</v>
      </c>
      <c r="F112" t="s">
        <v>391</v>
      </c>
      <c r="G112" t="s">
        <v>392</v>
      </c>
      <c r="I112" t="s">
        <v>393</v>
      </c>
      <c r="J112">
        <v>3612854248</v>
      </c>
      <c r="K112">
        <f>COUNTIF(iskola[[#This Row],[isknev]],iskola[[#This Row],[isknev]])</f>
        <v>1</v>
      </c>
    </row>
    <row r="113" spans="4:11" x14ac:dyDescent="0.25">
      <c r="D113" t="str">
        <f t="shared" si="3"/>
        <v>032443</v>
      </c>
      <c r="E113">
        <v>32443</v>
      </c>
      <c r="F113" t="s">
        <v>394</v>
      </c>
      <c r="G113" t="s">
        <v>395</v>
      </c>
      <c r="I113" t="s">
        <v>148</v>
      </c>
      <c r="J113" t="s">
        <v>148</v>
      </c>
      <c r="K113">
        <f>COUNTIF(iskola[[#This Row],[isknev]],iskola[[#This Row],[isknev]])</f>
        <v>1</v>
      </c>
    </row>
    <row r="114" spans="4:11" x14ac:dyDescent="0.25">
      <c r="D114" t="str">
        <f t="shared" si="3"/>
        <v>035154</v>
      </c>
      <c r="E114">
        <v>35154</v>
      </c>
      <c r="F114" t="s">
        <v>396</v>
      </c>
      <c r="G114" t="s">
        <v>397</v>
      </c>
      <c r="I114" t="s">
        <v>398</v>
      </c>
      <c r="J114" t="s">
        <v>399</v>
      </c>
      <c r="K114">
        <f>COUNTIF(iskola[[#This Row],[isknev]],iskola[[#This Row],[isknev]])</f>
        <v>1</v>
      </c>
    </row>
    <row r="115" spans="4:11" x14ac:dyDescent="0.25">
      <c r="D115" t="str">
        <f t="shared" si="3"/>
        <v>032462</v>
      </c>
      <c r="E115">
        <v>32462</v>
      </c>
      <c r="F115" t="s">
        <v>400</v>
      </c>
      <c r="G115" t="s">
        <v>401</v>
      </c>
      <c r="I115" t="s">
        <v>148</v>
      </c>
      <c r="J115" t="s">
        <v>148</v>
      </c>
      <c r="K115">
        <f>COUNTIF(iskola[[#This Row],[isknev]],iskola[[#This Row],[isknev]])</f>
        <v>1</v>
      </c>
    </row>
    <row r="116" spans="4:11" x14ac:dyDescent="0.25">
      <c r="D116" t="str">
        <f t="shared" si="3"/>
        <v>032395</v>
      </c>
      <c r="E116">
        <v>32395</v>
      </c>
      <c r="F116" t="s">
        <v>402</v>
      </c>
      <c r="G116" t="s">
        <v>403</v>
      </c>
      <c r="I116" t="s">
        <v>148</v>
      </c>
      <c r="J116" t="s">
        <v>148</v>
      </c>
      <c r="K116">
        <f>COUNTIF(iskola[[#This Row],[isknev]],iskola[[#This Row],[isknev]])</f>
        <v>1</v>
      </c>
    </row>
    <row r="117" spans="4:11" x14ac:dyDescent="0.25">
      <c r="D117" t="str">
        <f t="shared" si="3"/>
        <v>035123</v>
      </c>
      <c r="E117">
        <v>35123</v>
      </c>
      <c r="F117" t="s">
        <v>404</v>
      </c>
      <c r="G117" t="s">
        <v>319</v>
      </c>
      <c r="I117" t="s">
        <v>405</v>
      </c>
      <c r="J117" t="s">
        <v>406</v>
      </c>
      <c r="K117">
        <f>COUNTIF(iskola[[#This Row],[isknev]],iskola[[#This Row],[isknev]])</f>
        <v>1</v>
      </c>
    </row>
    <row r="118" spans="4:11" x14ac:dyDescent="0.25">
      <c r="D118" t="str">
        <f t="shared" si="3"/>
        <v>035124</v>
      </c>
      <c r="E118">
        <v>35124</v>
      </c>
      <c r="F118" t="s">
        <v>407</v>
      </c>
      <c r="G118" t="s">
        <v>408</v>
      </c>
      <c r="I118" t="s">
        <v>409</v>
      </c>
      <c r="J118" t="s">
        <v>410</v>
      </c>
      <c r="K118">
        <f>COUNTIF(iskola[[#This Row],[isknev]],iskola[[#This Row],[isknev]])</f>
        <v>1</v>
      </c>
    </row>
    <row r="119" spans="4:11" x14ac:dyDescent="0.25">
      <c r="D119" t="str">
        <f t="shared" si="3"/>
        <v>035150</v>
      </c>
      <c r="E119">
        <v>35150</v>
      </c>
      <c r="F119" t="s">
        <v>411</v>
      </c>
      <c r="G119" t="s">
        <v>412</v>
      </c>
      <c r="I119" t="s">
        <v>148</v>
      </c>
      <c r="J119" t="s">
        <v>148</v>
      </c>
      <c r="K119">
        <f>COUNTIF(iskola[[#This Row],[isknev]],iskola[[#This Row],[isknev]])</f>
        <v>1</v>
      </c>
    </row>
    <row r="120" spans="4:11" x14ac:dyDescent="0.25">
      <c r="D120" t="str">
        <f t="shared" si="3"/>
        <v>034984</v>
      </c>
      <c r="E120">
        <v>34984</v>
      </c>
      <c r="F120" t="s">
        <v>413</v>
      </c>
      <c r="G120" t="s">
        <v>414</v>
      </c>
      <c r="I120" t="s">
        <v>415</v>
      </c>
      <c r="J120" t="s">
        <v>416</v>
      </c>
      <c r="K120">
        <f>COUNTIF(iskola[[#This Row],[isknev]],iskola[[#This Row],[isknev]])</f>
        <v>1</v>
      </c>
    </row>
    <row r="121" spans="4:11" x14ac:dyDescent="0.25">
      <c r="D121" t="str">
        <f t="shared" si="3"/>
        <v>037740</v>
      </c>
      <c r="E121">
        <v>37740</v>
      </c>
      <c r="F121" t="s">
        <v>417</v>
      </c>
      <c r="G121" t="s">
        <v>418</v>
      </c>
      <c r="I121" t="s">
        <v>419</v>
      </c>
      <c r="J121" t="s">
        <v>420</v>
      </c>
      <c r="K121">
        <f>COUNTIF(iskola[[#This Row],[isknev]],iskola[[#This Row],[isknev]])</f>
        <v>1</v>
      </c>
    </row>
    <row r="122" spans="4:11" x14ac:dyDescent="0.25">
      <c r="D122" t="str">
        <f t="shared" si="3"/>
        <v>035149</v>
      </c>
      <c r="E122">
        <v>35149</v>
      </c>
      <c r="F122" t="s">
        <v>421</v>
      </c>
      <c r="G122" t="s">
        <v>422</v>
      </c>
      <c r="I122" t="s">
        <v>148</v>
      </c>
      <c r="J122" t="s">
        <v>148</v>
      </c>
      <c r="K122">
        <f>COUNTIF(iskola[[#This Row],[isknev]],iskola[[#This Row],[isknev]])</f>
        <v>1</v>
      </c>
    </row>
    <row r="123" spans="4:11" x14ac:dyDescent="0.25">
      <c r="D123" t="str">
        <f t="shared" si="3"/>
        <v>035139</v>
      </c>
      <c r="E123">
        <v>35139</v>
      </c>
      <c r="F123" t="s">
        <v>423</v>
      </c>
      <c r="G123" t="s">
        <v>424</v>
      </c>
      <c r="I123" t="s">
        <v>148</v>
      </c>
      <c r="J123" t="s">
        <v>148</v>
      </c>
      <c r="K123">
        <f>COUNTIF(iskola[[#This Row],[isknev]],iskola[[#This Row],[isknev]])</f>
        <v>1</v>
      </c>
    </row>
    <row r="124" spans="4:11" x14ac:dyDescent="0.25">
      <c r="D124" t="str">
        <f t="shared" si="3"/>
        <v>035142</v>
      </c>
      <c r="E124">
        <v>35142</v>
      </c>
      <c r="F124" t="s">
        <v>425</v>
      </c>
      <c r="G124" t="s">
        <v>426</v>
      </c>
      <c r="I124" t="s">
        <v>427</v>
      </c>
      <c r="J124" t="s">
        <v>428</v>
      </c>
      <c r="K124">
        <f>COUNTIF(iskola[[#This Row],[isknev]],iskola[[#This Row],[isknev]])</f>
        <v>1</v>
      </c>
    </row>
    <row r="125" spans="4:11" x14ac:dyDescent="0.25">
      <c r="D125" t="str">
        <f t="shared" si="3"/>
        <v>035143</v>
      </c>
      <c r="E125">
        <v>35143</v>
      </c>
      <c r="F125" t="s">
        <v>429</v>
      </c>
      <c r="G125" t="s">
        <v>430</v>
      </c>
      <c r="I125" s="3" t="s">
        <v>431</v>
      </c>
      <c r="J125">
        <v>612829997</v>
      </c>
      <c r="K125">
        <f>COUNTIF(iskola[[#This Row],[isknev]],iskola[[#This Row],[isknev]])</f>
        <v>1</v>
      </c>
    </row>
    <row r="126" spans="4:11" x14ac:dyDescent="0.25">
      <c r="D126" t="str">
        <f t="shared" si="3"/>
        <v>035416</v>
      </c>
      <c r="E126">
        <v>35416</v>
      </c>
      <c r="F126" t="s">
        <v>432</v>
      </c>
      <c r="G126" t="s">
        <v>433</v>
      </c>
      <c r="I126" t="s">
        <v>148</v>
      </c>
      <c r="J126" t="s">
        <v>148</v>
      </c>
      <c r="K126">
        <f>COUNTIF(iskola[[#This Row],[isknev]],iskola[[#This Row],[isknev]])</f>
        <v>1</v>
      </c>
    </row>
    <row r="127" spans="4:11" x14ac:dyDescent="0.25">
      <c r="D127" t="str">
        <f t="shared" si="3"/>
        <v>035148</v>
      </c>
      <c r="E127">
        <v>35148</v>
      </c>
      <c r="F127" t="s">
        <v>434</v>
      </c>
      <c r="G127" t="s">
        <v>435</v>
      </c>
      <c r="I127" t="s">
        <v>148</v>
      </c>
      <c r="J127" t="s">
        <v>148</v>
      </c>
      <c r="K127">
        <f>COUNTIF(iskola[[#This Row],[isknev]],iskola[[#This Row],[isknev]])</f>
        <v>1</v>
      </c>
    </row>
    <row r="128" spans="4:11" x14ac:dyDescent="0.25">
      <c r="D128" t="str">
        <f t="shared" si="3"/>
        <v>035327</v>
      </c>
      <c r="E128">
        <v>35327</v>
      </c>
      <c r="F128" t="s">
        <v>436</v>
      </c>
      <c r="G128" t="s">
        <v>437</v>
      </c>
      <c r="I128" t="s">
        <v>438</v>
      </c>
      <c r="J128" t="s">
        <v>439</v>
      </c>
      <c r="K128">
        <f>COUNTIF(iskola[[#This Row],[isknev]],iskola[[#This Row],[isknev]])</f>
        <v>1</v>
      </c>
    </row>
    <row r="129" spans="4:11" x14ac:dyDescent="0.25">
      <c r="D129" t="str">
        <f t="shared" si="3"/>
        <v>035360</v>
      </c>
      <c r="E129">
        <v>35360</v>
      </c>
      <c r="F129" t="s">
        <v>440</v>
      </c>
      <c r="G129" t="s">
        <v>441</v>
      </c>
      <c r="I129" t="s">
        <v>148</v>
      </c>
      <c r="J129" t="s">
        <v>148</v>
      </c>
      <c r="K129">
        <f>COUNTIF(iskola[[#This Row],[isknev]],iskola[[#This Row],[isknev]])</f>
        <v>1</v>
      </c>
    </row>
    <row r="130" spans="4:11" x14ac:dyDescent="0.25">
      <c r="D130" t="str">
        <f t="shared" si="3"/>
        <v>035307</v>
      </c>
      <c r="E130">
        <v>35307</v>
      </c>
      <c r="F130" t="s">
        <v>442</v>
      </c>
      <c r="G130" t="s">
        <v>443</v>
      </c>
      <c r="I130" t="s">
        <v>148</v>
      </c>
      <c r="J130" t="s">
        <v>148</v>
      </c>
      <c r="K130">
        <f>COUNTIF(iskola[[#This Row],[isknev]],iskola[[#This Row],[isknev]])</f>
        <v>1</v>
      </c>
    </row>
    <row r="131" spans="4:11" x14ac:dyDescent="0.25">
      <c r="D131" t="str">
        <f t="shared" si="3"/>
        <v>035201</v>
      </c>
      <c r="E131">
        <v>35201</v>
      </c>
      <c r="F131" t="s">
        <v>444</v>
      </c>
      <c r="G131" t="s">
        <v>445</v>
      </c>
      <c r="I131" t="s">
        <v>148</v>
      </c>
      <c r="J131" t="s">
        <v>148</v>
      </c>
      <c r="K131">
        <f>COUNTIF(iskola[[#This Row],[isknev]],iskola[[#This Row],[isknev]])</f>
        <v>1</v>
      </c>
    </row>
    <row r="132" spans="4:11" x14ac:dyDescent="0.25">
      <c r="D132" t="str">
        <f t="shared" ref="D132:D163" si="4">TEXT(E132,"000000")</f>
        <v>203332</v>
      </c>
      <c r="E132">
        <v>203332</v>
      </c>
      <c r="F132" t="s">
        <v>446</v>
      </c>
      <c r="G132" t="s">
        <v>447</v>
      </c>
      <c r="I132" t="s">
        <v>448</v>
      </c>
      <c r="J132" t="s">
        <v>449</v>
      </c>
      <c r="K132">
        <f>COUNTIF(iskola[[#This Row],[isknev]],iskola[[#This Row],[isknev]])</f>
        <v>1</v>
      </c>
    </row>
    <row r="133" spans="4:11" x14ac:dyDescent="0.25">
      <c r="D133" t="str">
        <f t="shared" si="4"/>
        <v>034952</v>
      </c>
      <c r="E133">
        <v>34952</v>
      </c>
      <c r="F133" t="s">
        <v>450</v>
      </c>
      <c r="G133" t="s">
        <v>451</v>
      </c>
      <c r="I133" t="s">
        <v>148</v>
      </c>
      <c r="J133" t="s">
        <v>148</v>
      </c>
      <c r="K133">
        <f>COUNTIF(iskola[[#This Row],[isknev]],iskola[[#This Row],[isknev]])</f>
        <v>1</v>
      </c>
    </row>
    <row r="134" spans="4:11" x14ac:dyDescent="0.25">
      <c r="D134" t="str">
        <f t="shared" si="4"/>
        <v>034959</v>
      </c>
      <c r="E134">
        <v>34959</v>
      </c>
      <c r="F134" t="s">
        <v>452</v>
      </c>
      <c r="G134" t="s">
        <v>453</v>
      </c>
      <c r="I134" t="s">
        <v>148</v>
      </c>
      <c r="J134" t="s">
        <v>148</v>
      </c>
      <c r="K134">
        <f>COUNTIF(iskola[[#This Row],[isknev]],iskola[[#This Row],[isknev]])</f>
        <v>1</v>
      </c>
    </row>
    <row r="135" spans="4:11" x14ac:dyDescent="0.25">
      <c r="D135" t="str">
        <f t="shared" si="4"/>
        <v>034966</v>
      </c>
      <c r="E135">
        <v>34966</v>
      </c>
      <c r="F135" t="s">
        <v>454</v>
      </c>
      <c r="G135" t="s">
        <v>455</v>
      </c>
      <c r="I135" t="s">
        <v>148</v>
      </c>
      <c r="J135" t="s">
        <v>148</v>
      </c>
      <c r="K135">
        <f>COUNTIF(iskola[[#This Row],[isknev]],iskola[[#This Row],[isknev]])</f>
        <v>1</v>
      </c>
    </row>
    <row r="136" spans="4:11" x14ac:dyDescent="0.25">
      <c r="D136" t="str">
        <f t="shared" si="4"/>
        <v>034962</v>
      </c>
      <c r="E136">
        <v>34962</v>
      </c>
      <c r="F136" t="s">
        <v>456</v>
      </c>
      <c r="G136" t="s">
        <v>457</v>
      </c>
      <c r="I136" t="s">
        <v>148</v>
      </c>
      <c r="J136" t="s">
        <v>148</v>
      </c>
      <c r="K136">
        <f>COUNTIF(iskola[[#This Row],[isknev]],iskola[[#This Row],[isknev]])</f>
        <v>1</v>
      </c>
    </row>
    <row r="137" spans="4:11" x14ac:dyDescent="0.25">
      <c r="D137" t="str">
        <f t="shared" si="4"/>
        <v>203434</v>
      </c>
      <c r="E137">
        <v>203434</v>
      </c>
      <c r="F137" t="s">
        <v>458</v>
      </c>
      <c r="G137" t="s">
        <v>459</v>
      </c>
      <c r="I137" t="s">
        <v>460</v>
      </c>
      <c r="J137">
        <v>6704023403</v>
      </c>
      <c r="K137">
        <f>COUNTIF(iskola[[#This Row],[isknev]],iskola[[#This Row],[isknev]])</f>
        <v>1</v>
      </c>
    </row>
    <row r="138" spans="4:11" x14ac:dyDescent="0.25">
      <c r="D138" t="str">
        <f t="shared" si="4"/>
        <v>201037</v>
      </c>
      <c r="E138">
        <v>201037</v>
      </c>
      <c r="F138" t="s">
        <v>461</v>
      </c>
      <c r="G138" t="s">
        <v>462</v>
      </c>
      <c r="I138" t="s">
        <v>463</v>
      </c>
      <c r="J138" t="s">
        <v>464</v>
      </c>
      <c r="K138">
        <f>COUNTIF(iskola[[#This Row],[isknev]],iskola[[#This Row],[isknev]])</f>
        <v>1</v>
      </c>
    </row>
    <row r="139" spans="4:11" x14ac:dyDescent="0.25">
      <c r="D139" t="str">
        <f t="shared" si="4"/>
        <v>201263</v>
      </c>
      <c r="E139">
        <v>201263</v>
      </c>
      <c r="F139" t="s">
        <v>465</v>
      </c>
      <c r="G139" t="s">
        <v>466</v>
      </c>
      <c r="I139" t="s">
        <v>467</v>
      </c>
      <c r="J139" t="s">
        <v>468</v>
      </c>
      <c r="K139">
        <f>COUNTIF(iskola[[#This Row],[isknev]],iskola[[#This Row],[isknev]])</f>
        <v>1</v>
      </c>
    </row>
    <row r="140" spans="4:11" x14ac:dyDescent="0.25">
      <c r="D140" t="str">
        <f t="shared" si="4"/>
        <v>034905</v>
      </c>
      <c r="E140">
        <v>34905</v>
      </c>
      <c r="F140" t="s">
        <v>469</v>
      </c>
      <c r="G140" t="s">
        <v>470</v>
      </c>
      <c r="I140" t="s">
        <v>148</v>
      </c>
      <c r="J140" t="s">
        <v>148</v>
      </c>
      <c r="K140">
        <f>COUNTIF(iskola[[#This Row],[isknev]],iskola[[#This Row],[isknev]])</f>
        <v>1</v>
      </c>
    </row>
    <row r="141" spans="4:11" x14ac:dyDescent="0.25">
      <c r="D141" t="str">
        <f t="shared" si="4"/>
        <v>034791</v>
      </c>
      <c r="E141">
        <v>34791</v>
      </c>
      <c r="F141" t="s">
        <v>471</v>
      </c>
      <c r="G141" t="s">
        <v>472</v>
      </c>
      <c r="I141" t="s">
        <v>473</v>
      </c>
      <c r="J141" t="s">
        <v>474</v>
      </c>
      <c r="K141">
        <f>COUNTIF(iskola[[#This Row],[isknev]],iskola[[#This Row],[isknev]])</f>
        <v>1</v>
      </c>
    </row>
    <row r="142" spans="4:11" x14ac:dyDescent="0.25">
      <c r="D142" t="str">
        <f t="shared" si="4"/>
        <v>200444</v>
      </c>
      <c r="E142">
        <v>200444</v>
      </c>
      <c r="F142" t="s">
        <v>475</v>
      </c>
      <c r="G142" t="s">
        <v>476</v>
      </c>
      <c r="I142" t="s">
        <v>148</v>
      </c>
      <c r="J142" t="s">
        <v>148</v>
      </c>
      <c r="K142">
        <f>COUNTIF(iskola[[#This Row],[isknev]],iskola[[#This Row],[isknev]])</f>
        <v>1</v>
      </c>
    </row>
    <row r="143" spans="4:11" x14ac:dyDescent="0.25">
      <c r="D143" t="str">
        <f t="shared" si="4"/>
        <v>037326</v>
      </c>
      <c r="E143">
        <v>37326</v>
      </c>
      <c r="F143" t="s">
        <v>477</v>
      </c>
      <c r="G143" t="s">
        <v>478</v>
      </c>
      <c r="I143" t="s">
        <v>479</v>
      </c>
      <c r="J143" t="s">
        <v>480</v>
      </c>
      <c r="K143">
        <f>COUNTIF(iskola[[#This Row],[isknev]],iskola[[#This Row],[isknev]])</f>
        <v>1</v>
      </c>
    </row>
    <row r="144" spans="4:11" x14ac:dyDescent="0.25">
      <c r="D144" t="str">
        <f t="shared" si="4"/>
        <v>910020</v>
      </c>
      <c r="E144">
        <v>910020</v>
      </c>
      <c r="F144" t="s">
        <v>481</v>
      </c>
      <c r="G144" t="s">
        <v>482</v>
      </c>
      <c r="I144" t="s">
        <v>148</v>
      </c>
      <c r="J144" t="s">
        <v>148</v>
      </c>
      <c r="K144">
        <f>COUNTIF(iskola[[#This Row],[isknev]],iskola[[#This Row],[isknev]])</f>
        <v>1</v>
      </c>
    </row>
    <row r="145" spans="4:11" x14ac:dyDescent="0.25">
      <c r="D145" t="str">
        <f t="shared" si="4"/>
        <v>037744</v>
      </c>
      <c r="E145">
        <v>37744</v>
      </c>
      <c r="F145" t="s">
        <v>483</v>
      </c>
      <c r="G145" t="s">
        <v>484</v>
      </c>
      <c r="I145" t="s">
        <v>485</v>
      </c>
      <c r="J145" t="s">
        <v>486</v>
      </c>
      <c r="K145">
        <f>COUNTIF(iskola[[#This Row],[isknev]],iskola[[#This Row],[isknev]])</f>
        <v>1</v>
      </c>
    </row>
    <row r="146" spans="4:11" x14ac:dyDescent="0.25">
      <c r="D146" t="str">
        <f t="shared" si="4"/>
        <v>201806</v>
      </c>
      <c r="E146">
        <v>201806</v>
      </c>
      <c r="F146" t="s">
        <v>487</v>
      </c>
      <c r="G146" t="s">
        <v>488</v>
      </c>
      <c r="I146" t="s">
        <v>148</v>
      </c>
      <c r="J146" t="s">
        <v>148</v>
      </c>
      <c r="K146">
        <f>COUNTIF(iskola[[#This Row],[isknev]],iskola[[#This Row],[isknev]])</f>
        <v>1</v>
      </c>
    </row>
    <row r="147" spans="4:11" x14ac:dyDescent="0.25">
      <c r="D147" t="str">
        <f t="shared" si="4"/>
        <v>034936</v>
      </c>
      <c r="E147">
        <v>34936</v>
      </c>
      <c r="F147" t="s">
        <v>489</v>
      </c>
      <c r="G147" t="s">
        <v>490</v>
      </c>
      <c r="I147" t="s">
        <v>148</v>
      </c>
      <c r="J147" t="s">
        <v>148</v>
      </c>
      <c r="K147">
        <f>COUNTIF(iskola[[#This Row],[isknev]],iskola[[#This Row],[isknev]])</f>
        <v>1</v>
      </c>
    </row>
    <row r="148" spans="4:11" x14ac:dyDescent="0.25">
      <c r="D148" t="str">
        <f t="shared" si="4"/>
        <v>037757</v>
      </c>
      <c r="E148">
        <v>37757</v>
      </c>
      <c r="F148" t="s">
        <v>491</v>
      </c>
      <c r="G148" t="s">
        <v>492</v>
      </c>
      <c r="I148" t="s">
        <v>493</v>
      </c>
      <c r="J148" t="s">
        <v>494</v>
      </c>
      <c r="K148">
        <f>COUNTIF(iskola[[#This Row],[isknev]],iskola[[#This Row],[isknev]])</f>
        <v>1</v>
      </c>
    </row>
    <row r="149" spans="4:11" x14ac:dyDescent="0.25">
      <c r="D149" t="str">
        <f t="shared" si="4"/>
        <v>032446</v>
      </c>
      <c r="E149">
        <v>32446</v>
      </c>
      <c r="F149" t="s">
        <v>495</v>
      </c>
      <c r="G149" t="s">
        <v>496</v>
      </c>
      <c r="I149" t="s">
        <v>497</v>
      </c>
      <c r="J149" t="s">
        <v>498</v>
      </c>
      <c r="K149">
        <f>COUNTIF(iskola[[#This Row],[isknev]],iskola[[#This Row],[isknev]])</f>
        <v>1</v>
      </c>
    </row>
    <row r="150" spans="4:11" x14ac:dyDescent="0.25">
      <c r="D150" t="str">
        <f t="shared" si="4"/>
        <v>035004</v>
      </c>
      <c r="E150">
        <v>35004</v>
      </c>
      <c r="F150" t="s">
        <v>499</v>
      </c>
      <c r="G150" t="s">
        <v>500</v>
      </c>
      <c r="I150" t="s">
        <v>501</v>
      </c>
      <c r="J150" t="s">
        <v>502</v>
      </c>
      <c r="K150">
        <f>COUNTIF(iskola[[#This Row],[isknev]],iskola[[#This Row],[isknev]])</f>
        <v>1</v>
      </c>
    </row>
    <row r="151" spans="4:11" x14ac:dyDescent="0.25">
      <c r="D151" t="str">
        <f t="shared" si="4"/>
        <v>031148</v>
      </c>
      <c r="E151">
        <v>31148</v>
      </c>
      <c r="F151" t="s">
        <v>503</v>
      </c>
      <c r="G151" t="s">
        <v>504</v>
      </c>
      <c r="I151" t="s">
        <v>505</v>
      </c>
      <c r="J151" t="s">
        <v>506</v>
      </c>
      <c r="K151">
        <f>COUNTIF(iskola[[#This Row],[isknev]],iskola[[#This Row],[isknev]])</f>
        <v>1</v>
      </c>
    </row>
    <row r="152" spans="4:11" x14ac:dyDescent="0.25">
      <c r="D152" t="str">
        <f t="shared" si="4"/>
        <v>034833</v>
      </c>
      <c r="E152">
        <v>34833</v>
      </c>
      <c r="F152" t="s">
        <v>507</v>
      </c>
      <c r="G152" t="s">
        <v>508</v>
      </c>
      <c r="I152" t="s">
        <v>509</v>
      </c>
      <c r="J152" t="s">
        <v>510</v>
      </c>
      <c r="K152">
        <f>COUNTIF(iskola[[#This Row],[isknev]],iskola[[#This Row],[isknev]])</f>
        <v>1</v>
      </c>
    </row>
    <row r="153" spans="4:11" x14ac:dyDescent="0.25">
      <c r="D153" t="str">
        <f t="shared" si="4"/>
        <v>034830</v>
      </c>
      <c r="E153">
        <v>34830</v>
      </c>
      <c r="F153" t="s">
        <v>511</v>
      </c>
      <c r="G153" t="s">
        <v>512</v>
      </c>
      <c r="I153" t="s">
        <v>148</v>
      </c>
      <c r="J153" t="s">
        <v>148</v>
      </c>
      <c r="K153">
        <f>COUNTIF(iskola[[#This Row],[isknev]],iskola[[#This Row],[isknev]])</f>
        <v>1</v>
      </c>
    </row>
    <row r="154" spans="4:11" x14ac:dyDescent="0.25">
      <c r="D154" t="str">
        <f t="shared" si="4"/>
        <v>034838</v>
      </c>
      <c r="E154">
        <v>34838</v>
      </c>
      <c r="F154" t="s">
        <v>513</v>
      </c>
      <c r="G154" t="s">
        <v>514</v>
      </c>
      <c r="I154" t="s">
        <v>515</v>
      </c>
      <c r="J154" t="s">
        <v>516</v>
      </c>
      <c r="K154">
        <f>COUNTIF(iskola[[#This Row],[isknev]],iskola[[#This Row],[isknev]])</f>
        <v>1</v>
      </c>
    </row>
    <row r="155" spans="4:11" x14ac:dyDescent="0.25">
      <c r="D155" t="str">
        <f t="shared" si="4"/>
        <v>200783</v>
      </c>
      <c r="E155">
        <v>200783</v>
      </c>
      <c r="F155" t="s">
        <v>517</v>
      </c>
      <c r="G155" t="s">
        <v>518</v>
      </c>
      <c r="I155" t="s">
        <v>148</v>
      </c>
      <c r="J155" t="s">
        <v>148</v>
      </c>
      <c r="K155">
        <f>COUNTIF(iskola[[#This Row],[isknev]],iskola[[#This Row],[isknev]])</f>
        <v>1</v>
      </c>
    </row>
    <row r="156" spans="4:11" x14ac:dyDescent="0.25">
      <c r="D156" t="str">
        <f t="shared" si="4"/>
        <v>035016</v>
      </c>
      <c r="E156">
        <v>35016</v>
      </c>
      <c r="F156" t="s">
        <v>519</v>
      </c>
      <c r="G156" t="s">
        <v>520</v>
      </c>
      <c r="I156" t="s">
        <v>148</v>
      </c>
      <c r="J156" t="s">
        <v>148</v>
      </c>
      <c r="K156">
        <f>COUNTIF(iskola[[#This Row],[isknev]],iskola[[#This Row],[isknev]])</f>
        <v>1</v>
      </c>
    </row>
    <row r="157" spans="4:11" x14ac:dyDescent="0.25">
      <c r="D157" t="str">
        <f t="shared" si="4"/>
        <v>035310</v>
      </c>
      <c r="E157">
        <v>35310</v>
      </c>
      <c r="F157" t="s">
        <v>521</v>
      </c>
      <c r="G157" t="s">
        <v>522</v>
      </c>
      <c r="I157" t="s">
        <v>148</v>
      </c>
      <c r="J157" t="s">
        <v>148</v>
      </c>
      <c r="K157">
        <f>COUNTIF(iskola[[#This Row],[isknev]],iskola[[#This Row],[isknev]])</f>
        <v>1</v>
      </c>
    </row>
    <row r="158" spans="4:11" x14ac:dyDescent="0.25">
      <c r="D158" t="str">
        <f t="shared" si="4"/>
        <v>035348</v>
      </c>
      <c r="E158">
        <v>35348</v>
      </c>
      <c r="F158" t="s">
        <v>523</v>
      </c>
      <c r="G158" t="s">
        <v>524</v>
      </c>
      <c r="I158" t="s">
        <v>525</v>
      </c>
      <c r="J158" t="s">
        <v>526</v>
      </c>
      <c r="K158">
        <f>COUNTIF(iskola[[#This Row],[isknev]],iskola[[#This Row],[isknev]])</f>
        <v>1</v>
      </c>
    </row>
    <row r="159" spans="4:11" x14ac:dyDescent="0.25">
      <c r="D159" t="str">
        <f t="shared" si="4"/>
        <v>035260</v>
      </c>
      <c r="E159">
        <v>35260</v>
      </c>
      <c r="F159" t="s">
        <v>527</v>
      </c>
      <c r="G159" t="s">
        <v>528</v>
      </c>
      <c r="I159" t="s">
        <v>148</v>
      </c>
      <c r="J159" t="s">
        <v>148</v>
      </c>
      <c r="K159">
        <f>COUNTIF(iskola[[#This Row],[isknev]],iskola[[#This Row],[isknev]])</f>
        <v>1</v>
      </c>
    </row>
    <row r="160" spans="4:11" x14ac:dyDescent="0.25">
      <c r="D160" t="str">
        <f t="shared" si="4"/>
        <v>035132</v>
      </c>
      <c r="E160">
        <v>35132</v>
      </c>
      <c r="F160" t="s">
        <v>529</v>
      </c>
      <c r="G160" t="s">
        <v>530</v>
      </c>
      <c r="I160" s="3" t="s">
        <v>531</v>
      </c>
      <c r="J160" t="s">
        <v>532</v>
      </c>
      <c r="K160">
        <f>COUNTIF(iskola[[#This Row],[isknev]],iskola[[#This Row],[isknev]])</f>
        <v>1</v>
      </c>
    </row>
    <row r="161" spans="4:11" x14ac:dyDescent="0.25">
      <c r="D161" t="str">
        <f t="shared" si="4"/>
        <v>032457</v>
      </c>
      <c r="E161">
        <v>32457</v>
      </c>
      <c r="F161" t="s">
        <v>533</v>
      </c>
      <c r="G161" t="s">
        <v>534</v>
      </c>
      <c r="I161" t="s">
        <v>148</v>
      </c>
      <c r="J161" t="s">
        <v>148</v>
      </c>
      <c r="K161">
        <f>COUNTIF(iskola[[#This Row],[isknev]],iskola[[#This Row],[isknev]])</f>
        <v>1</v>
      </c>
    </row>
    <row r="162" spans="4:11" x14ac:dyDescent="0.25">
      <c r="D162" t="str">
        <f t="shared" si="4"/>
        <v>032465</v>
      </c>
      <c r="E162">
        <v>32465</v>
      </c>
      <c r="F162" t="s">
        <v>535</v>
      </c>
      <c r="G162" t="s">
        <v>536</v>
      </c>
      <c r="I162" t="s">
        <v>148</v>
      </c>
      <c r="J162" t="s">
        <v>148</v>
      </c>
      <c r="K162">
        <f>COUNTIF(iskola[[#This Row],[isknev]],iskola[[#This Row],[isknev]])</f>
        <v>1</v>
      </c>
    </row>
    <row r="163" spans="4:11" x14ac:dyDescent="0.25">
      <c r="D163" t="str">
        <f t="shared" si="4"/>
        <v>102945</v>
      </c>
      <c r="E163">
        <v>102945</v>
      </c>
      <c r="F163" t="s">
        <v>537</v>
      </c>
      <c r="G163" t="s">
        <v>538</v>
      </c>
      <c r="I163" t="s">
        <v>539</v>
      </c>
      <c r="J163" t="s">
        <v>540</v>
      </c>
      <c r="K163">
        <f>COUNTIF(iskola[[#This Row],[isknev]],iskola[[#This Row],[isknev]])</f>
        <v>1</v>
      </c>
    </row>
    <row r="164" spans="4:11" x14ac:dyDescent="0.25">
      <c r="D164" t="str">
        <f t="shared" ref="D164:D195" si="5">TEXT(E164,"000000")</f>
        <v>200800</v>
      </c>
      <c r="E164">
        <v>200800</v>
      </c>
      <c r="F164" t="s">
        <v>541</v>
      </c>
      <c r="G164" t="s">
        <v>542</v>
      </c>
      <c r="I164" t="s">
        <v>543</v>
      </c>
      <c r="J164" t="s">
        <v>544</v>
      </c>
      <c r="K164">
        <f>COUNTIF(iskola[[#This Row],[isknev]],iskola[[#This Row],[isknev]])</f>
        <v>1</v>
      </c>
    </row>
    <row r="165" spans="4:11" x14ac:dyDescent="0.25">
      <c r="D165" t="str">
        <f t="shared" si="5"/>
        <v>102587</v>
      </c>
      <c r="E165">
        <v>102587</v>
      </c>
      <c r="F165" t="s">
        <v>545</v>
      </c>
      <c r="G165" t="s">
        <v>546</v>
      </c>
      <c r="I165" t="s">
        <v>148</v>
      </c>
      <c r="J165" t="s">
        <v>148</v>
      </c>
      <c r="K165">
        <f>COUNTIF(iskola[[#This Row],[isknev]],iskola[[#This Row],[isknev]])</f>
        <v>1</v>
      </c>
    </row>
    <row r="166" spans="4:11" x14ac:dyDescent="0.25">
      <c r="D166" t="str">
        <f t="shared" si="5"/>
        <v>034800</v>
      </c>
      <c r="E166">
        <v>34800</v>
      </c>
      <c r="F166" t="s">
        <v>547</v>
      </c>
      <c r="G166" t="s">
        <v>548</v>
      </c>
      <c r="I166" t="s">
        <v>148</v>
      </c>
      <c r="J166" t="s">
        <v>148</v>
      </c>
      <c r="K166">
        <f>COUNTIF(iskola[[#This Row],[isknev]],iskola[[#This Row],[isknev]])</f>
        <v>1</v>
      </c>
    </row>
    <row r="167" spans="4:11" x14ac:dyDescent="0.25">
      <c r="D167" t="str">
        <f t="shared" si="5"/>
        <v>201824</v>
      </c>
      <c r="E167">
        <v>201824</v>
      </c>
      <c r="F167" t="s">
        <v>549</v>
      </c>
      <c r="G167" t="s">
        <v>550</v>
      </c>
      <c r="I167" t="s">
        <v>148</v>
      </c>
      <c r="J167" t="s">
        <v>148</v>
      </c>
      <c r="K167">
        <f>COUNTIF(iskola[[#This Row],[isknev]],iskola[[#This Row],[isknev]])</f>
        <v>1</v>
      </c>
    </row>
    <row r="168" spans="4:11" x14ac:dyDescent="0.25">
      <c r="D168" t="str">
        <f t="shared" si="5"/>
        <v>034810</v>
      </c>
      <c r="E168">
        <v>34810</v>
      </c>
      <c r="F168" t="s">
        <v>551</v>
      </c>
      <c r="G168" t="s">
        <v>552</v>
      </c>
      <c r="I168" t="s">
        <v>553</v>
      </c>
      <c r="J168" t="s">
        <v>554</v>
      </c>
      <c r="K168">
        <f>COUNTIF(iskola[[#This Row],[isknev]],iskola[[#This Row],[isknev]])</f>
        <v>1</v>
      </c>
    </row>
    <row r="169" spans="4:11" x14ac:dyDescent="0.25">
      <c r="D169" t="str">
        <f t="shared" si="5"/>
        <v>035200</v>
      </c>
      <c r="E169">
        <v>35200</v>
      </c>
      <c r="F169" t="s">
        <v>555</v>
      </c>
      <c r="G169" t="s">
        <v>556</v>
      </c>
      <c r="I169" t="s">
        <v>148</v>
      </c>
      <c r="J169" t="s">
        <v>148</v>
      </c>
      <c r="K169">
        <f>COUNTIF(iskola[[#This Row],[isknev]],iskola[[#This Row],[isknev]])</f>
        <v>1</v>
      </c>
    </row>
    <row r="170" spans="4:11" x14ac:dyDescent="0.25">
      <c r="D170" t="str">
        <f t="shared" si="5"/>
        <v>035289</v>
      </c>
      <c r="E170">
        <v>35289</v>
      </c>
      <c r="F170" t="s">
        <v>557</v>
      </c>
      <c r="G170" t="s">
        <v>558</v>
      </c>
      <c r="I170" t="s">
        <v>559</v>
      </c>
      <c r="J170" t="s">
        <v>560</v>
      </c>
      <c r="K170">
        <f>COUNTIF(iskola[[#This Row],[isknev]],iskola[[#This Row],[isknev]])</f>
        <v>1</v>
      </c>
    </row>
    <row r="171" spans="4:11" x14ac:dyDescent="0.25">
      <c r="D171" t="str">
        <f t="shared" si="5"/>
        <v>064329</v>
      </c>
      <c r="E171">
        <v>64329</v>
      </c>
      <c r="F171" t="s">
        <v>561</v>
      </c>
      <c r="G171" t="s">
        <v>562</v>
      </c>
      <c r="I171" t="s">
        <v>148</v>
      </c>
      <c r="J171" t="s">
        <v>148</v>
      </c>
      <c r="K171">
        <f>COUNTIF(iskola[[#This Row],[isknev]],iskola[[#This Row],[isknev]])</f>
        <v>1</v>
      </c>
    </row>
    <row r="172" spans="4:11" x14ac:dyDescent="0.25">
      <c r="D172" t="str">
        <f t="shared" si="5"/>
        <v>032454</v>
      </c>
      <c r="E172">
        <v>32454</v>
      </c>
      <c r="F172" t="s">
        <v>563</v>
      </c>
      <c r="G172" t="s">
        <v>564</v>
      </c>
      <c r="I172" t="s">
        <v>565</v>
      </c>
      <c r="J172" t="s">
        <v>566</v>
      </c>
      <c r="K172">
        <f>COUNTIF(iskola[[#This Row],[isknev]],iskola[[#This Row],[isknev]])</f>
        <v>1</v>
      </c>
    </row>
    <row r="173" spans="4:11" x14ac:dyDescent="0.25">
      <c r="D173" t="str">
        <f t="shared" si="5"/>
        <v>034999</v>
      </c>
      <c r="E173">
        <v>34999</v>
      </c>
      <c r="F173" t="s">
        <v>567</v>
      </c>
      <c r="G173" t="s">
        <v>568</v>
      </c>
      <c r="I173" t="s">
        <v>569</v>
      </c>
      <c r="J173" t="s">
        <v>570</v>
      </c>
      <c r="K173">
        <f>COUNTIF(iskola[[#This Row],[isknev]],iskola[[#This Row],[isknev]])</f>
        <v>1</v>
      </c>
    </row>
    <row r="174" spans="4:11" x14ac:dyDescent="0.25">
      <c r="D174" t="str">
        <f t="shared" si="5"/>
        <v>100565</v>
      </c>
      <c r="E174">
        <v>100565</v>
      </c>
      <c r="F174" t="s">
        <v>571</v>
      </c>
      <c r="G174" t="s">
        <v>572</v>
      </c>
      <c r="I174" t="s">
        <v>573</v>
      </c>
      <c r="J174" t="s">
        <v>574</v>
      </c>
      <c r="K174">
        <f>COUNTIF(iskola[[#This Row],[isknev]],iskola[[#This Row],[isknev]])</f>
        <v>1</v>
      </c>
    </row>
    <row r="175" spans="4:11" x14ac:dyDescent="0.25">
      <c r="D175" t="str">
        <f t="shared" si="5"/>
        <v>034796</v>
      </c>
      <c r="E175">
        <v>34796</v>
      </c>
      <c r="F175" t="s">
        <v>575</v>
      </c>
      <c r="G175" t="s">
        <v>576</v>
      </c>
      <c r="I175" t="s">
        <v>577</v>
      </c>
      <c r="J175" t="s">
        <v>578</v>
      </c>
      <c r="K175">
        <f>COUNTIF(iskola[[#This Row],[isknev]],iskola[[#This Row],[isknev]])</f>
        <v>1</v>
      </c>
    </row>
    <row r="176" spans="4:11" x14ac:dyDescent="0.25">
      <c r="D176" t="str">
        <f t="shared" si="5"/>
        <v>200702</v>
      </c>
      <c r="E176">
        <v>200702</v>
      </c>
      <c r="F176" t="s">
        <v>579</v>
      </c>
      <c r="G176" t="s">
        <v>580</v>
      </c>
      <c r="I176" t="s">
        <v>581</v>
      </c>
      <c r="J176" t="s">
        <v>582</v>
      </c>
      <c r="K176">
        <f>COUNTIF(iskola[[#This Row],[isknev]],iskola[[#This Row],[isknev]])</f>
        <v>1</v>
      </c>
    </row>
    <row r="177" spans="4:11" x14ac:dyDescent="0.25">
      <c r="D177" t="str">
        <f t="shared" si="5"/>
        <v>101464</v>
      </c>
      <c r="E177">
        <v>101464</v>
      </c>
      <c r="F177" t="s">
        <v>583</v>
      </c>
      <c r="G177" t="s">
        <v>584</v>
      </c>
      <c r="I177" t="s">
        <v>585</v>
      </c>
      <c r="J177" t="s">
        <v>586</v>
      </c>
      <c r="K177">
        <f>COUNTIF(iskola[[#This Row],[isknev]],iskola[[#This Row],[isknev]])</f>
        <v>1</v>
      </c>
    </row>
    <row r="178" spans="4:11" x14ac:dyDescent="0.25">
      <c r="D178" t="str">
        <f t="shared" si="5"/>
        <v>035076</v>
      </c>
      <c r="E178">
        <v>35076</v>
      </c>
      <c r="F178" t="s">
        <v>587</v>
      </c>
      <c r="G178" t="s">
        <v>588</v>
      </c>
      <c r="I178" t="s">
        <v>589</v>
      </c>
      <c r="J178" t="s">
        <v>590</v>
      </c>
      <c r="K178">
        <f>COUNTIF(iskola[[#This Row],[isknev]],iskola[[#This Row],[isknev]])</f>
        <v>1</v>
      </c>
    </row>
    <row r="179" spans="4:11" x14ac:dyDescent="0.25">
      <c r="D179" t="str">
        <f t="shared" si="5"/>
        <v>032580</v>
      </c>
      <c r="E179">
        <v>32580</v>
      </c>
      <c r="F179" t="s">
        <v>591</v>
      </c>
      <c r="G179" t="s">
        <v>592</v>
      </c>
      <c r="I179" t="s">
        <v>148</v>
      </c>
      <c r="J179" t="s">
        <v>148</v>
      </c>
      <c r="K179">
        <f>COUNTIF(iskola[[#This Row],[isknev]],iskola[[#This Row],[isknev]])</f>
        <v>1</v>
      </c>
    </row>
    <row r="180" spans="4:11" x14ac:dyDescent="0.25">
      <c r="D180" t="str">
        <f t="shared" si="5"/>
        <v>032408</v>
      </c>
      <c r="E180">
        <v>32408</v>
      </c>
      <c r="F180" t="s">
        <v>593</v>
      </c>
      <c r="G180" t="s">
        <v>594</v>
      </c>
      <c r="I180" t="s">
        <v>595</v>
      </c>
      <c r="J180" t="s">
        <v>596</v>
      </c>
      <c r="K180">
        <f>COUNTIF(iskola[[#This Row],[isknev]],iskola[[#This Row],[isknev]])</f>
        <v>1</v>
      </c>
    </row>
    <row r="181" spans="4:11" x14ac:dyDescent="0.25">
      <c r="D181" t="str">
        <f t="shared" si="5"/>
        <v>035288</v>
      </c>
      <c r="E181">
        <v>35288</v>
      </c>
      <c r="F181" t="s">
        <v>597</v>
      </c>
      <c r="G181" t="s">
        <v>598</v>
      </c>
      <c r="I181" t="s">
        <v>599</v>
      </c>
      <c r="J181" t="s">
        <v>600</v>
      </c>
      <c r="K181">
        <f>COUNTIF(iskola[[#This Row],[isknev]],iskola[[#This Row],[isknev]])</f>
        <v>1</v>
      </c>
    </row>
    <row r="182" spans="4:11" x14ac:dyDescent="0.25">
      <c r="D182" t="str">
        <f t="shared" si="5"/>
        <v>037726</v>
      </c>
      <c r="E182">
        <v>37726</v>
      </c>
      <c r="F182" t="s">
        <v>601</v>
      </c>
      <c r="G182" t="s">
        <v>602</v>
      </c>
      <c r="I182" t="s">
        <v>603</v>
      </c>
      <c r="J182" t="s">
        <v>604</v>
      </c>
      <c r="K182">
        <f>COUNTIF(iskola[[#This Row],[isknev]],iskola[[#This Row],[isknev]])</f>
        <v>1</v>
      </c>
    </row>
    <row r="183" spans="4:11" x14ac:dyDescent="0.25">
      <c r="D183" t="str">
        <f t="shared" si="5"/>
        <v>035264</v>
      </c>
      <c r="E183">
        <v>35264</v>
      </c>
      <c r="F183" t="s">
        <v>605</v>
      </c>
      <c r="G183" t="s">
        <v>606</v>
      </c>
      <c r="I183" t="s">
        <v>607</v>
      </c>
      <c r="J183" t="s">
        <v>608</v>
      </c>
      <c r="K183">
        <f>COUNTIF(iskola[[#This Row],[isknev]],iskola[[#This Row],[isknev]])</f>
        <v>1</v>
      </c>
    </row>
    <row r="184" spans="4:11" x14ac:dyDescent="0.25">
      <c r="D184" t="str">
        <f t="shared" si="5"/>
        <v>200696</v>
      </c>
      <c r="E184">
        <v>200696</v>
      </c>
      <c r="F184" t="s">
        <v>609</v>
      </c>
      <c r="G184" t="s">
        <v>610</v>
      </c>
      <c r="I184" t="s">
        <v>148</v>
      </c>
      <c r="J184" t="s">
        <v>148</v>
      </c>
      <c r="K184">
        <f>COUNTIF(iskola[[#This Row],[isknev]],iskola[[#This Row],[isknev]])</f>
        <v>1</v>
      </c>
    </row>
    <row r="185" spans="4:11" x14ac:dyDescent="0.25">
      <c r="D185" t="str">
        <f t="shared" si="5"/>
        <v>201234</v>
      </c>
      <c r="E185">
        <v>201234</v>
      </c>
      <c r="F185" t="s">
        <v>611</v>
      </c>
      <c r="G185" t="s">
        <v>612</v>
      </c>
      <c r="I185" t="s">
        <v>613</v>
      </c>
      <c r="J185">
        <v>613097353</v>
      </c>
      <c r="K185">
        <f>COUNTIF(iskola[[#This Row],[isknev]],iskola[[#This Row],[isknev]])</f>
        <v>1</v>
      </c>
    </row>
    <row r="186" spans="4:11" x14ac:dyDescent="0.25">
      <c r="D186" t="str">
        <f t="shared" si="5"/>
        <v>034986</v>
      </c>
      <c r="E186">
        <v>34986</v>
      </c>
      <c r="F186" t="s">
        <v>614</v>
      </c>
      <c r="G186" t="s">
        <v>615</v>
      </c>
      <c r="I186" t="s">
        <v>616</v>
      </c>
      <c r="J186" t="s">
        <v>617</v>
      </c>
      <c r="K186">
        <f>COUNTIF(iskola[[#This Row],[isknev]],iskola[[#This Row],[isknev]])</f>
        <v>1</v>
      </c>
    </row>
    <row r="187" spans="4:11" x14ac:dyDescent="0.25">
      <c r="D187" t="str">
        <f t="shared" si="5"/>
        <v>034980</v>
      </c>
      <c r="E187">
        <v>34980</v>
      </c>
      <c r="F187" t="s">
        <v>618</v>
      </c>
      <c r="G187" t="s">
        <v>619</v>
      </c>
      <c r="I187" t="s">
        <v>620</v>
      </c>
      <c r="J187" t="s">
        <v>621</v>
      </c>
      <c r="K187">
        <f>COUNTIF(iskola[[#This Row],[isknev]],iskola[[#This Row],[isknev]])</f>
        <v>1</v>
      </c>
    </row>
    <row r="188" spans="4:11" x14ac:dyDescent="0.25">
      <c r="D188" t="str">
        <f t="shared" si="5"/>
        <v>034976</v>
      </c>
      <c r="E188">
        <v>34976</v>
      </c>
      <c r="F188" t="s">
        <v>622</v>
      </c>
      <c r="G188" t="s">
        <v>623</v>
      </c>
      <c r="I188" t="s">
        <v>624</v>
      </c>
      <c r="J188" t="s">
        <v>625</v>
      </c>
      <c r="K188">
        <f>COUNTIF(iskola[[#This Row],[isknev]],iskola[[#This Row],[isknev]])</f>
        <v>1</v>
      </c>
    </row>
    <row r="189" spans="4:11" x14ac:dyDescent="0.25">
      <c r="D189" t="str">
        <f t="shared" si="5"/>
        <v>034978</v>
      </c>
      <c r="E189">
        <v>34978</v>
      </c>
      <c r="F189" t="s">
        <v>626</v>
      </c>
      <c r="G189" t="s">
        <v>627</v>
      </c>
      <c r="I189" t="s">
        <v>382</v>
      </c>
      <c r="J189">
        <v>6206201119</v>
      </c>
      <c r="K189">
        <f>COUNTIF(iskola[[#This Row],[isknev]],iskola[[#This Row],[isknev]])</f>
        <v>1</v>
      </c>
    </row>
    <row r="190" spans="4:11" x14ac:dyDescent="0.25">
      <c r="D190" t="str">
        <f t="shared" si="5"/>
        <v>034974</v>
      </c>
      <c r="E190">
        <v>34974</v>
      </c>
      <c r="F190" t="s">
        <v>628</v>
      </c>
      <c r="G190" t="s">
        <v>629</v>
      </c>
      <c r="I190" t="s">
        <v>148</v>
      </c>
      <c r="J190" t="s">
        <v>148</v>
      </c>
      <c r="K190">
        <f>COUNTIF(iskola[[#This Row],[isknev]],iskola[[#This Row],[isknev]])</f>
        <v>1</v>
      </c>
    </row>
    <row r="191" spans="4:11" x14ac:dyDescent="0.25">
      <c r="D191" t="str">
        <f t="shared" si="5"/>
        <v>034979</v>
      </c>
      <c r="E191">
        <v>34979</v>
      </c>
      <c r="F191" t="s">
        <v>630</v>
      </c>
      <c r="G191" t="s">
        <v>631</v>
      </c>
      <c r="I191" t="s">
        <v>632</v>
      </c>
      <c r="J191" t="s">
        <v>633</v>
      </c>
      <c r="K191">
        <f>COUNTIF(iskola[[#This Row],[isknev]],iskola[[#This Row],[isknev]])</f>
        <v>1</v>
      </c>
    </row>
    <row r="192" spans="4:11" x14ac:dyDescent="0.25">
      <c r="D192" t="str">
        <f t="shared" si="5"/>
        <v>034803</v>
      </c>
      <c r="E192">
        <v>34803</v>
      </c>
      <c r="F192" t="s">
        <v>634</v>
      </c>
      <c r="G192" t="s">
        <v>635</v>
      </c>
      <c r="I192" t="s">
        <v>636</v>
      </c>
      <c r="J192" t="s">
        <v>637</v>
      </c>
      <c r="K192">
        <f>COUNTIF(iskola[[#This Row],[isknev]],iskola[[#This Row],[isknev]])</f>
        <v>1</v>
      </c>
    </row>
    <row r="193" spans="4:11" x14ac:dyDescent="0.25">
      <c r="D193" t="str">
        <f t="shared" si="5"/>
        <v>034931</v>
      </c>
      <c r="E193">
        <v>34931</v>
      </c>
      <c r="F193" t="s">
        <v>638</v>
      </c>
      <c r="G193" t="s">
        <v>639</v>
      </c>
      <c r="I193" t="s">
        <v>148</v>
      </c>
      <c r="J193" t="s">
        <v>148</v>
      </c>
      <c r="K193">
        <f>COUNTIF(iskola[[#This Row],[isknev]],iskola[[#This Row],[isknev]])</f>
        <v>1</v>
      </c>
    </row>
    <row r="194" spans="4:11" x14ac:dyDescent="0.25">
      <c r="D194" t="str">
        <f t="shared" si="5"/>
        <v>203410</v>
      </c>
      <c r="E194">
        <v>203410</v>
      </c>
      <c r="F194" t="s">
        <v>640</v>
      </c>
      <c r="G194" t="s">
        <v>641</v>
      </c>
      <c r="I194" t="s">
        <v>642</v>
      </c>
      <c r="J194" t="s">
        <v>643</v>
      </c>
      <c r="K194">
        <f>COUNTIF(iskola[[#This Row],[isknev]],iskola[[#This Row],[isknev]])</f>
        <v>1</v>
      </c>
    </row>
    <row r="195" spans="4:11" x14ac:dyDescent="0.25">
      <c r="D195" t="str">
        <f t="shared" si="5"/>
        <v>035006</v>
      </c>
      <c r="E195">
        <v>35006</v>
      </c>
      <c r="F195" t="s">
        <v>644</v>
      </c>
      <c r="G195" t="s">
        <v>645</v>
      </c>
      <c r="I195" t="s">
        <v>646</v>
      </c>
      <c r="J195" t="s">
        <v>647</v>
      </c>
      <c r="K195">
        <f>COUNTIF(iskola[[#This Row],[isknev]],iskola[[#This Row],[isknev]])</f>
        <v>1</v>
      </c>
    </row>
    <row r="196" spans="4:11" x14ac:dyDescent="0.25">
      <c r="D196" t="str">
        <f t="shared" ref="D196:D203" si="6">TEXT(E196,"000000")</f>
        <v>032456</v>
      </c>
      <c r="E196">
        <v>32456</v>
      </c>
      <c r="F196" t="s">
        <v>648</v>
      </c>
      <c r="G196" t="s">
        <v>649</v>
      </c>
      <c r="I196" t="s">
        <v>650</v>
      </c>
      <c r="J196" t="s">
        <v>651</v>
      </c>
      <c r="K196">
        <f>COUNTIF(iskola[[#This Row],[isknev]],iskola[[#This Row],[isknev]])</f>
        <v>1</v>
      </c>
    </row>
    <row r="197" spans="4:11" x14ac:dyDescent="0.25">
      <c r="D197" t="str">
        <f t="shared" si="6"/>
        <v>035007</v>
      </c>
      <c r="E197">
        <v>35007</v>
      </c>
      <c r="F197" t="s">
        <v>652</v>
      </c>
      <c r="G197" t="s">
        <v>653</v>
      </c>
      <c r="I197" t="s">
        <v>654</v>
      </c>
      <c r="J197" t="s">
        <v>655</v>
      </c>
      <c r="K197">
        <f>COUNTIF(iskola[[#This Row],[isknev]],iskola[[#This Row],[isknev]])</f>
        <v>1</v>
      </c>
    </row>
    <row r="198" spans="4:11" x14ac:dyDescent="0.25">
      <c r="D198" t="str">
        <f t="shared" si="6"/>
        <v>035061</v>
      </c>
      <c r="E198">
        <v>35061</v>
      </c>
      <c r="F198" t="s">
        <v>656</v>
      </c>
      <c r="G198" t="s">
        <v>657</v>
      </c>
      <c r="I198" t="s">
        <v>658</v>
      </c>
      <c r="J198" t="s">
        <v>659</v>
      </c>
      <c r="K198">
        <f>COUNTIF(iskola[[#This Row],[isknev]],iskola[[#This Row],[isknev]])</f>
        <v>1</v>
      </c>
    </row>
    <row r="199" spans="4:11" x14ac:dyDescent="0.25">
      <c r="D199" t="str">
        <f t="shared" si="6"/>
        <v>035053</v>
      </c>
      <c r="E199">
        <v>35053</v>
      </c>
      <c r="F199" t="s">
        <v>660</v>
      </c>
      <c r="G199" t="s">
        <v>661</v>
      </c>
      <c r="I199" t="s">
        <v>662</v>
      </c>
      <c r="J199" t="s">
        <v>663</v>
      </c>
      <c r="K199">
        <f>COUNTIF(iskola[[#This Row],[isknev]],iskola[[#This Row],[isknev]])</f>
        <v>1</v>
      </c>
    </row>
    <row r="200" spans="4:11" x14ac:dyDescent="0.25">
      <c r="D200" t="str">
        <f t="shared" si="6"/>
        <v>035046</v>
      </c>
      <c r="E200">
        <v>35046</v>
      </c>
      <c r="F200" t="s">
        <v>664</v>
      </c>
      <c r="G200" t="s">
        <v>665</v>
      </c>
      <c r="I200" t="s">
        <v>666</v>
      </c>
      <c r="J200" t="s">
        <v>667</v>
      </c>
      <c r="K200">
        <f>COUNTIF(iskola[[#This Row],[isknev]],iskola[[#This Row],[isknev]])</f>
        <v>1</v>
      </c>
    </row>
    <row r="201" spans="4:11" x14ac:dyDescent="0.25">
      <c r="D201" t="str">
        <f t="shared" si="6"/>
        <v>000000</v>
      </c>
      <c r="K201">
        <f>COUNTIF(iskola[[#This Row],[isknev]],iskola[[#This Row],[isknev]])</f>
        <v>0</v>
      </c>
    </row>
    <row r="202" spans="4:11" x14ac:dyDescent="0.25">
      <c r="D202" t="str">
        <f t="shared" si="6"/>
        <v>000000</v>
      </c>
      <c r="K202">
        <f>COUNTIF(iskola[[#This Row],[isknev]],iskola[[#This Row],[isknev]])</f>
        <v>0</v>
      </c>
    </row>
    <row r="203" spans="4:11" x14ac:dyDescent="0.25">
      <c r="D203" t="str">
        <f t="shared" si="6"/>
        <v>000000</v>
      </c>
      <c r="K203">
        <f>COUNTIF(iskola[[#This Row],[isknev]],iskola[[#This Row],[isknev]])</f>
        <v>0</v>
      </c>
    </row>
  </sheetData>
  <hyperlinks>
    <hyperlink ref="I125" r:id="rId1" xr:uid="{AA2CD600-C661-4352-A09A-EF1BF0D6BAFB}"/>
    <hyperlink ref="I29" r:id="rId2" xr:uid="{BDE28C97-4F32-4EE6-BDF6-BA99F0CCE98A}"/>
    <hyperlink ref="I160" r:id="rId3" xr:uid="{C8FDF505-4888-444D-980D-AF4ECA11C3FD}"/>
    <hyperlink ref="I60" r:id="rId4" xr:uid="{269C5FC5-EAA3-4DF8-A0B6-4A5CF9DD1E9A}"/>
    <hyperlink ref="J7" r:id="rId5" display="info@almosvezer.hu" xr:uid="{C2C05960-A8C2-4A30-B479-CF76520071F5}"/>
    <hyperlink ref="I7" r:id="rId6" xr:uid="{8A06F45C-D1AA-451B-A9C9-00CFC62278A4}"/>
  </hyperlinks>
  <pageMargins left="0.7" right="0.7" top="0.75" bottom="0.75" header="0.3" footer="0.3"/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C03D2-6FFD-4DD4-9775-D53E557B4D70}">
  <sheetPr codeName="Munka5"/>
  <dimension ref="A1:AX279"/>
  <sheetViews>
    <sheetView tabSelected="1" zoomScale="98" zoomScaleNormal="100" workbookViewId="0">
      <selection activeCell="C3" sqref="C3"/>
    </sheetView>
  </sheetViews>
  <sheetFormatPr defaultRowHeight="15" x14ac:dyDescent="0.25"/>
  <cols>
    <col min="1" max="1" width="13.42578125" customWidth="1"/>
    <col min="3" max="3" width="10.140625" customWidth="1"/>
    <col min="4" max="4" width="18.42578125" bestFit="1" customWidth="1"/>
    <col min="5" max="5" width="19.28515625" bestFit="1" customWidth="1"/>
    <col min="6" max="6" width="6.5703125" customWidth="1"/>
    <col min="7" max="7" width="12" customWidth="1"/>
    <col min="8" max="8" width="10.7109375" customWidth="1"/>
    <col min="9" max="9" width="12.28515625" bestFit="1" customWidth="1"/>
    <col min="10" max="10" width="13.140625" bestFit="1" customWidth="1"/>
    <col min="11" max="11" width="31" bestFit="1" customWidth="1"/>
    <col min="12" max="12" width="13.7109375" customWidth="1"/>
    <col min="13" max="13" width="15" customWidth="1"/>
    <col min="14" max="14" width="13" customWidth="1"/>
    <col min="15" max="15" width="10" bestFit="1" customWidth="1"/>
    <col min="16" max="16" width="26.5703125" bestFit="1" customWidth="1"/>
    <col min="17" max="17" width="67.7109375" customWidth="1"/>
    <col min="18" max="18" width="30.5703125" bestFit="1" customWidth="1"/>
    <col min="19" max="19" width="84.140625" bestFit="1" customWidth="1"/>
    <col min="20" max="20" width="15.42578125" bestFit="1" customWidth="1"/>
    <col min="21" max="21" width="72.140625" bestFit="1" customWidth="1"/>
    <col min="22" max="22" width="30" bestFit="1" customWidth="1"/>
    <col min="23" max="23" width="93.7109375" bestFit="1" customWidth="1"/>
    <col min="24" max="24" width="42.140625" bestFit="1" customWidth="1"/>
    <col min="25" max="25" width="11.42578125" bestFit="1" customWidth="1"/>
    <col min="26" max="26" width="10.85546875" bestFit="1" customWidth="1"/>
    <col min="27" max="27" width="11.7109375" customWidth="1"/>
    <col min="28" max="28" width="13.7109375" customWidth="1"/>
    <col min="29" max="29" width="13.85546875" customWidth="1"/>
    <col min="30" max="30" width="15" customWidth="1"/>
    <col min="31" max="31" width="16" customWidth="1"/>
    <col min="32" max="32" width="17" customWidth="1"/>
    <col min="33" max="33" width="17.5703125" customWidth="1"/>
    <col min="34" max="34" width="10.7109375" customWidth="1"/>
    <col min="35" max="35" width="17.5703125" customWidth="1"/>
    <col min="36" max="36" width="9.42578125" customWidth="1"/>
    <col min="37" max="37" width="13.7109375" customWidth="1"/>
    <col min="38" max="38" width="13.42578125" customWidth="1"/>
    <col min="39" max="39" width="12" customWidth="1"/>
    <col min="40" max="40" width="11.5703125" customWidth="1"/>
    <col min="41" max="41" width="9.5703125" customWidth="1"/>
    <col min="42" max="42" width="10.28515625" customWidth="1"/>
    <col min="43" max="43" width="9.28515625" customWidth="1"/>
    <col min="44" max="44" width="10" customWidth="1"/>
    <col min="45" max="45" width="9.42578125" customWidth="1"/>
    <col min="46" max="46" width="9.5703125" customWidth="1"/>
    <col min="48" max="48" width="13.140625" customWidth="1"/>
    <col min="49" max="49" width="18" customWidth="1"/>
    <col min="50" max="50" width="9.5703125" customWidth="1"/>
    <col min="51" max="51" width="9.7109375" customWidth="1"/>
    <col min="52" max="52" width="19.140625" customWidth="1"/>
  </cols>
  <sheetData>
    <row r="1" spans="1:50" x14ac:dyDescent="0.25">
      <c r="A1" t="s">
        <v>668</v>
      </c>
      <c r="B1" t="s">
        <v>669</v>
      </c>
      <c r="C1" t="s">
        <v>670</v>
      </c>
      <c r="D1" t="s">
        <v>671</v>
      </c>
      <c r="E1" t="s">
        <v>672</v>
      </c>
      <c r="F1" t="s">
        <v>673</v>
      </c>
      <c r="G1" t="s">
        <v>674</v>
      </c>
      <c r="H1" t="s">
        <v>675</v>
      </c>
      <c r="I1" t="s">
        <v>676</v>
      </c>
      <c r="J1" t="s">
        <v>677</v>
      </c>
      <c r="K1" t="s">
        <v>678</v>
      </c>
      <c r="L1" t="s">
        <v>679</v>
      </c>
      <c r="M1" t="s">
        <v>680</v>
      </c>
      <c r="N1" t="s">
        <v>681</v>
      </c>
      <c r="O1" t="s">
        <v>682</v>
      </c>
      <c r="P1" t="s">
        <v>6</v>
      </c>
      <c r="Q1" t="s">
        <v>683</v>
      </c>
      <c r="R1" t="s">
        <v>684</v>
      </c>
      <c r="S1" t="s">
        <v>685</v>
      </c>
      <c r="T1" t="s">
        <v>686</v>
      </c>
      <c r="U1" t="s">
        <v>687</v>
      </c>
      <c r="V1" t="s">
        <v>3</v>
      </c>
      <c r="W1" t="s">
        <v>688</v>
      </c>
      <c r="X1" t="s">
        <v>689</v>
      </c>
      <c r="Y1" t="s">
        <v>690</v>
      </c>
      <c r="Z1" t="s">
        <v>691</v>
      </c>
      <c r="AA1" t="s">
        <v>692</v>
      </c>
      <c r="AB1" t="s">
        <v>693</v>
      </c>
      <c r="AC1" t="s">
        <v>694</v>
      </c>
      <c r="AD1" t="s">
        <v>695</v>
      </c>
      <c r="AE1" t="s">
        <v>696</v>
      </c>
      <c r="AF1" t="s">
        <v>697</v>
      </c>
      <c r="AG1" t="s">
        <v>698</v>
      </c>
      <c r="AH1" t="s">
        <v>699</v>
      </c>
      <c r="AI1" t="s">
        <v>700</v>
      </c>
      <c r="AJ1" t="s">
        <v>701</v>
      </c>
      <c r="AK1" t="s">
        <v>702</v>
      </c>
      <c r="AL1" t="s">
        <v>703</v>
      </c>
      <c r="AM1" t="s">
        <v>704</v>
      </c>
      <c r="AN1" t="s">
        <v>705</v>
      </c>
      <c r="AO1" t="s">
        <v>706</v>
      </c>
      <c r="AP1" t="s">
        <v>707</v>
      </c>
      <c r="AQ1" t="s">
        <v>708</v>
      </c>
      <c r="AR1" t="s">
        <v>709</v>
      </c>
      <c r="AS1" t="s">
        <v>710</v>
      </c>
      <c r="AT1" t="s">
        <v>711</v>
      </c>
      <c r="AU1" t="s">
        <v>712</v>
      </c>
      <c r="AV1" t="s">
        <v>713</v>
      </c>
      <c r="AW1" t="s">
        <v>714</v>
      </c>
      <c r="AX1" t="s">
        <v>715</v>
      </c>
    </row>
    <row r="2" spans="1:50" x14ac:dyDescent="0.25">
      <c r="C2">
        <v>1</v>
      </c>
      <c r="D2" s="29">
        <v>45721.375</v>
      </c>
      <c r="G2">
        <v>29</v>
      </c>
      <c r="I2">
        <v>73300057890</v>
      </c>
      <c r="J2" t="s">
        <v>717</v>
      </c>
      <c r="K2" t="s">
        <v>1396</v>
      </c>
      <c r="L2" s="22">
        <v>41661</v>
      </c>
      <c r="O2" t="s">
        <v>1397</v>
      </c>
      <c r="P2" t="s">
        <v>1580</v>
      </c>
      <c r="Q2">
        <v>36302892740</v>
      </c>
      <c r="R2" t="s">
        <v>1398</v>
      </c>
      <c r="S2" t="s">
        <v>1397</v>
      </c>
      <c r="T2" t="s">
        <v>1398</v>
      </c>
      <c r="U2" s="23" t="s">
        <v>1546</v>
      </c>
      <c r="V2" t="s">
        <v>611</v>
      </c>
      <c r="W2" t="s">
        <v>612</v>
      </c>
      <c r="X2" t="s">
        <v>613</v>
      </c>
      <c r="Y2">
        <v>37</v>
      </c>
      <c r="Z2">
        <v>37</v>
      </c>
      <c r="AA2" s="6">
        <v>74</v>
      </c>
      <c r="AB2" s="6">
        <v>92.5</v>
      </c>
      <c r="AC2">
        <v>45</v>
      </c>
      <c r="AD2" s="6">
        <v>137.5</v>
      </c>
      <c r="AH2" s="6">
        <v>0</v>
      </c>
      <c r="AI2" s="10">
        <v>137.5</v>
      </c>
      <c r="AM2" t="s">
        <v>716</v>
      </c>
      <c r="AP2" t="s">
        <v>716</v>
      </c>
      <c r="AQ2" t="s">
        <v>716</v>
      </c>
      <c r="AR2" t="s">
        <v>716</v>
      </c>
      <c r="AS2" t="s">
        <v>716</v>
      </c>
    </row>
    <row r="3" spans="1:50" x14ac:dyDescent="0.25">
      <c r="C3">
        <v>1</v>
      </c>
      <c r="D3" s="29">
        <v>45721.416666666664</v>
      </c>
      <c r="G3">
        <v>44</v>
      </c>
      <c r="I3">
        <v>73386081758</v>
      </c>
      <c r="J3" t="s">
        <v>718</v>
      </c>
      <c r="K3" t="s">
        <v>1399</v>
      </c>
      <c r="L3" s="22">
        <v>41985</v>
      </c>
      <c r="O3" t="s">
        <v>1400</v>
      </c>
      <c r="P3" t="s">
        <v>1581</v>
      </c>
      <c r="Q3">
        <v>36308586811</v>
      </c>
      <c r="R3" t="s">
        <v>1401</v>
      </c>
      <c r="S3" t="s">
        <v>1400</v>
      </c>
      <c r="T3" t="s">
        <v>1401</v>
      </c>
      <c r="U3" s="23"/>
      <c r="Y3">
        <v>35</v>
      </c>
      <c r="Z3">
        <v>39</v>
      </c>
      <c r="AA3" s="6">
        <v>74</v>
      </c>
      <c r="AB3" s="6">
        <v>92.5</v>
      </c>
      <c r="AC3">
        <v>10</v>
      </c>
      <c r="AD3" s="6">
        <v>102.5</v>
      </c>
      <c r="AH3" s="6">
        <v>0</v>
      </c>
      <c r="AI3" s="10">
        <v>102.5</v>
      </c>
      <c r="AP3" t="s">
        <v>716</v>
      </c>
      <c r="AQ3" t="s">
        <v>716</v>
      </c>
      <c r="AR3" t="s">
        <v>716</v>
      </c>
      <c r="AS3" t="s">
        <v>716</v>
      </c>
    </row>
    <row r="4" spans="1:50" x14ac:dyDescent="0.25">
      <c r="G4">
        <v>15</v>
      </c>
      <c r="I4">
        <v>73295740212</v>
      </c>
      <c r="J4" t="s">
        <v>719</v>
      </c>
      <c r="K4" t="s">
        <v>1402</v>
      </c>
      <c r="L4" s="22">
        <v>41980</v>
      </c>
      <c r="O4" t="s">
        <v>1403</v>
      </c>
      <c r="P4" t="s">
        <v>1582</v>
      </c>
      <c r="Q4">
        <v>36705122905</v>
      </c>
      <c r="R4" t="s">
        <v>1404</v>
      </c>
      <c r="S4" t="s">
        <v>1405</v>
      </c>
      <c r="T4" t="s">
        <v>1404</v>
      </c>
      <c r="U4" s="23" t="s">
        <v>1548</v>
      </c>
      <c r="V4" t="s">
        <v>404</v>
      </c>
      <c r="W4" t="s">
        <v>319</v>
      </c>
      <c r="X4" t="s">
        <v>405</v>
      </c>
      <c r="Y4">
        <v>41</v>
      </c>
      <c r="Z4">
        <v>42</v>
      </c>
      <c r="AA4" s="6">
        <v>83</v>
      </c>
      <c r="AB4" s="6">
        <v>103.75</v>
      </c>
      <c r="AC4">
        <v>50</v>
      </c>
      <c r="AD4" s="6">
        <v>153.75</v>
      </c>
      <c r="AH4" s="6">
        <v>0</v>
      </c>
      <c r="AI4" s="10">
        <v>153.75</v>
      </c>
      <c r="AQ4" t="s">
        <v>716</v>
      </c>
      <c r="AR4" t="s">
        <v>716</v>
      </c>
    </row>
    <row r="5" spans="1:50" x14ac:dyDescent="0.25">
      <c r="G5">
        <v>23</v>
      </c>
      <c r="I5">
        <v>73271050903</v>
      </c>
      <c r="J5" t="s">
        <v>720</v>
      </c>
      <c r="K5" t="s">
        <v>1396</v>
      </c>
      <c r="L5" s="22">
        <v>41814</v>
      </c>
      <c r="O5" t="s">
        <v>1406</v>
      </c>
      <c r="P5" t="s">
        <v>1583</v>
      </c>
      <c r="Q5">
        <v>36305558936</v>
      </c>
      <c r="R5" t="s">
        <v>1407</v>
      </c>
      <c r="S5" t="s">
        <v>1406</v>
      </c>
      <c r="T5" t="s">
        <v>1407</v>
      </c>
      <c r="U5" s="23"/>
      <c r="Y5">
        <v>35</v>
      </c>
      <c r="Z5">
        <v>45</v>
      </c>
      <c r="AA5" s="6">
        <v>80</v>
      </c>
      <c r="AB5" s="6">
        <v>100</v>
      </c>
      <c r="AC5">
        <v>50</v>
      </c>
      <c r="AD5" s="6">
        <v>150</v>
      </c>
      <c r="AH5" s="6">
        <v>0</v>
      </c>
      <c r="AI5" s="10">
        <v>150</v>
      </c>
      <c r="AP5" t="s">
        <v>716</v>
      </c>
    </row>
    <row r="6" spans="1:50" x14ac:dyDescent="0.25">
      <c r="G6" s="25">
        <v>30</v>
      </c>
      <c r="I6">
        <v>73381418047</v>
      </c>
      <c r="J6" t="s">
        <v>721</v>
      </c>
      <c r="K6" t="s">
        <v>1399</v>
      </c>
      <c r="L6" s="22">
        <v>42212</v>
      </c>
      <c r="O6" t="s">
        <v>1408</v>
      </c>
      <c r="P6" t="s">
        <v>1584</v>
      </c>
      <c r="Q6">
        <v>36705551160</v>
      </c>
      <c r="R6" t="s">
        <v>1409</v>
      </c>
      <c r="S6" t="s">
        <v>1408</v>
      </c>
      <c r="T6" t="s">
        <v>1409</v>
      </c>
      <c r="U6" s="23" t="s">
        <v>1549</v>
      </c>
      <c r="V6" t="s">
        <v>220</v>
      </c>
      <c r="W6" t="s">
        <v>221</v>
      </c>
      <c r="X6" t="s">
        <v>222</v>
      </c>
      <c r="Y6">
        <v>38</v>
      </c>
      <c r="Z6">
        <v>30</v>
      </c>
      <c r="AA6" s="6">
        <v>68</v>
      </c>
      <c r="AB6" s="6">
        <v>85</v>
      </c>
      <c r="AC6">
        <v>50</v>
      </c>
      <c r="AD6" s="6">
        <v>135</v>
      </c>
      <c r="AH6" s="6">
        <v>0</v>
      </c>
      <c r="AI6" s="10">
        <v>135</v>
      </c>
      <c r="AP6" t="s">
        <v>716</v>
      </c>
      <c r="AQ6" t="s">
        <v>716</v>
      </c>
    </row>
    <row r="7" spans="1:50" x14ac:dyDescent="0.25">
      <c r="G7">
        <v>4</v>
      </c>
      <c r="I7">
        <v>73356635176</v>
      </c>
      <c r="J7" t="s">
        <v>722</v>
      </c>
      <c r="K7" t="s">
        <v>1396</v>
      </c>
      <c r="L7" s="22">
        <v>42123</v>
      </c>
      <c r="O7" t="s">
        <v>1410</v>
      </c>
      <c r="P7" t="s">
        <v>1585</v>
      </c>
      <c r="Q7">
        <v>36202414181</v>
      </c>
      <c r="R7" t="s">
        <v>1411</v>
      </c>
      <c r="S7" t="s">
        <v>1410</v>
      </c>
      <c r="T7" t="s">
        <v>1411</v>
      </c>
      <c r="U7" s="23" t="s">
        <v>1550</v>
      </c>
      <c r="V7" t="s">
        <v>372</v>
      </c>
      <c r="W7" t="s">
        <v>373</v>
      </c>
      <c r="X7" t="s">
        <v>374</v>
      </c>
      <c r="Y7">
        <v>43</v>
      </c>
      <c r="Z7">
        <v>45</v>
      </c>
      <c r="AA7" s="6">
        <v>88</v>
      </c>
      <c r="AB7" s="6">
        <v>110</v>
      </c>
      <c r="AC7">
        <v>55</v>
      </c>
      <c r="AD7" s="6">
        <v>165</v>
      </c>
      <c r="AH7" s="6">
        <v>0</v>
      </c>
      <c r="AI7" s="10">
        <v>165</v>
      </c>
      <c r="AP7" t="s">
        <v>716</v>
      </c>
      <c r="AQ7" t="s">
        <v>716</v>
      </c>
      <c r="AR7" t="s">
        <v>716</v>
      </c>
      <c r="AS7" t="s">
        <v>716</v>
      </c>
    </row>
    <row r="8" spans="1:50" x14ac:dyDescent="0.25">
      <c r="G8" s="25">
        <v>34</v>
      </c>
      <c r="I8">
        <v>73380420407</v>
      </c>
      <c r="J8" t="s">
        <v>724</v>
      </c>
      <c r="K8" t="s">
        <v>1412</v>
      </c>
      <c r="L8" s="22">
        <v>42152</v>
      </c>
      <c r="O8" t="s">
        <v>1413</v>
      </c>
      <c r="P8" t="s">
        <v>1586</v>
      </c>
      <c r="Q8">
        <v>36205720697</v>
      </c>
      <c r="R8" t="s">
        <v>1414</v>
      </c>
      <c r="S8" t="s">
        <v>1415</v>
      </c>
      <c r="T8" t="s">
        <v>1414</v>
      </c>
      <c r="U8" s="23"/>
      <c r="Y8">
        <v>28</v>
      </c>
      <c r="Z8">
        <v>38</v>
      </c>
      <c r="AA8" s="6">
        <v>66</v>
      </c>
      <c r="AB8" s="6">
        <v>82.5</v>
      </c>
      <c r="AC8">
        <v>44</v>
      </c>
      <c r="AD8" s="6">
        <v>126.5</v>
      </c>
      <c r="AH8" s="6">
        <v>0</v>
      </c>
      <c r="AI8" s="10">
        <v>126.5</v>
      </c>
      <c r="AP8" t="s">
        <v>716</v>
      </c>
      <c r="AQ8" t="s">
        <v>716</v>
      </c>
    </row>
    <row r="9" spans="1:50" x14ac:dyDescent="0.25">
      <c r="G9">
        <v>32</v>
      </c>
      <c r="I9">
        <v>73373751482</v>
      </c>
      <c r="J9" t="s">
        <v>725</v>
      </c>
      <c r="K9" t="s">
        <v>1399</v>
      </c>
      <c r="L9" s="22">
        <v>42110</v>
      </c>
      <c r="O9" t="s">
        <v>1416</v>
      </c>
      <c r="P9" t="s">
        <v>1587</v>
      </c>
      <c r="Q9">
        <v>36703312994</v>
      </c>
      <c r="R9" t="s">
        <v>1417</v>
      </c>
      <c r="S9" t="s">
        <v>1418</v>
      </c>
      <c r="T9" t="s">
        <v>1417</v>
      </c>
      <c r="U9" s="23" t="s">
        <v>1551</v>
      </c>
      <c r="V9" t="s">
        <v>328</v>
      </c>
      <c r="W9" t="s">
        <v>329</v>
      </c>
      <c r="X9" t="s">
        <v>330</v>
      </c>
      <c r="Y9">
        <v>46</v>
      </c>
      <c r="Z9">
        <v>42</v>
      </c>
      <c r="AA9" s="6">
        <v>88</v>
      </c>
      <c r="AB9" s="6">
        <v>110</v>
      </c>
      <c r="AC9">
        <v>20</v>
      </c>
      <c r="AD9" s="6">
        <v>130</v>
      </c>
      <c r="AH9" s="6">
        <v>0</v>
      </c>
      <c r="AI9" s="10">
        <v>130</v>
      </c>
      <c r="AP9" t="s">
        <v>716</v>
      </c>
      <c r="AQ9" t="s">
        <v>716</v>
      </c>
    </row>
    <row r="10" spans="1:50" x14ac:dyDescent="0.25">
      <c r="G10">
        <v>1</v>
      </c>
      <c r="I10">
        <v>73269194521</v>
      </c>
      <c r="J10" t="s">
        <v>727</v>
      </c>
      <c r="K10" t="s">
        <v>1396</v>
      </c>
      <c r="L10" s="22">
        <v>41679</v>
      </c>
      <c r="O10" t="s">
        <v>1419</v>
      </c>
      <c r="P10" t="s">
        <v>1588</v>
      </c>
      <c r="Q10">
        <v>36309930684</v>
      </c>
      <c r="R10" t="s">
        <v>1420</v>
      </c>
      <c r="S10" t="s">
        <v>1421</v>
      </c>
      <c r="T10" t="s">
        <v>1420</v>
      </c>
      <c r="U10" s="23" t="s">
        <v>1552</v>
      </c>
      <c r="V10" t="s">
        <v>310</v>
      </c>
      <c r="W10" t="s">
        <v>311</v>
      </c>
      <c r="X10" t="s">
        <v>312</v>
      </c>
      <c r="Y10">
        <v>45</v>
      </c>
      <c r="Z10">
        <v>49</v>
      </c>
      <c r="AA10" s="6">
        <v>94</v>
      </c>
      <c r="AB10" s="6">
        <v>117.5</v>
      </c>
      <c r="AC10">
        <v>55</v>
      </c>
      <c r="AD10" s="6">
        <v>172.5</v>
      </c>
      <c r="AH10" s="6">
        <v>0</v>
      </c>
      <c r="AI10" s="10">
        <v>172.5</v>
      </c>
      <c r="AP10" t="s">
        <v>716</v>
      </c>
      <c r="AQ10" t="s">
        <v>716</v>
      </c>
      <c r="AR10" t="s">
        <v>716</v>
      </c>
      <c r="AS10" t="s">
        <v>716</v>
      </c>
    </row>
    <row r="11" spans="1:50" x14ac:dyDescent="0.25">
      <c r="G11">
        <v>49</v>
      </c>
      <c r="I11">
        <v>73325952570</v>
      </c>
      <c r="J11" t="s">
        <v>729</v>
      </c>
      <c r="K11" t="s">
        <v>1399</v>
      </c>
      <c r="L11" s="22">
        <v>41959</v>
      </c>
      <c r="O11" t="s">
        <v>1422</v>
      </c>
      <c r="P11" t="s">
        <v>1589</v>
      </c>
      <c r="Q11">
        <v>36703872360</v>
      </c>
      <c r="R11" t="s">
        <v>1423</v>
      </c>
      <c r="S11" t="s">
        <v>1422</v>
      </c>
      <c r="T11" t="s">
        <v>1424</v>
      </c>
      <c r="U11" s="23" t="s">
        <v>1553</v>
      </c>
      <c r="V11" t="s">
        <v>614</v>
      </c>
      <c r="W11" t="s">
        <v>615</v>
      </c>
      <c r="X11" t="s">
        <v>616</v>
      </c>
      <c r="Y11">
        <v>36</v>
      </c>
      <c r="Z11">
        <v>34</v>
      </c>
      <c r="AA11" s="6">
        <v>70</v>
      </c>
      <c r="AB11" s="6">
        <v>87.5</v>
      </c>
      <c r="AC11">
        <v>10</v>
      </c>
      <c r="AD11" s="6">
        <v>97.5</v>
      </c>
      <c r="AH11" s="6">
        <v>0</v>
      </c>
      <c r="AI11" s="10">
        <v>97.5</v>
      </c>
      <c r="AP11" t="s">
        <v>716</v>
      </c>
      <c r="AQ11" t="s">
        <v>716</v>
      </c>
      <c r="AR11" t="s">
        <v>716</v>
      </c>
    </row>
    <row r="12" spans="1:50" x14ac:dyDescent="0.25">
      <c r="G12">
        <v>41</v>
      </c>
      <c r="I12">
        <v>73346762228</v>
      </c>
      <c r="J12" t="s">
        <v>730</v>
      </c>
      <c r="K12" t="s">
        <v>1399</v>
      </c>
      <c r="L12" s="22">
        <v>42038</v>
      </c>
      <c r="O12" t="s">
        <v>1425</v>
      </c>
      <c r="P12" t="s">
        <v>1590</v>
      </c>
      <c r="Q12">
        <v>36202144734</v>
      </c>
      <c r="R12" t="s">
        <v>1426</v>
      </c>
      <c r="S12" t="s">
        <v>1427</v>
      </c>
      <c r="T12" t="s">
        <v>1426</v>
      </c>
      <c r="U12" s="23" t="s">
        <v>1554</v>
      </c>
      <c r="V12" t="s">
        <v>163</v>
      </c>
      <c r="W12" t="s">
        <v>164</v>
      </c>
      <c r="X12" t="s">
        <v>165</v>
      </c>
      <c r="Y12">
        <v>39</v>
      </c>
      <c r="Z12">
        <v>37</v>
      </c>
      <c r="AA12" s="6">
        <v>76</v>
      </c>
      <c r="AB12" s="6">
        <v>95</v>
      </c>
      <c r="AC12">
        <v>20</v>
      </c>
      <c r="AD12" s="6">
        <v>115</v>
      </c>
      <c r="AH12" s="6">
        <v>0</v>
      </c>
      <c r="AI12" s="10">
        <v>115</v>
      </c>
      <c r="AP12" t="s">
        <v>716</v>
      </c>
      <c r="AQ12" t="s">
        <v>716</v>
      </c>
      <c r="AR12" t="s">
        <v>716</v>
      </c>
      <c r="AS12" t="s">
        <v>716</v>
      </c>
    </row>
    <row r="13" spans="1:50" x14ac:dyDescent="0.25">
      <c r="G13">
        <v>33</v>
      </c>
      <c r="I13">
        <v>73346759634</v>
      </c>
      <c r="J13" t="s">
        <v>731</v>
      </c>
      <c r="K13" t="s">
        <v>1399</v>
      </c>
      <c r="L13" s="22">
        <v>42038</v>
      </c>
      <c r="O13" t="s">
        <v>1425</v>
      </c>
      <c r="P13" t="s">
        <v>1590</v>
      </c>
      <c r="Q13">
        <v>36202144734</v>
      </c>
      <c r="R13" t="s">
        <v>1426</v>
      </c>
      <c r="S13" t="s">
        <v>1427</v>
      </c>
      <c r="T13" t="s">
        <v>1426</v>
      </c>
      <c r="U13" s="23" t="s">
        <v>1554</v>
      </c>
      <c r="V13" t="s">
        <v>163</v>
      </c>
      <c r="W13" t="s">
        <v>164</v>
      </c>
      <c r="X13" t="s">
        <v>165</v>
      </c>
      <c r="Y13">
        <v>46</v>
      </c>
      <c r="Z13">
        <v>41</v>
      </c>
      <c r="AA13" s="6">
        <v>87</v>
      </c>
      <c r="AB13" s="6">
        <v>108.75</v>
      </c>
      <c r="AC13">
        <v>20</v>
      </c>
      <c r="AD13" s="6">
        <v>128.75</v>
      </c>
      <c r="AH13" s="6">
        <v>0</v>
      </c>
      <c r="AI13" s="10">
        <v>128.75</v>
      </c>
      <c r="AP13" t="s">
        <v>716</v>
      </c>
      <c r="AQ13" t="s">
        <v>716</v>
      </c>
      <c r="AR13" t="s">
        <v>716</v>
      </c>
      <c r="AS13" t="s">
        <v>716</v>
      </c>
    </row>
    <row r="14" spans="1:50" x14ac:dyDescent="0.25">
      <c r="G14">
        <v>8</v>
      </c>
      <c r="I14">
        <v>73402609299</v>
      </c>
      <c r="J14" t="s">
        <v>732</v>
      </c>
      <c r="K14" t="s">
        <v>1399</v>
      </c>
      <c r="L14" s="22">
        <v>42195</v>
      </c>
      <c r="O14" t="s">
        <v>1428</v>
      </c>
      <c r="P14" t="s">
        <v>1591</v>
      </c>
      <c r="Q14">
        <v>36306305517</v>
      </c>
      <c r="R14" t="s">
        <v>1429</v>
      </c>
      <c r="S14" t="s">
        <v>1430</v>
      </c>
      <c r="T14" t="s">
        <v>1429</v>
      </c>
      <c r="U14" s="23" t="s">
        <v>1555</v>
      </c>
      <c r="V14" t="s">
        <v>334</v>
      </c>
      <c r="W14" t="s">
        <v>335</v>
      </c>
      <c r="X14" t="s">
        <v>336</v>
      </c>
      <c r="Y14">
        <v>43</v>
      </c>
      <c r="Z14">
        <v>44</v>
      </c>
      <c r="AA14" s="6">
        <v>87</v>
      </c>
      <c r="AB14" s="6">
        <v>108.75</v>
      </c>
      <c r="AC14">
        <v>50</v>
      </c>
      <c r="AD14" s="6">
        <v>158.75</v>
      </c>
      <c r="AH14" s="6">
        <v>0</v>
      </c>
      <c r="AI14" s="10">
        <v>158.75</v>
      </c>
      <c r="AP14" t="s">
        <v>716</v>
      </c>
      <c r="AQ14" t="s">
        <v>716</v>
      </c>
      <c r="AR14" t="s">
        <v>716</v>
      </c>
      <c r="AS14" t="s">
        <v>716</v>
      </c>
    </row>
    <row r="15" spans="1:50" x14ac:dyDescent="0.25">
      <c r="G15">
        <v>45</v>
      </c>
      <c r="I15">
        <v>73373058500</v>
      </c>
      <c r="J15" t="s">
        <v>1431</v>
      </c>
      <c r="K15" t="s">
        <v>1432</v>
      </c>
      <c r="L15" s="22">
        <v>42013</v>
      </c>
      <c r="O15" t="s">
        <v>1433</v>
      </c>
      <c r="P15" t="s">
        <v>1592</v>
      </c>
      <c r="Q15">
        <v>36302176518</v>
      </c>
      <c r="R15" t="s">
        <v>1434</v>
      </c>
      <c r="S15" t="s">
        <v>1435</v>
      </c>
      <c r="T15" t="s">
        <v>1434</v>
      </c>
      <c r="U15" s="23" t="s">
        <v>1553</v>
      </c>
      <c r="V15" t="s">
        <v>614</v>
      </c>
      <c r="W15" t="s">
        <v>615</v>
      </c>
      <c r="X15" t="s">
        <v>616</v>
      </c>
      <c r="Y15">
        <v>35</v>
      </c>
      <c r="Z15">
        <v>39</v>
      </c>
      <c r="AA15" s="6">
        <v>74</v>
      </c>
      <c r="AB15" s="6">
        <v>92.5</v>
      </c>
      <c r="AC15">
        <v>10</v>
      </c>
      <c r="AD15" s="6">
        <v>102.5</v>
      </c>
      <c r="AH15" s="6">
        <v>0</v>
      </c>
      <c r="AI15" s="10">
        <v>102.5</v>
      </c>
      <c r="AP15" t="s">
        <v>716</v>
      </c>
      <c r="AQ15" t="s">
        <v>716</v>
      </c>
      <c r="AR15" t="s">
        <v>716</v>
      </c>
      <c r="AS15" t="s">
        <v>716</v>
      </c>
    </row>
    <row r="16" spans="1:50" x14ac:dyDescent="0.25">
      <c r="G16">
        <v>28</v>
      </c>
      <c r="I16">
        <v>73309965981</v>
      </c>
      <c r="J16" t="s">
        <v>734</v>
      </c>
      <c r="K16" t="s">
        <v>1436</v>
      </c>
      <c r="L16" s="22">
        <v>41869</v>
      </c>
      <c r="O16" t="s">
        <v>1437</v>
      </c>
      <c r="P16" t="s">
        <v>1593</v>
      </c>
      <c r="Q16">
        <v>36303825324</v>
      </c>
      <c r="R16" t="s">
        <v>1438</v>
      </c>
      <c r="S16" t="s">
        <v>1439</v>
      </c>
      <c r="T16" t="s">
        <v>1438</v>
      </c>
      <c r="U16" s="23" t="s">
        <v>1556</v>
      </c>
      <c r="V16" t="s">
        <v>45</v>
      </c>
      <c r="W16" t="s">
        <v>46</v>
      </c>
      <c r="X16" t="s">
        <v>47</v>
      </c>
      <c r="Y16">
        <v>37</v>
      </c>
      <c r="Z16">
        <v>35</v>
      </c>
      <c r="AA16" s="6">
        <v>72</v>
      </c>
      <c r="AB16" s="6">
        <v>90</v>
      </c>
      <c r="AC16">
        <v>48</v>
      </c>
      <c r="AD16" s="6">
        <v>138</v>
      </c>
      <c r="AH16" s="6">
        <v>0</v>
      </c>
      <c r="AI16" s="10">
        <v>138</v>
      </c>
      <c r="AP16" t="s">
        <v>716</v>
      </c>
      <c r="AQ16" t="s">
        <v>716</v>
      </c>
      <c r="AR16" t="s">
        <v>716</v>
      </c>
      <c r="AS16" t="s">
        <v>716</v>
      </c>
    </row>
    <row r="17" spans="7:46" x14ac:dyDescent="0.25">
      <c r="G17">
        <v>22</v>
      </c>
      <c r="I17">
        <v>73388845979</v>
      </c>
      <c r="J17" t="s">
        <v>735</v>
      </c>
      <c r="K17" t="s">
        <v>1412</v>
      </c>
      <c r="L17" s="22">
        <v>42078</v>
      </c>
      <c r="O17" t="s">
        <v>1440</v>
      </c>
      <c r="P17" t="s">
        <v>1594</v>
      </c>
      <c r="Q17">
        <v>36705748922</v>
      </c>
      <c r="R17" t="s">
        <v>1441</v>
      </c>
      <c r="S17" t="s">
        <v>1442</v>
      </c>
      <c r="T17" t="s">
        <v>1441</v>
      </c>
      <c r="U17" s="23" t="s">
        <v>1557</v>
      </c>
      <c r="V17" t="s">
        <v>391</v>
      </c>
      <c r="W17" t="s">
        <v>392</v>
      </c>
      <c r="X17" t="s">
        <v>393</v>
      </c>
      <c r="Y17">
        <v>43</v>
      </c>
      <c r="Z17">
        <v>42</v>
      </c>
      <c r="AA17" s="6">
        <v>85</v>
      </c>
      <c r="AB17" s="6">
        <v>106.25</v>
      </c>
      <c r="AC17">
        <v>44</v>
      </c>
      <c r="AD17" s="6">
        <v>150.25</v>
      </c>
      <c r="AH17" s="6">
        <v>0</v>
      </c>
      <c r="AI17" s="10">
        <v>150.25</v>
      </c>
      <c r="AP17" t="s">
        <v>716</v>
      </c>
      <c r="AQ17" t="s">
        <v>716</v>
      </c>
      <c r="AR17" t="s">
        <v>716</v>
      </c>
      <c r="AS17" t="s">
        <v>716</v>
      </c>
    </row>
    <row r="18" spans="7:46" x14ac:dyDescent="0.25">
      <c r="G18">
        <v>21</v>
      </c>
      <c r="I18">
        <v>73292368236</v>
      </c>
      <c r="J18" t="s">
        <v>736</v>
      </c>
      <c r="K18" t="s">
        <v>1399</v>
      </c>
      <c r="L18" s="22">
        <v>41718</v>
      </c>
      <c r="O18" t="s">
        <v>1443</v>
      </c>
      <c r="P18" t="s">
        <v>1595</v>
      </c>
      <c r="Q18">
        <v>36705230779</v>
      </c>
      <c r="R18" t="s">
        <v>1444</v>
      </c>
      <c r="S18" t="s">
        <v>1443</v>
      </c>
      <c r="T18" t="s">
        <v>1444</v>
      </c>
      <c r="U18" s="24" t="s">
        <v>1547</v>
      </c>
      <c r="V18" s="25" t="s">
        <v>1626</v>
      </c>
      <c r="W18" s="25"/>
      <c r="Y18">
        <v>48</v>
      </c>
      <c r="Z18">
        <v>38</v>
      </c>
      <c r="AA18" s="6">
        <v>86</v>
      </c>
      <c r="AB18" s="6">
        <v>107.5</v>
      </c>
      <c r="AC18">
        <v>45</v>
      </c>
      <c r="AD18" s="6">
        <v>152.5</v>
      </c>
      <c r="AH18" s="6">
        <v>0</v>
      </c>
      <c r="AI18" s="10">
        <v>152.5</v>
      </c>
      <c r="AP18" t="s">
        <v>716</v>
      </c>
      <c r="AQ18" t="s">
        <v>716</v>
      </c>
    </row>
    <row r="19" spans="7:46" x14ac:dyDescent="0.25">
      <c r="G19">
        <v>11</v>
      </c>
      <c r="I19">
        <v>73254092015</v>
      </c>
      <c r="J19" t="s">
        <v>737</v>
      </c>
      <c r="K19" t="s">
        <v>1445</v>
      </c>
      <c r="L19" s="22">
        <v>41974</v>
      </c>
      <c r="O19" t="s">
        <v>1446</v>
      </c>
      <c r="P19" t="s">
        <v>1596</v>
      </c>
      <c r="Q19">
        <v>36202193548</v>
      </c>
      <c r="R19" t="s">
        <v>1447</v>
      </c>
      <c r="S19" t="s">
        <v>1448</v>
      </c>
      <c r="T19" t="s">
        <v>1447</v>
      </c>
      <c r="U19" s="23" t="s">
        <v>1558</v>
      </c>
      <c r="V19" t="s">
        <v>351</v>
      </c>
      <c r="W19" t="s">
        <v>352</v>
      </c>
      <c r="X19" t="s">
        <v>353</v>
      </c>
      <c r="Y19">
        <v>47</v>
      </c>
      <c r="Z19">
        <v>39</v>
      </c>
      <c r="AA19" s="6">
        <v>86</v>
      </c>
      <c r="AB19" s="6">
        <v>107.5</v>
      </c>
      <c r="AC19">
        <v>50</v>
      </c>
      <c r="AD19" s="6">
        <v>157.5</v>
      </c>
      <c r="AH19" s="6">
        <v>0</v>
      </c>
      <c r="AI19" s="10">
        <v>157.5</v>
      </c>
      <c r="AO19" t="s">
        <v>1449</v>
      </c>
      <c r="AP19" t="s">
        <v>716</v>
      </c>
    </row>
    <row r="20" spans="7:46" x14ac:dyDescent="0.25">
      <c r="G20" s="25">
        <v>35</v>
      </c>
      <c r="I20">
        <v>73298801803</v>
      </c>
      <c r="J20" t="s">
        <v>740</v>
      </c>
      <c r="K20" t="s">
        <v>1450</v>
      </c>
      <c r="L20" s="22">
        <v>41887</v>
      </c>
      <c r="O20" t="s">
        <v>1451</v>
      </c>
      <c r="Q20">
        <v>36205823322</v>
      </c>
      <c r="R20" t="s">
        <v>1452</v>
      </c>
      <c r="S20" t="s">
        <v>1453</v>
      </c>
      <c r="T20" t="s">
        <v>1452</v>
      </c>
      <c r="U20" s="23" t="s">
        <v>1559</v>
      </c>
      <c r="V20" t="s">
        <v>593</v>
      </c>
      <c r="W20" t="s">
        <v>594</v>
      </c>
      <c r="X20" t="s">
        <v>595</v>
      </c>
      <c r="Y20">
        <v>33</v>
      </c>
      <c r="Z20">
        <v>32</v>
      </c>
      <c r="AA20" s="6">
        <v>65</v>
      </c>
      <c r="AB20" s="6">
        <v>81.25</v>
      </c>
      <c r="AC20">
        <v>45</v>
      </c>
      <c r="AD20" s="6">
        <v>126.25</v>
      </c>
      <c r="AH20" s="6">
        <v>0</v>
      </c>
      <c r="AI20" s="10">
        <v>126.25</v>
      </c>
      <c r="AP20" t="s">
        <v>716</v>
      </c>
      <c r="AQ20" t="s">
        <v>716</v>
      </c>
      <c r="AR20" t="s">
        <v>716</v>
      </c>
      <c r="AS20" t="s">
        <v>716</v>
      </c>
    </row>
    <row r="21" spans="7:46" x14ac:dyDescent="0.25">
      <c r="G21">
        <v>19</v>
      </c>
      <c r="I21">
        <v>73366026919</v>
      </c>
      <c r="J21" t="s">
        <v>741</v>
      </c>
      <c r="K21" t="s">
        <v>1396</v>
      </c>
      <c r="L21" s="22">
        <v>41887</v>
      </c>
      <c r="O21" t="s">
        <v>1454</v>
      </c>
      <c r="P21" t="s">
        <v>1597</v>
      </c>
      <c r="Q21">
        <v>36302809675</v>
      </c>
      <c r="R21" t="s">
        <v>1455</v>
      </c>
      <c r="S21" t="s">
        <v>1456</v>
      </c>
      <c r="T21" t="s">
        <v>1455</v>
      </c>
      <c r="U21" s="23" t="s">
        <v>1560</v>
      </c>
      <c r="V21" t="s">
        <v>465</v>
      </c>
      <c r="W21" t="s">
        <v>466</v>
      </c>
      <c r="X21" t="s">
        <v>467</v>
      </c>
      <c r="Y21">
        <v>42</v>
      </c>
      <c r="Z21">
        <v>48</v>
      </c>
      <c r="AA21" s="6">
        <v>90</v>
      </c>
      <c r="AB21" s="6">
        <v>112.5</v>
      </c>
      <c r="AC21">
        <v>40</v>
      </c>
      <c r="AD21" s="6">
        <v>152.5</v>
      </c>
      <c r="AH21" s="6">
        <v>0</v>
      </c>
      <c r="AI21" s="10">
        <v>152.5</v>
      </c>
      <c r="AP21" t="s">
        <v>716</v>
      </c>
      <c r="AQ21" t="s">
        <v>716</v>
      </c>
    </row>
    <row r="22" spans="7:46" x14ac:dyDescent="0.25">
      <c r="G22" s="25">
        <v>46</v>
      </c>
      <c r="I22">
        <v>73379130360</v>
      </c>
      <c r="J22" t="s">
        <v>743</v>
      </c>
      <c r="K22" t="s">
        <v>1436</v>
      </c>
      <c r="L22" s="22">
        <v>41991</v>
      </c>
      <c r="O22" t="s">
        <v>1457</v>
      </c>
      <c r="P22" t="s">
        <v>1598</v>
      </c>
      <c r="Q22">
        <v>36206614690</v>
      </c>
      <c r="R22" t="s">
        <v>1458</v>
      </c>
      <c r="S22" t="s">
        <v>1459</v>
      </c>
      <c r="T22" t="s">
        <v>1458</v>
      </c>
      <c r="U22" s="23" t="s">
        <v>1561</v>
      </c>
      <c r="V22" t="s">
        <v>417</v>
      </c>
      <c r="W22" t="s">
        <v>418</v>
      </c>
      <c r="X22" t="s">
        <v>419</v>
      </c>
      <c r="Y22">
        <v>35</v>
      </c>
      <c r="Z22">
        <v>33</v>
      </c>
      <c r="AA22" s="6">
        <v>68</v>
      </c>
      <c r="AB22" s="6">
        <v>85</v>
      </c>
      <c r="AC22">
        <v>17</v>
      </c>
      <c r="AD22" s="6">
        <v>102</v>
      </c>
      <c r="AH22" s="6">
        <v>0</v>
      </c>
      <c r="AI22" s="10">
        <v>102</v>
      </c>
      <c r="AP22" t="s">
        <v>716</v>
      </c>
      <c r="AQ22" t="s">
        <v>716</v>
      </c>
      <c r="AR22" t="s">
        <v>716</v>
      </c>
      <c r="AS22" t="s">
        <v>716</v>
      </c>
      <c r="AT22" t="s">
        <v>1460</v>
      </c>
    </row>
    <row r="23" spans="7:46" x14ac:dyDescent="0.25">
      <c r="G23">
        <v>3</v>
      </c>
      <c r="I23">
        <v>73385730968</v>
      </c>
      <c r="J23" t="s">
        <v>744</v>
      </c>
      <c r="K23" t="s">
        <v>1461</v>
      </c>
      <c r="L23" s="22">
        <v>42013</v>
      </c>
      <c r="O23" t="s">
        <v>1462</v>
      </c>
      <c r="P23" t="s">
        <v>1599</v>
      </c>
      <c r="Q23">
        <v>36302607728</v>
      </c>
      <c r="R23" t="s">
        <v>1463</v>
      </c>
      <c r="S23" t="s">
        <v>1462</v>
      </c>
      <c r="T23" t="s">
        <v>1463</v>
      </c>
      <c r="U23" s="23" t="s">
        <v>1562</v>
      </c>
      <c r="V23" t="s">
        <v>119</v>
      </c>
      <c r="W23" t="s">
        <v>120</v>
      </c>
      <c r="X23" t="s">
        <v>121</v>
      </c>
      <c r="Y23">
        <v>45</v>
      </c>
      <c r="Z23">
        <v>44</v>
      </c>
      <c r="AA23" s="6">
        <v>89</v>
      </c>
      <c r="AB23" s="6">
        <v>111.25</v>
      </c>
      <c r="AC23">
        <v>55</v>
      </c>
      <c r="AD23" s="6">
        <v>166.25</v>
      </c>
      <c r="AH23" s="6">
        <v>0</v>
      </c>
      <c r="AI23" s="10">
        <v>166.25</v>
      </c>
      <c r="AO23" t="s">
        <v>1464</v>
      </c>
      <c r="AP23" t="s">
        <v>716</v>
      </c>
      <c r="AQ23" t="s">
        <v>716</v>
      </c>
      <c r="AR23" t="s">
        <v>716</v>
      </c>
      <c r="AS23" t="s">
        <v>716</v>
      </c>
    </row>
    <row r="24" spans="7:46" x14ac:dyDescent="0.25">
      <c r="G24">
        <v>13</v>
      </c>
      <c r="I24">
        <v>73385578325</v>
      </c>
      <c r="J24" t="s">
        <v>746</v>
      </c>
      <c r="K24" t="s">
        <v>1436</v>
      </c>
      <c r="L24" s="22">
        <v>42000</v>
      </c>
      <c r="O24" t="s">
        <v>1465</v>
      </c>
      <c r="P24" t="s">
        <v>1600</v>
      </c>
      <c r="Q24">
        <v>36302347132</v>
      </c>
      <c r="R24" t="s">
        <v>1466</v>
      </c>
      <c r="S24" t="s">
        <v>1465</v>
      </c>
      <c r="T24" t="s">
        <v>1466</v>
      </c>
      <c r="U24" s="23" t="s">
        <v>1563</v>
      </c>
      <c r="V24" t="s">
        <v>640</v>
      </c>
      <c r="W24" t="s">
        <v>641</v>
      </c>
      <c r="X24" t="s">
        <v>642</v>
      </c>
      <c r="Y24">
        <v>40</v>
      </c>
      <c r="Z24">
        <v>41</v>
      </c>
      <c r="AA24" s="6">
        <v>81</v>
      </c>
      <c r="AB24" s="6">
        <v>101.25</v>
      </c>
      <c r="AC24">
        <v>55</v>
      </c>
      <c r="AD24" s="6">
        <v>156.25</v>
      </c>
      <c r="AH24" s="6">
        <v>0</v>
      </c>
      <c r="AI24" s="10">
        <v>156.25</v>
      </c>
      <c r="AP24" t="s">
        <v>716</v>
      </c>
      <c r="AQ24" t="s">
        <v>716</v>
      </c>
      <c r="AR24" t="s">
        <v>716</v>
      </c>
      <c r="AS24" t="s">
        <v>716</v>
      </c>
    </row>
    <row r="25" spans="7:46" x14ac:dyDescent="0.25">
      <c r="G25">
        <v>24</v>
      </c>
      <c r="I25">
        <v>73367953419</v>
      </c>
      <c r="J25" t="s">
        <v>748</v>
      </c>
      <c r="K25" t="s">
        <v>1436</v>
      </c>
      <c r="L25" s="22">
        <v>41991</v>
      </c>
      <c r="O25" t="s">
        <v>1467</v>
      </c>
      <c r="P25" t="s">
        <v>1601</v>
      </c>
      <c r="Q25">
        <v>36204249963</v>
      </c>
      <c r="R25" t="s">
        <v>1468</v>
      </c>
      <c r="S25" t="s">
        <v>1467</v>
      </c>
      <c r="T25" t="s">
        <v>1468</v>
      </c>
      <c r="U25" s="23" t="s">
        <v>1564</v>
      </c>
      <c r="V25" t="s">
        <v>579</v>
      </c>
      <c r="W25" t="s">
        <v>580</v>
      </c>
      <c r="X25" t="s">
        <v>581</v>
      </c>
      <c r="Y25">
        <v>38</v>
      </c>
      <c r="Z25">
        <v>39</v>
      </c>
      <c r="AA25" s="6">
        <v>77</v>
      </c>
      <c r="AB25" s="6">
        <v>96.25</v>
      </c>
      <c r="AC25">
        <v>49</v>
      </c>
      <c r="AD25" s="6">
        <v>145.25</v>
      </c>
      <c r="AH25" s="6">
        <v>0</v>
      </c>
      <c r="AI25" s="10">
        <v>145.25</v>
      </c>
      <c r="AP25" t="s">
        <v>716</v>
      </c>
      <c r="AQ25" t="s">
        <v>716</v>
      </c>
      <c r="AR25" t="s">
        <v>716</v>
      </c>
      <c r="AS25" t="s">
        <v>716</v>
      </c>
    </row>
    <row r="26" spans="7:46" x14ac:dyDescent="0.25">
      <c r="G26">
        <v>26</v>
      </c>
      <c r="I26">
        <v>73326905842</v>
      </c>
      <c r="J26" t="s">
        <v>749</v>
      </c>
      <c r="K26" t="s">
        <v>1396</v>
      </c>
      <c r="L26" s="22">
        <v>41973</v>
      </c>
      <c r="O26" t="s">
        <v>1469</v>
      </c>
      <c r="P26" t="s">
        <v>1602</v>
      </c>
      <c r="Q26">
        <v>36209876967</v>
      </c>
      <c r="R26" t="s">
        <v>1470</v>
      </c>
      <c r="S26" t="s">
        <v>749</v>
      </c>
      <c r="T26" t="s">
        <v>1470</v>
      </c>
      <c r="U26" s="23"/>
      <c r="Y26">
        <v>38</v>
      </c>
      <c r="Z26">
        <v>37</v>
      </c>
      <c r="AA26" s="6">
        <v>75</v>
      </c>
      <c r="AB26" s="6">
        <v>93.75</v>
      </c>
      <c r="AC26">
        <v>50</v>
      </c>
      <c r="AD26" s="6">
        <v>143.75</v>
      </c>
      <c r="AH26" s="6">
        <v>0</v>
      </c>
      <c r="AI26" s="10">
        <v>143.75</v>
      </c>
      <c r="AP26" t="s">
        <v>716</v>
      </c>
      <c r="AQ26" t="s">
        <v>716</v>
      </c>
    </row>
    <row r="27" spans="7:46" x14ac:dyDescent="0.25">
      <c r="G27">
        <v>16</v>
      </c>
      <c r="I27">
        <v>73323923130</v>
      </c>
      <c r="J27" t="s">
        <v>750</v>
      </c>
      <c r="K27" t="s">
        <v>1471</v>
      </c>
      <c r="L27" s="22">
        <v>41921</v>
      </c>
      <c r="O27" t="s">
        <v>1472</v>
      </c>
      <c r="P27" t="s">
        <v>1603</v>
      </c>
      <c r="Q27">
        <v>36302822000</v>
      </c>
      <c r="R27" t="s">
        <v>1473</v>
      </c>
      <c r="S27" t="s">
        <v>1474</v>
      </c>
      <c r="T27" t="s">
        <v>1473</v>
      </c>
      <c r="U27" s="23"/>
      <c r="Y27">
        <v>48</v>
      </c>
      <c r="Z27">
        <v>39</v>
      </c>
      <c r="AA27" s="6">
        <v>87</v>
      </c>
      <c r="AB27" s="6">
        <v>108.75</v>
      </c>
      <c r="AC27">
        <v>45</v>
      </c>
      <c r="AD27" s="6">
        <v>153.75</v>
      </c>
      <c r="AH27" s="6">
        <v>0</v>
      </c>
      <c r="AI27" s="10">
        <v>153.75</v>
      </c>
      <c r="AP27" t="s">
        <v>716</v>
      </c>
      <c r="AQ27" t="s">
        <v>716</v>
      </c>
      <c r="AR27" t="s">
        <v>716</v>
      </c>
    </row>
    <row r="28" spans="7:46" x14ac:dyDescent="0.25">
      <c r="G28">
        <v>36</v>
      </c>
      <c r="I28">
        <v>73355347846</v>
      </c>
      <c r="J28" t="s">
        <v>751</v>
      </c>
      <c r="K28" t="s">
        <v>1399</v>
      </c>
      <c r="L28" s="22">
        <v>42010</v>
      </c>
      <c r="O28" t="s">
        <v>1475</v>
      </c>
      <c r="P28" t="s">
        <v>1604</v>
      </c>
      <c r="R28" t="s">
        <v>1476</v>
      </c>
      <c r="S28" t="s">
        <v>1477</v>
      </c>
      <c r="T28" t="s">
        <v>1478</v>
      </c>
      <c r="U28" s="23" t="s">
        <v>1565</v>
      </c>
      <c r="V28" t="s">
        <v>286</v>
      </c>
      <c r="W28" t="s">
        <v>287</v>
      </c>
      <c r="X28" t="s">
        <v>288</v>
      </c>
      <c r="Y28">
        <v>44</v>
      </c>
      <c r="Z28">
        <v>47</v>
      </c>
      <c r="AA28" s="6">
        <v>91</v>
      </c>
      <c r="AB28" s="6">
        <v>113.75</v>
      </c>
      <c r="AC28">
        <v>10</v>
      </c>
      <c r="AD28" s="6">
        <v>123.75</v>
      </c>
      <c r="AH28" s="6">
        <v>0</v>
      </c>
      <c r="AI28" s="10">
        <v>123.75</v>
      </c>
      <c r="AK28" t="s">
        <v>716</v>
      </c>
      <c r="AP28" t="s">
        <v>716</v>
      </c>
      <c r="AQ28" t="s">
        <v>716</v>
      </c>
    </row>
    <row r="29" spans="7:46" x14ac:dyDescent="0.25">
      <c r="G29">
        <v>2</v>
      </c>
      <c r="I29">
        <v>73289680271</v>
      </c>
      <c r="J29" t="s">
        <v>752</v>
      </c>
      <c r="K29" t="s">
        <v>1399</v>
      </c>
      <c r="L29" s="22">
        <v>41910</v>
      </c>
      <c r="O29" t="s">
        <v>1479</v>
      </c>
      <c r="P29" t="s">
        <v>1605</v>
      </c>
      <c r="Q29">
        <v>36204051529</v>
      </c>
      <c r="R29" t="s">
        <v>1480</v>
      </c>
      <c r="S29" t="s">
        <v>1481</v>
      </c>
      <c r="T29" t="s">
        <v>1480</v>
      </c>
      <c r="U29" s="23" t="s">
        <v>1566</v>
      </c>
      <c r="V29" t="s">
        <v>425</v>
      </c>
      <c r="W29" t="s">
        <v>426</v>
      </c>
      <c r="X29" t="s">
        <v>427</v>
      </c>
      <c r="Y29">
        <v>44</v>
      </c>
      <c r="Z29">
        <v>42</v>
      </c>
      <c r="AA29" s="6">
        <v>86</v>
      </c>
      <c r="AB29" s="6">
        <v>107.5</v>
      </c>
      <c r="AC29">
        <v>60</v>
      </c>
      <c r="AD29" s="6">
        <v>167.5</v>
      </c>
      <c r="AH29" s="6">
        <v>0</v>
      </c>
      <c r="AI29" s="10">
        <v>167.5</v>
      </c>
      <c r="AP29" t="s">
        <v>716</v>
      </c>
      <c r="AQ29" t="s">
        <v>716</v>
      </c>
      <c r="AR29" t="s">
        <v>716</v>
      </c>
    </row>
    <row r="30" spans="7:46" x14ac:dyDescent="0.25">
      <c r="G30">
        <v>17</v>
      </c>
      <c r="I30">
        <v>73385370685</v>
      </c>
      <c r="J30" t="s">
        <v>753</v>
      </c>
      <c r="K30" t="s">
        <v>1436</v>
      </c>
      <c r="L30" s="22">
        <v>42154</v>
      </c>
      <c r="O30" t="s">
        <v>1482</v>
      </c>
      <c r="P30" t="s">
        <v>1606</v>
      </c>
      <c r="Q30">
        <v>36309670659</v>
      </c>
      <c r="R30" t="s">
        <v>1483</v>
      </c>
      <c r="S30" t="s">
        <v>1484</v>
      </c>
      <c r="T30" t="s">
        <v>1483</v>
      </c>
      <c r="U30" s="23" t="s">
        <v>1567</v>
      </c>
      <c r="V30" t="s">
        <v>597</v>
      </c>
      <c r="W30" t="s">
        <v>598</v>
      </c>
      <c r="X30" t="s">
        <v>599</v>
      </c>
      <c r="Y30">
        <v>40</v>
      </c>
      <c r="Z30">
        <v>39</v>
      </c>
      <c r="AA30" s="6">
        <v>79</v>
      </c>
      <c r="AB30" s="6">
        <v>98.75</v>
      </c>
      <c r="AC30">
        <v>55</v>
      </c>
      <c r="AD30" s="6">
        <v>153.75</v>
      </c>
      <c r="AH30" s="6">
        <v>0</v>
      </c>
      <c r="AI30" s="10">
        <v>153.75</v>
      </c>
      <c r="AP30" t="s">
        <v>716</v>
      </c>
      <c r="AQ30" t="s">
        <v>716</v>
      </c>
      <c r="AR30" t="s">
        <v>716</v>
      </c>
      <c r="AS30" t="s">
        <v>716</v>
      </c>
    </row>
    <row r="31" spans="7:46" x14ac:dyDescent="0.25">
      <c r="G31">
        <v>27</v>
      </c>
      <c r="I31">
        <v>73282349738</v>
      </c>
      <c r="J31" t="s">
        <v>754</v>
      </c>
      <c r="K31" t="s">
        <v>1396</v>
      </c>
      <c r="L31" s="22">
        <v>41791</v>
      </c>
      <c r="O31" t="s">
        <v>1485</v>
      </c>
      <c r="P31" t="s">
        <v>1607</v>
      </c>
      <c r="Q31">
        <v>36304757065</v>
      </c>
      <c r="R31" t="s">
        <v>1486</v>
      </c>
      <c r="S31" t="s">
        <v>1487</v>
      </c>
      <c r="T31" t="s">
        <v>1486</v>
      </c>
      <c r="U31" s="23" t="s">
        <v>1552</v>
      </c>
      <c r="V31" t="s">
        <v>310</v>
      </c>
      <c r="W31" t="s">
        <v>311</v>
      </c>
      <c r="X31" t="s">
        <v>312</v>
      </c>
      <c r="Y31">
        <v>44</v>
      </c>
      <c r="Z31">
        <v>27</v>
      </c>
      <c r="AA31" s="6">
        <v>71</v>
      </c>
      <c r="AB31" s="6">
        <v>88.75</v>
      </c>
      <c r="AC31">
        <v>54</v>
      </c>
      <c r="AD31" s="6">
        <v>142.75</v>
      </c>
      <c r="AH31" s="6">
        <v>0</v>
      </c>
      <c r="AI31" s="10">
        <v>142.75</v>
      </c>
      <c r="AP31" t="s">
        <v>716</v>
      </c>
      <c r="AQ31" t="s">
        <v>716</v>
      </c>
      <c r="AR31" t="s">
        <v>716</v>
      </c>
      <c r="AS31" t="s">
        <v>716</v>
      </c>
    </row>
    <row r="32" spans="7:46" x14ac:dyDescent="0.25">
      <c r="G32">
        <v>10</v>
      </c>
      <c r="I32">
        <v>73341109717</v>
      </c>
      <c r="J32" t="s">
        <v>755</v>
      </c>
      <c r="K32" t="s">
        <v>1488</v>
      </c>
      <c r="L32" s="22">
        <v>42201</v>
      </c>
      <c r="O32" t="s">
        <v>1489</v>
      </c>
      <c r="P32" t="s">
        <v>1608</v>
      </c>
      <c r="Q32">
        <v>36303663312</v>
      </c>
      <c r="R32" t="s">
        <v>1490</v>
      </c>
      <c r="S32" t="s">
        <v>1489</v>
      </c>
      <c r="T32" t="s">
        <v>1490</v>
      </c>
      <c r="U32" s="23" t="s">
        <v>1568</v>
      </c>
      <c r="V32" t="s">
        <v>407</v>
      </c>
      <c r="W32" t="s">
        <v>408</v>
      </c>
      <c r="X32" t="s">
        <v>409</v>
      </c>
      <c r="Y32">
        <v>41</v>
      </c>
      <c r="Z32">
        <v>41</v>
      </c>
      <c r="AA32" s="6">
        <v>82</v>
      </c>
      <c r="AB32" s="6">
        <v>102.5</v>
      </c>
      <c r="AC32">
        <v>55</v>
      </c>
      <c r="AD32" s="6">
        <v>157.5</v>
      </c>
      <c r="AH32" s="6">
        <v>0</v>
      </c>
      <c r="AI32" s="10">
        <v>157.5</v>
      </c>
      <c r="AP32" t="s">
        <v>716</v>
      </c>
      <c r="AQ32" t="s">
        <v>716</v>
      </c>
      <c r="AS32" t="s">
        <v>716</v>
      </c>
    </row>
    <row r="33" spans="7:45" x14ac:dyDescent="0.25">
      <c r="G33">
        <v>18</v>
      </c>
      <c r="I33">
        <v>73274202802</v>
      </c>
      <c r="J33" t="s">
        <v>756</v>
      </c>
      <c r="K33" t="s">
        <v>1399</v>
      </c>
      <c r="L33" s="22">
        <v>41815</v>
      </c>
      <c r="O33" t="s">
        <v>1491</v>
      </c>
      <c r="P33" t="s">
        <v>1609</v>
      </c>
      <c r="Q33">
        <v>36204615194</v>
      </c>
      <c r="R33" t="s">
        <v>1492</v>
      </c>
      <c r="S33" t="s">
        <v>1493</v>
      </c>
      <c r="T33" t="s">
        <v>1492</v>
      </c>
      <c r="U33" s="23" t="s">
        <v>1569</v>
      </c>
      <c r="V33" t="s">
        <v>332</v>
      </c>
      <c r="W33" t="s">
        <v>333</v>
      </c>
      <c r="X33" t="s">
        <v>148</v>
      </c>
      <c r="Y33">
        <v>44</v>
      </c>
      <c r="Z33">
        <v>39</v>
      </c>
      <c r="AA33" s="6">
        <v>83</v>
      </c>
      <c r="AB33" s="6">
        <v>103.75</v>
      </c>
      <c r="AC33">
        <v>50</v>
      </c>
      <c r="AD33" s="6">
        <v>153.75</v>
      </c>
      <c r="AH33" s="6">
        <v>0</v>
      </c>
      <c r="AI33" s="10">
        <v>153.75</v>
      </c>
      <c r="AP33" t="s">
        <v>716</v>
      </c>
      <c r="AQ33" t="s">
        <v>716</v>
      </c>
      <c r="AR33" t="s">
        <v>716</v>
      </c>
      <c r="AS33" t="s">
        <v>716</v>
      </c>
    </row>
    <row r="34" spans="7:45" x14ac:dyDescent="0.25">
      <c r="G34">
        <v>38</v>
      </c>
      <c r="I34">
        <v>73381619751</v>
      </c>
      <c r="J34" t="s">
        <v>757</v>
      </c>
      <c r="K34" t="s">
        <v>1445</v>
      </c>
      <c r="L34" s="22">
        <v>42101</v>
      </c>
      <c r="O34" t="s">
        <v>1494</v>
      </c>
      <c r="P34" t="s">
        <v>1610</v>
      </c>
      <c r="Q34">
        <v>36303062251</v>
      </c>
      <c r="R34" t="s">
        <v>1495</v>
      </c>
      <c r="S34" t="s">
        <v>1496</v>
      </c>
      <c r="T34" t="s">
        <v>1497</v>
      </c>
      <c r="U34" s="23" t="s">
        <v>1570</v>
      </c>
      <c r="V34" t="s">
        <v>193</v>
      </c>
      <c r="W34" t="s">
        <v>194</v>
      </c>
      <c r="X34" t="s">
        <v>195</v>
      </c>
      <c r="Y34">
        <v>39</v>
      </c>
      <c r="Z34">
        <v>47</v>
      </c>
      <c r="AA34" s="6">
        <v>86</v>
      </c>
      <c r="AB34" s="6">
        <v>107.5</v>
      </c>
      <c r="AC34">
        <v>15</v>
      </c>
      <c r="AD34" s="6">
        <v>122.5</v>
      </c>
      <c r="AH34" s="6">
        <v>0</v>
      </c>
      <c r="AI34" s="10">
        <v>122.5</v>
      </c>
      <c r="AP34" t="s">
        <v>716</v>
      </c>
      <c r="AQ34" t="s">
        <v>716</v>
      </c>
      <c r="AR34" t="s">
        <v>716</v>
      </c>
    </row>
    <row r="35" spans="7:45" x14ac:dyDescent="0.25">
      <c r="G35">
        <v>12</v>
      </c>
      <c r="I35">
        <v>73344603803</v>
      </c>
      <c r="J35" t="s">
        <v>759</v>
      </c>
      <c r="K35" t="s">
        <v>1399</v>
      </c>
      <c r="L35" s="22">
        <v>41900</v>
      </c>
      <c r="O35" t="s">
        <v>1498</v>
      </c>
      <c r="P35" t="s">
        <v>1611</v>
      </c>
      <c r="Q35">
        <v>36203518697</v>
      </c>
      <c r="R35" t="s">
        <v>1499</v>
      </c>
      <c r="S35" t="s">
        <v>1500</v>
      </c>
      <c r="T35" t="s">
        <v>1499</v>
      </c>
      <c r="U35" s="23" t="s">
        <v>1571</v>
      </c>
      <c r="V35" t="s">
        <v>205</v>
      </c>
      <c r="W35" t="s">
        <v>206</v>
      </c>
      <c r="X35" t="s">
        <v>207</v>
      </c>
      <c r="Y35">
        <v>46</v>
      </c>
      <c r="Z35">
        <v>43</v>
      </c>
      <c r="AA35" s="6">
        <v>89</v>
      </c>
      <c r="AB35" s="6">
        <v>111.25</v>
      </c>
      <c r="AC35">
        <v>45</v>
      </c>
      <c r="AD35" s="6">
        <v>156.25</v>
      </c>
      <c r="AH35" s="6">
        <v>0</v>
      </c>
      <c r="AI35" s="10">
        <v>156.25</v>
      </c>
      <c r="AP35" t="s">
        <v>716</v>
      </c>
      <c r="AQ35" t="s">
        <v>716</v>
      </c>
      <c r="AR35" t="s">
        <v>716</v>
      </c>
    </row>
    <row r="36" spans="7:45" x14ac:dyDescent="0.25">
      <c r="G36">
        <v>47</v>
      </c>
      <c r="I36">
        <v>73377401769</v>
      </c>
      <c r="J36" t="s">
        <v>760</v>
      </c>
      <c r="K36" t="s">
        <v>1501</v>
      </c>
      <c r="L36" s="22">
        <v>41982</v>
      </c>
      <c r="O36" t="s">
        <v>1502</v>
      </c>
      <c r="P36" t="s">
        <v>1612</v>
      </c>
      <c r="R36" t="s">
        <v>1503</v>
      </c>
      <c r="S36" t="s">
        <v>1504</v>
      </c>
      <c r="T36" t="s">
        <v>1503</v>
      </c>
      <c r="U36" s="23"/>
      <c r="Y36">
        <v>38</v>
      </c>
      <c r="Z36">
        <v>34</v>
      </c>
      <c r="AA36" s="6">
        <v>72</v>
      </c>
      <c r="AB36" s="6">
        <v>90</v>
      </c>
      <c r="AC36">
        <v>10</v>
      </c>
      <c r="AD36" s="6">
        <v>100</v>
      </c>
      <c r="AH36" s="6">
        <v>0</v>
      </c>
      <c r="AI36" s="10">
        <v>100</v>
      </c>
      <c r="AP36" t="s">
        <v>716</v>
      </c>
      <c r="AQ36" t="s">
        <v>716</v>
      </c>
      <c r="AR36" t="s">
        <v>716</v>
      </c>
      <c r="AS36" t="s">
        <v>716</v>
      </c>
    </row>
    <row r="37" spans="7:45" x14ac:dyDescent="0.25">
      <c r="G37">
        <v>37</v>
      </c>
      <c r="I37">
        <v>73363467230</v>
      </c>
      <c r="J37" t="s">
        <v>761</v>
      </c>
      <c r="K37" t="s">
        <v>1505</v>
      </c>
      <c r="L37" s="22">
        <v>42039</v>
      </c>
      <c r="O37" t="s">
        <v>1506</v>
      </c>
      <c r="P37" t="s">
        <v>1613</v>
      </c>
      <c r="Q37">
        <v>36308695411</v>
      </c>
      <c r="R37" t="s">
        <v>1507</v>
      </c>
      <c r="S37" t="s">
        <v>1506</v>
      </c>
      <c r="T37" t="s">
        <v>1508</v>
      </c>
      <c r="U37" s="23" t="s">
        <v>1572</v>
      </c>
      <c r="V37" t="s">
        <v>232</v>
      </c>
      <c r="W37" t="s">
        <v>233</v>
      </c>
      <c r="X37" t="s">
        <v>234</v>
      </c>
      <c r="Y37">
        <v>42</v>
      </c>
      <c r="Z37">
        <v>48</v>
      </c>
      <c r="AA37" s="6">
        <v>90</v>
      </c>
      <c r="AB37" s="6">
        <v>112.5</v>
      </c>
      <c r="AC37">
        <v>10</v>
      </c>
      <c r="AD37" s="6">
        <v>122.5</v>
      </c>
      <c r="AH37" s="6">
        <v>0</v>
      </c>
      <c r="AI37" s="10">
        <v>122.5</v>
      </c>
      <c r="AR37" t="s">
        <v>716</v>
      </c>
    </row>
    <row r="38" spans="7:45" x14ac:dyDescent="0.25">
      <c r="G38">
        <v>20</v>
      </c>
      <c r="I38">
        <v>73514100658</v>
      </c>
      <c r="J38" t="s">
        <v>762</v>
      </c>
      <c r="K38" t="s">
        <v>1445</v>
      </c>
      <c r="L38" s="22">
        <v>42136</v>
      </c>
      <c r="O38" t="s">
        <v>1509</v>
      </c>
      <c r="P38" t="s">
        <v>1614</v>
      </c>
      <c r="R38" t="s">
        <v>1510</v>
      </c>
      <c r="S38" t="s">
        <v>1509</v>
      </c>
      <c r="T38" t="s">
        <v>1510</v>
      </c>
      <c r="U38" s="23" t="s">
        <v>1559</v>
      </c>
      <c r="V38" t="s">
        <v>593</v>
      </c>
      <c r="W38" t="s">
        <v>594</v>
      </c>
      <c r="X38" t="s">
        <v>595</v>
      </c>
      <c r="Y38">
        <v>39</v>
      </c>
      <c r="Z38">
        <v>39</v>
      </c>
      <c r="AA38" s="6">
        <v>78</v>
      </c>
      <c r="AB38" s="6">
        <v>97.5</v>
      </c>
      <c r="AC38">
        <v>55</v>
      </c>
      <c r="AD38" s="6">
        <v>152.5</v>
      </c>
      <c r="AH38" s="6">
        <v>0</v>
      </c>
      <c r="AI38" s="10">
        <v>152.5</v>
      </c>
      <c r="AP38" t="s">
        <v>716</v>
      </c>
      <c r="AQ38" t="s">
        <v>716</v>
      </c>
    </row>
    <row r="39" spans="7:45" x14ac:dyDescent="0.25">
      <c r="G39">
        <v>43</v>
      </c>
      <c r="I39">
        <v>73386303079</v>
      </c>
      <c r="J39" t="s">
        <v>763</v>
      </c>
      <c r="K39" t="s">
        <v>1436</v>
      </c>
      <c r="L39" s="22">
        <v>42093</v>
      </c>
      <c r="O39" t="s">
        <v>1511</v>
      </c>
      <c r="P39" t="s">
        <v>1615</v>
      </c>
      <c r="Q39">
        <v>36304251180</v>
      </c>
      <c r="R39" t="s">
        <v>1512</v>
      </c>
      <c r="S39" t="s">
        <v>1511</v>
      </c>
      <c r="T39" t="s">
        <v>1513</v>
      </c>
      <c r="U39" s="23" t="s">
        <v>1573</v>
      </c>
      <c r="V39" t="s">
        <v>523</v>
      </c>
      <c r="W39" t="s">
        <v>524</v>
      </c>
      <c r="X39" t="s">
        <v>525</v>
      </c>
      <c r="Y39">
        <v>35</v>
      </c>
      <c r="Z39">
        <v>39</v>
      </c>
      <c r="AA39" s="6">
        <v>74</v>
      </c>
      <c r="AB39" s="6">
        <v>92.5</v>
      </c>
      <c r="AC39">
        <v>14</v>
      </c>
      <c r="AD39" s="6">
        <v>106.5</v>
      </c>
      <c r="AH39" s="6">
        <v>0</v>
      </c>
      <c r="AI39" s="10">
        <v>106.5</v>
      </c>
      <c r="AM39" t="s">
        <v>716</v>
      </c>
      <c r="AP39" t="s">
        <v>716</v>
      </c>
      <c r="AQ39" t="s">
        <v>716</v>
      </c>
      <c r="AR39" t="s">
        <v>716</v>
      </c>
      <c r="AS39" t="s">
        <v>716</v>
      </c>
    </row>
    <row r="40" spans="7:45" x14ac:dyDescent="0.25">
      <c r="G40">
        <v>25</v>
      </c>
      <c r="I40">
        <v>73346874841</v>
      </c>
      <c r="J40" t="s">
        <v>764</v>
      </c>
      <c r="K40" t="s">
        <v>1436</v>
      </c>
      <c r="L40" s="22">
        <v>42158</v>
      </c>
      <c r="O40" t="s">
        <v>1514</v>
      </c>
      <c r="P40" t="s">
        <v>1616</v>
      </c>
      <c r="Q40">
        <v>36309193180</v>
      </c>
      <c r="R40" t="s">
        <v>1515</v>
      </c>
      <c r="S40" t="s">
        <v>1516</v>
      </c>
      <c r="T40" t="s">
        <v>1515</v>
      </c>
      <c r="U40" s="23" t="s">
        <v>1574</v>
      </c>
      <c r="V40" t="s">
        <v>563</v>
      </c>
      <c r="W40" t="s">
        <v>564</v>
      </c>
      <c r="X40" t="s">
        <v>565</v>
      </c>
      <c r="Y40">
        <v>38</v>
      </c>
      <c r="Z40">
        <v>38</v>
      </c>
      <c r="AA40" s="6">
        <v>76</v>
      </c>
      <c r="AB40" s="6">
        <v>95</v>
      </c>
      <c r="AC40">
        <v>50</v>
      </c>
      <c r="AD40" s="6">
        <v>145</v>
      </c>
      <c r="AH40" s="6">
        <v>0</v>
      </c>
      <c r="AI40" s="10">
        <v>145</v>
      </c>
      <c r="AP40" t="s">
        <v>716</v>
      </c>
      <c r="AQ40" t="s">
        <v>716</v>
      </c>
    </row>
    <row r="41" spans="7:45" x14ac:dyDescent="0.25">
      <c r="G41">
        <v>7</v>
      </c>
      <c r="I41">
        <v>73382777174</v>
      </c>
      <c r="J41" t="s">
        <v>765</v>
      </c>
      <c r="K41" t="s">
        <v>1402</v>
      </c>
      <c r="L41" s="22">
        <v>41986</v>
      </c>
      <c r="O41" t="s">
        <v>1517</v>
      </c>
      <c r="P41" t="s">
        <v>1617</v>
      </c>
      <c r="Q41">
        <v>36304584978</v>
      </c>
      <c r="R41" t="s">
        <v>1518</v>
      </c>
      <c r="S41" t="s">
        <v>1519</v>
      </c>
      <c r="T41" t="s">
        <v>1518</v>
      </c>
      <c r="U41" s="23" t="s">
        <v>1575</v>
      </c>
      <c r="V41" t="s">
        <v>551</v>
      </c>
      <c r="W41" t="s">
        <v>552</v>
      </c>
      <c r="X41" t="s">
        <v>553</v>
      </c>
      <c r="Y41">
        <v>44</v>
      </c>
      <c r="Z41">
        <v>41</v>
      </c>
      <c r="AA41" s="6">
        <v>85</v>
      </c>
      <c r="AB41" s="6">
        <v>106.25</v>
      </c>
      <c r="AC41">
        <v>55</v>
      </c>
      <c r="AD41" s="6">
        <v>161.25</v>
      </c>
      <c r="AH41" s="6">
        <v>0</v>
      </c>
      <c r="AI41" s="10">
        <v>161.25</v>
      </c>
      <c r="AP41" t="s">
        <v>716</v>
      </c>
      <c r="AQ41" t="s">
        <v>716</v>
      </c>
      <c r="AR41" t="s">
        <v>716</v>
      </c>
      <c r="AS41" t="s">
        <v>716</v>
      </c>
    </row>
    <row r="42" spans="7:45" x14ac:dyDescent="0.25">
      <c r="G42" s="25">
        <v>42</v>
      </c>
      <c r="I42">
        <v>73375753833</v>
      </c>
      <c r="J42" t="s">
        <v>767</v>
      </c>
      <c r="K42" t="s">
        <v>1396</v>
      </c>
      <c r="L42" s="22">
        <v>42090</v>
      </c>
      <c r="O42" t="s">
        <v>1520</v>
      </c>
      <c r="P42" t="s">
        <v>1618</v>
      </c>
      <c r="Q42">
        <v>36307229927</v>
      </c>
      <c r="R42" t="s">
        <v>1521</v>
      </c>
      <c r="T42" t="s">
        <v>1521</v>
      </c>
      <c r="U42" s="23" t="s">
        <v>1558</v>
      </c>
      <c r="V42" t="s">
        <v>351</v>
      </c>
      <c r="W42" t="s">
        <v>352</v>
      </c>
      <c r="X42" t="s">
        <v>353</v>
      </c>
      <c r="Y42">
        <v>38</v>
      </c>
      <c r="Z42">
        <v>27</v>
      </c>
      <c r="AA42" s="6">
        <v>65</v>
      </c>
      <c r="AB42" s="6">
        <v>81.25</v>
      </c>
      <c r="AC42">
        <v>30</v>
      </c>
      <c r="AD42" s="6">
        <v>111.25</v>
      </c>
      <c r="AH42" s="6">
        <v>0</v>
      </c>
      <c r="AI42" s="10">
        <v>111.25</v>
      </c>
      <c r="AP42" t="s">
        <v>716</v>
      </c>
      <c r="AQ42" t="s">
        <v>716</v>
      </c>
      <c r="AR42" t="s">
        <v>716</v>
      </c>
    </row>
    <row r="43" spans="7:45" x14ac:dyDescent="0.25">
      <c r="G43">
        <v>14</v>
      </c>
      <c r="I43">
        <v>73371455056</v>
      </c>
      <c r="J43" t="s">
        <v>768</v>
      </c>
      <c r="K43" t="s">
        <v>1450</v>
      </c>
      <c r="L43" s="22">
        <v>42199</v>
      </c>
      <c r="O43" t="s">
        <v>1522</v>
      </c>
      <c r="P43" t="s">
        <v>1619</v>
      </c>
      <c r="Q43">
        <v>36702809137</v>
      </c>
      <c r="R43" t="s">
        <v>1523</v>
      </c>
      <c r="S43" t="s">
        <v>1524</v>
      </c>
      <c r="T43" t="s">
        <v>1523</v>
      </c>
      <c r="U43" s="23" t="s">
        <v>1576</v>
      </c>
      <c r="V43" t="s">
        <v>159</v>
      </c>
      <c r="W43" t="s">
        <v>160</v>
      </c>
      <c r="X43" t="s">
        <v>161</v>
      </c>
      <c r="Y43">
        <v>36</v>
      </c>
      <c r="Z43">
        <v>44</v>
      </c>
      <c r="AA43" s="6">
        <v>80</v>
      </c>
      <c r="AB43" s="6">
        <v>100</v>
      </c>
      <c r="AC43">
        <v>54</v>
      </c>
      <c r="AD43" s="6">
        <v>154</v>
      </c>
      <c r="AH43" s="6">
        <v>0</v>
      </c>
      <c r="AI43" s="10">
        <v>154</v>
      </c>
      <c r="AO43" t="s">
        <v>1525</v>
      </c>
      <c r="AP43" t="s">
        <v>716</v>
      </c>
      <c r="AQ43" t="s">
        <v>716</v>
      </c>
      <c r="AR43" t="s">
        <v>716</v>
      </c>
      <c r="AS43" t="s">
        <v>716</v>
      </c>
    </row>
    <row r="44" spans="7:45" x14ac:dyDescent="0.25">
      <c r="G44">
        <v>5</v>
      </c>
      <c r="I44">
        <v>73269531256</v>
      </c>
      <c r="J44" t="s">
        <v>769</v>
      </c>
      <c r="K44" t="s">
        <v>1396</v>
      </c>
      <c r="L44" s="22">
        <v>41771</v>
      </c>
      <c r="O44" t="s">
        <v>1526</v>
      </c>
      <c r="P44" t="s">
        <v>1620</v>
      </c>
      <c r="Q44">
        <v>36707094017</v>
      </c>
      <c r="R44" t="s">
        <v>1527</v>
      </c>
      <c r="S44" t="s">
        <v>1528</v>
      </c>
      <c r="T44" t="s">
        <v>1527</v>
      </c>
      <c r="U44" s="23" t="s">
        <v>1552</v>
      </c>
      <c r="V44" t="s">
        <v>310</v>
      </c>
      <c r="W44" t="s">
        <v>311</v>
      </c>
      <c r="X44" t="s">
        <v>312</v>
      </c>
      <c r="Y44">
        <v>37</v>
      </c>
      <c r="Z44">
        <v>49</v>
      </c>
      <c r="AA44" s="6">
        <v>86</v>
      </c>
      <c r="AB44" s="6">
        <v>107.5</v>
      </c>
      <c r="AC44">
        <v>55</v>
      </c>
      <c r="AD44" s="6">
        <v>162.5</v>
      </c>
      <c r="AH44" s="6">
        <v>0</v>
      </c>
      <c r="AI44" s="10">
        <v>162.5</v>
      </c>
      <c r="AK44" t="s">
        <v>716</v>
      </c>
      <c r="AP44" t="s">
        <v>716</v>
      </c>
      <c r="AQ44" t="s">
        <v>716</v>
      </c>
      <c r="AR44" t="s">
        <v>716</v>
      </c>
      <c r="AS44" t="s">
        <v>716</v>
      </c>
    </row>
    <row r="45" spans="7:45" x14ac:dyDescent="0.25">
      <c r="G45">
        <v>39</v>
      </c>
      <c r="I45">
        <v>73282119489</v>
      </c>
      <c r="J45" t="s">
        <v>770</v>
      </c>
      <c r="K45" t="s">
        <v>1399</v>
      </c>
      <c r="L45" s="22">
        <v>41904</v>
      </c>
      <c r="O45" t="s">
        <v>1529</v>
      </c>
      <c r="P45" t="s">
        <v>1621</v>
      </c>
      <c r="Q45">
        <v>36305956123</v>
      </c>
      <c r="R45" t="s">
        <v>1530</v>
      </c>
      <c r="S45" t="s">
        <v>1531</v>
      </c>
      <c r="T45" t="s">
        <v>1532</v>
      </c>
      <c r="U45" s="23" t="s">
        <v>1577</v>
      </c>
      <c r="V45" t="s">
        <v>56</v>
      </c>
      <c r="W45" t="s">
        <v>57</v>
      </c>
      <c r="X45" t="s">
        <v>58</v>
      </c>
      <c r="Y45">
        <v>47</v>
      </c>
      <c r="Z45">
        <v>42</v>
      </c>
      <c r="AA45" s="6">
        <v>89</v>
      </c>
      <c r="AB45" s="6">
        <v>111.25</v>
      </c>
      <c r="AC45">
        <v>10</v>
      </c>
      <c r="AD45" s="6">
        <v>121.25</v>
      </c>
      <c r="AH45" s="6">
        <v>0</v>
      </c>
      <c r="AI45" s="10">
        <v>121.25</v>
      </c>
      <c r="AP45" t="s">
        <v>716</v>
      </c>
      <c r="AQ45" t="s">
        <v>716</v>
      </c>
      <c r="AR45" t="s">
        <v>716</v>
      </c>
      <c r="AS45" t="s">
        <v>716</v>
      </c>
    </row>
    <row r="46" spans="7:45" x14ac:dyDescent="0.25">
      <c r="G46" s="25">
        <v>31</v>
      </c>
      <c r="I46">
        <v>73370345443</v>
      </c>
      <c r="J46" t="s">
        <v>772</v>
      </c>
      <c r="K46" t="s">
        <v>1402</v>
      </c>
      <c r="L46" s="22">
        <v>42073</v>
      </c>
      <c r="O46" t="s">
        <v>1533</v>
      </c>
      <c r="P46" t="s">
        <v>1622</v>
      </c>
      <c r="Q46">
        <v>36203989589</v>
      </c>
      <c r="R46" t="s">
        <v>1534</v>
      </c>
      <c r="S46" t="s">
        <v>1533</v>
      </c>
      <c r="T46" t="s">
        <v>1534</v>
      </c>
      <c r="U46" s="23" t="s">
        <v>1553</v>
      </c>
      <c r="V46" t="s">
        <v>614</v>
      </c>
      <c r="W46" t="s">
        <v>615</v>
      </c>
      <c r="X46" t="s">
        <v>616</v>
      </c>
      <c r="Y46">
        <v>26</v>
      </c>
      <c r="Z46">
        <v>41</v>
      </c>
      <c r="AA46" s="6">
        <v>67</v>
      </c>
      <c r="AB46" s="6">
        <v>83.75</v>
      </c>
      <c r="AC46">
        <v>48</v>
      </c>
      <c r="AD46" s="6">
        <v>131.75</v>
      </c>
      <c r="AH46" s="6">
        <v>0</v>
      </c>
      <c r="AI46" s="10">
        <v>131.75</v>
      </c>
      <c r="AP46" t="s">
        <v>716</v>
      </c>
      <c r="AQ46" t="s">
        <v>716</v>
      </c>
      <c r="AR46" t="s">
        <v>716</v>
      </c>
      <c r="AS46" t="s">
        <v>716</v>
      </c>
    </row>
    <row r="47" spans="7:45" x14ac:dyDescent="0.25">
      <c r="G47">
        <v>9</v>
      </c>
      <c r="I47">
        <v>73578876494</v>
      </c>
      <c r="J47" t="s">
        <v>773</v>
      </c>
      <c r="K47" t="s">
        <v>1402</v>
      </c>
      <c r="L47" s="22">
        <v>42099</v>
      </c>
      <c r="O47" t="s">
        <v>1535</v>
      </c>
      <c r="P47" t="s">
        <v>1623</v>
      </c>
      <c r="Q47">
        <v>36303313958</v>
      </c>
      <c r="R47" t="s">
        <v>1536</v>
      </c>
      <c r="S47" t="s">
        <v>1537</v>
      </c>
      <c r="T47" t="s">
        <v>1536</v>
      </c>
      <c r="U47" s="23" t="s">
        <v>1578</v>
      </c>
      <c r="V47" t="s">
        <v>436</v>
      </c>
      <c r="W47" t="s">
        <v>437</v>
      </c>
      <c r="X47" t="s">
        <v>438</v>
      </c>
      <c r="Y47">
        <v>37</v>
      </c>
      <c r="Z47">
        <v>41</v>
      </c>
      <c r="AA47" s="6">
        <v>78</v>
      </c>
      <c r="AB47" s="6">
        <v>97.5</v>
      </c>
      <c r="AC47">
        <v>60</v>
      </c>
      <c r="AD47" s="6">
        <v>157.5</v>
      </c>
      <c r="AH47" s="6">
        <v>0</v>
      </c>
      <c r="AI47" s="10">
        <v>157.5</v>
      </c>
      <c r="AP47" t="s">
        <v>716</v>
      </c>
      <c r="AQ47" t="s">
        <v>716</v>
      </c>
      <c r="AR47" t="s">
        <v>716</v>
      </c>
      <c r="AS47" t="s">
        <v>716</v>
      </c>
    </row>
    <row r="48" spans="7:45" x14ac:dyDescent="0.25">
      <c r="G48">
        <v>6</v>
      </c>
      <c r="I48">
        <v>73283014392</v>
      </c>
      <c r="J48" t="s">
        <v>774</v>
      </c>
      <c r="K48" t="s">
        <v>1461</v>
      </c>
      <c r="L48" s="22">
        <v>41788</v>
      </c>
      <c r="O48" t="s">
        <v>1538</v>
      </c>
      <c r="P48" t="s">
        <v>1624</v>
      </c>
      <c r="Q48">
        <v>36302073571</v>
      </c>
      <c r="R48" t="s">
        <v>1539</v>
      </c>
      <c r="S48" t="s">
        <v>1540</v>
      </c>
      <c r="T48" t="s">
        <v>1539</v>
      </c>
      <c r="U48" s="23"/>
      <c r="Y48">
        <v>38</v>
      </c>
      <c r="Z48">
        <v>47</v>
      </c>
      <c r="AA48" s="6">
        <v>85</v>
      </c>
      <c r="AB48" s="6">
        <v>106.25</v>
      </c>
      <c r="AC48">
        <v>55</v>
      </c>
      <c r="AD48" s="6">
        <v>161.25</v>
      </c>
      <c r="AH48" s="6">
        <v>0</v>
      </c>
      <c r="AI48" s="10">
        <v>161.25</v>
      </c>
      <c r="AP48" t="s">
        <v>716</v>
      </c>
      <c r="AQ48" t="s">
        <v>716</v>
      </c>
      <c r="AR48" t="s">
        <v>716</v>
      </c>
      <c r="AS48" t="s">
        <v>716</v>
      </c>
    </row>
    <row r="49" spans="7:44" x14ac:dyDescent="0.25">
      <c r="G49">
        <v>40</v>
      </c>
      <c r="I49">
        <v>73355348440</v>
      </c>
      <c r="J49" t="s">
        <v>775</v>
      </c>
      <c r="K49" t="s">
        <v>1541</v>
      </c>
      <c r="L49" s="22">
        <v>42041</v>
      </c>
      <c r="O49" t="s">
        <v>1542</v>
      </c>
      <c r="P49" t="s">
        <v>1625</v>
      </c>
      <c r="Q49">
        <v>36202571258</v>
      </c>
      <c r="R49" t="s">
        <v>1543</v>
      </c>
      <c r="S49" t="s">
        <v>1542</v>
      </c>
      <c r="T49" t="s">
        <v>1543</v>
      </c>
      <c r="U49" s="23" t="s">
        <v>1565</v>
      </c>
      <c r="V49" t="s">
        <v>286</v>
      </c>
      <c r="W49" t="s">
        <v>287</v>
      </c>
      <c r="X49" t="s">
        <v>288</v>
      </c>
      <c r="Y49">
        <v>48</v>
      </c>
      <c r="Z49">
        <v>39</v>
      </c>
      <c r="AA49" s="6">
        <v>87</v>
      </c>
      <c r="AB49" s="6">
        <v>108.75</v>
      </c>
      <c r="AC49">
        <v>10</v>
      </c>
      <c r="AD49" s="6">
        <v>118.75</v>
      </c>
      <c r="AH49" s="6">
        <v>0</v>
      </c>
      <c r="AI49" s="10">
        <v>118.75</v>
      </c>
      <c r="AK49" t="s">
        <v>716</v>
      </c>
      <c r="AQ49" t="s">
        <v>716</v>
      </c>
      <c r="AR49" t="s">
        <v>716</v>
      </c>
    </row>
    <row r="50" spans="7:44" x14ac:dyDescent="0.25">
      <c r="G50">
        <v>48</v>
      </c>
      <c r="I50">
        <v>73389500821</v>
      </c>
      <c r="J50" t="s">
        <v>777</v>
      </c>
      <c r="K50" t="s">
        <v>1399</v>
      </c>
      <c r="L50" s="22">
        <v>42090</v>
      </c>
      <c r="O50" t="s">
        <v>1544</v>
      </c>
      <c r="Q50">
        <v>36302190184</v>
      </c>
      <c r="R50" t="s">
        <v>1545</v>
      </c>
      <c r="S50" t="s">
        <v>1544</v>
      </c>
      <c r="T50" t="s">
        <v>1545</v>
      </c>
      <c r="U50" s="23" t="s">
        <v>1579</v>
      </c>
      <c r="V50" t="s">
        <v>340</v>
      </c>
      <c r="W50" t="s">
        <v>341</v>
      </c>
      <c r="X50" t="s">
        <v>342</v>
      </c>
      <c r="Y50">
        <v>35</v>
      </c>
      <c r="Z50">
        <v>36</v>
      </c>
      <c r="AA50" s="6">
        <v>71</v>
      </c>
      <c r="AB50" s="6">
        <v>88.75</v>
      </c>
      <c r="AC50">
        <v>10</v>
      </c>
      <c r="AD50" s="6">
        <v>98.75</v>
      </c>
      <c r="AH50" s="6">
        <v>0</v>
      </c>
      <c r="AI50" s="10">
        <v>98.75</v>
      </c>
      <c r="AP50" t="s">
        <v>716</v>
      </c>
    </row>
    <row r="279" ht="14.25" customHeight="1" x14ac:dyDescent="0.25"/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7FE759-52B5-4FA8-8AAF-0062624D620C}">
          <x14:formula1>
            <xm:f>adatok!$F$4:$F$203</xm:f>
          </x14:formula1>
          <xm:sqref>V2:V50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7CBAD-9C6E-40D7-B230-2BE80570CEC9}">
  <sheetPr codeName="Munka1"/>
  <dimension ref="A1:M344"/>
  <sheetViews>
    <sheetView topLeftCell="A13" zoomScaleNormal="100" workbookViewId="0">
      <selection activeCell="M2" sqref="M2"/>
    </sheetView>
  </sheetViews>
  <sheetFormatPr defaultRowHeight="15" x14ac:dyDescent="0.25"/>
  <cols>
    <col min="1" max="1" width="31" bestFit="1" customWidth="1"/>
    <col min="2" max="2" width="12" bestFit="1" customWidth="1"/>
    <col min="3" max="3" width="9.7109375" bestFit="1" customWidth="1"/>
    <col min="4" max="4" width="13.7109375" customWidth="1"/>
    <col min="5" max="5" width="13.85546875" bestFit="1" customWidth="1"/>
    <col min="7" max="7" width="14.140625" bestFit="1" customWidth="1"/>
    <col min="9" max="9" width="8.7109375" bestFit="1" customWidth="1"/>
    <col min="11" max="11" width="8.7109375" bestFit="1" customWidth="1"/>
    <col min="12" max="12" width="14" bestFit="1" customWidth="1"/>
    <col min="13" max="14" width="13.28515625" customWidth="1"/>
    <col min="15" max="15" width="9.85546875" bestFit="1" customWidth="1"/>
    <col min="21" max="22" width="10.140625" bestFit="1" customWidth="1"/>
  </cols>
  <sheetData>
    <row r="1" spans="1:13" x14ac:dyDescent="0.25">
      <c r="A1" t="s">
        <v>1121</v>
      </c>
      <c r="B1" t="s">
        <v>676</v>
      </c>
      <c r="C1" t="s">
        <v>1122</v>
      </c>
      <c r="D1" t="s">
        <v>21</v>
      </c>
      <c r="E1" t="s">
        <v>37</v>
      </c>
      <c r="F1" t="s">
        <v>0</v>
      </c>
      <c r="G1" t="s">
        <v>1123</v>
      </c>
      <c r="H1" t="s">
        <v>707</v>
      </c>
      <c r="I1" t="s">
        <v>708</v>
      </c>
      <c r="J1" t="s">
        <v>709</v>
      </c>
      <c r="K1" t="s">
        <v>710</v>
      </c>
      <c r="L1" t="s">
        <v>692</v>
      </c>
      <c r="M1" t="s">
        <v>700</v>
      </c>
    </row>
    <row r="2" spans="1:13" x14ac:dyDescent="0.25">
      <c r="A2" t="s">
        <v>717</v>
      </c>
      <c r="B2">
        <v>73300057890</v>
      </c>
      <c r="C2">
        <v>3000</v>
      </c>
      <c r="D2" t="s">
        <v>716</v>
      </c>
      <c r="H2" t="s">
        <v>716</v>
      </c>
      <c r="I2" t="s">
        <v>716</v>
      </c>
      <c r="J2" t="s">
        <v>716</v>
      </c>
      <c r="K2" t="s">
        <v>716</v>
      </c>
      <c r="L2">
        <v>100</v>
      </c>
      <c r="M2">
        <v>177.5</v>
      </c>
    </row>
    <row r="3" spans="1:13" x14ac:dyDescent="0.25">
      <c r="A3" t="s">
        <v>718</v>
      </c>
      <c r="B3">
        <v>73386081758</v>
      </c>
      <c r="F3" t="s">
        <v>716</v>
      </c>
      <c r="H3" t="s">
        <v>716</v>
      </c>
      <c r="I3" t="s">
        <v>716</v>
      </c>
      <c r="J3" t="s">
        <v>716</v>
      </c>
      <c r="K3" t="s">
        <v>716</v>
      </c>
      <c r="L3">
        <v>75</v>
      </c>
      <c r="M3">
        <v>145.5</v>
      </c>
    </row>
    <row r="4" spans="1:13" x14ac:dyDescent="0.25">
      <c r="A4" t="s">
        <v>719</v>
      </c>
      <c r="B4">
        <v>73295740212</v>
      </c>
      <c r="G4" t="s">
        <v>716</v>
      </c>
      <c r="I4" t="s">
        <v>716</v>
      </c>
      <c r="J4" t="s">
        <v>716</v>
      </c>
      <c r="L4">
        <v>81</v>
      </c>
      <c r="M4">
        <v>163.5</v>
      </c>
    </row>
    <row r="5" spans="1:13" x14ac:dyDescent="0.25">
      <c r="A5" t="s">
        <v>720</v>
      </c>
      <c r="B5">
        <v>73271050903</v>
      </c>
      <c r="F5" t="s">
        <v>716</v>
      </c>
      <c r="H5" t="s">
        <v>716</v>
      </c>
      <c r="L5">
        <v>78</v>
      </c>
      <c r="M5">
        <v>161.25</v>
      </c>
    </row>
    <row r="6" spans="1:13" x14ac:dyDescent="0.25">
      <c r="A6" t="s">
        <v>721</v>
      </c>
      <c r="B6">
        <v>73381418047</v>
      </c>
      <c r="H6" t="s">
        <v>716</v>
      </c>
      <c r="I6" t="s">
        <v>716</v>
      </c>
      <c r="L6">
        <v>68</v>
      </c>
      <c r="M6">
        <v>75.5</v>
      </c>
    </row>
    <row r="7" spans="1:13" x14ac:dyDescent="0.25">
      <c r="A7" t="s">
        <v>722</v>
      </c>
      <c r="B7">
        <v>73356635176</v>
      </c>
      <c r="C7">
        <v>3000</v>
      </c>
      <c r="D7" t="s">
        <v>716</v>
      </c>
      <c r="H7" t="s">
        <v>716</v>
      </c>
      <c r="I7" t="s">
        <v>716</v>
      </c>
      <c r="J7" t="s">
        <v>716</v>
      </c>
      <c r="K7" t="s">
        <v>716</v>
      </c>
      <c r="L7">
        <v>88</v>
      </c>
      <c r="M7">
        <v>172.25</v>
      </c>
    </row>
    <row r="8" spans="1:13" x14ac:dyDescent="0.25">
      <c r="A8" t="s">
        <v>724</v>
      </c>
      <c r="B8">
        <v>73380420407</v>
      </c>
      <c r="H8" t="s">
        <v>716</v>
      </c>
      <c r="I8" t="s">
        <v>716</v>
      </c>
      <c r="L8">
        <v>66</v>
      </c>
      <c r="M8">
        <v>75.5</v>
      </c>
    </row>
    <row r="9" spans="1:13" x14ac:dyDescent="0.25">
      <c r="A9" t="s">
        <v>725</v>
      </c>
      <c r="B9">
        <v>73373751482</v>
      </c>
      <c r="C9">
        <v>1000</v>
      </c>
      <c r="D9" t="s">
        <v>716</v>
      </c>
      <c r="H9" t="s">
        <v>716</v>
      </c>
      <c r="I9" t="s">
        <v>716</v>
      </c>
      <c r="L9">
        <v>88</v>
      </c>
      <c r="M9">
        <v>170.5</v>
      </c>
    </row>
    <row r="10" spans="1:13" x14ac:dyDescent="0.25">
      <c r="A10" t="s">
        <v>727</v>
      </c>
      <c r="B10">
        <v>73269194521</v>
      </c>
      <c r="C10">
        <v>1000</v>
      </c>
      <c r="D10" t="s">
        <v>716</v>
      </c>
      <c r="H10" t="s">
        <v>716</v>
      </c>
      <c r="I10" t="s">
        <v>716</v>
      </c>
      <c r="J10" t="s">
        <v>716</v>
      </c>
      <c r="K10" t="s">
        <v>716</v>
      </c>
      <c r="L10">
        <v>94</v>
      </c>
      <c r="M10">
        <v>175.25</v>
      </c>
    </row>
    <row r="11" spans="1:13" x14ac:dyDescent="0.25">
      <c r="A11" t="s">
        <v>729</v>
      </c>
      <c r="B11">
        <v>73325952570</v>
      </c>
      <c r="F11" t="s">
        <v>716</v>
      </c>
      <c r="H11" t="s">
        <v>716</v>
      </c>
      <c r="I11" t="s">
        <v>716</v>
      </c>
      <c r="J11" t="s">
        <v>716</v>
      </c>
      <c r="L11">
        <v>70</v>
      </c>
      <c r="M11">
        <v>142.5</v>
      </c>
    </row>
    <row r="12" spans="1:13" x14ac:dyDescent="0.25">
      <c r="A12" t="s">
        <v>730</v>
      </c>
      <c r="B12">
        <v>73346762228</v>
      </c>
      <c r="F12" t="s">
        <v>716</v>
      </c>
      <c r="H12" t="s">
        <v>716</v>
      </c>
      <c r="I12" t="s">
        <v>716</v>
      </c>
      <c r="J12" t="s">
        <v>716</v>
      </c>
      <c r="K12" t="s">
        <v>716</v>
      </c>
      <c r="L12">
        <v>76</v>
      </c>
      <c r="M12">
        <v>152.25</v>
      </c>
    </row>
    <row r="13" spans="1:13" x14ac:dyDescent="0.25">
      <c r="A13" t="s">
        <v>731</v>
      </c>
      <c r="B13">
        <v>73346759634</v>
      </c>
      <c r="F13" t="s">
        <v>716</v>
      </c>
      <c r="H13" t="s">
        <v>716</v>
      </c>
      <c r="I13" t="s">
        <v>716</v>
      </c>
      <c r="J13" t="s">
        <v>716</v>
      </c>
      <c r="K13" t="s">
        <v>716</v>
      </c>
      <c r="L13">
        <v>87</v>
      </c>
      <c r="M13">
        <v>157.25</v>
      </c>
    </row>
    <row r="14" spans="1:13" x14ac:dyDescent="0.25">
      <c r="A14" t="s">
        <v>732</v>
      </c>
      <c r="B14">
        <v>73402609299</v>
      </c>
      <c r="E14" t="s">
        <v>716</v>
      </c>
      <c r="H14" t="s">
        <v>716</v>
      </c>
      <c r="I14" t="s">
        <v>716</v>
      </c>
      <c r="J14" t="s">
        <v>716</v>
      </c>
      <c r="K14" t="s">
        <v>716</v>
      </c>
      <c r="L14">
        <v>87</v>
      </c>
      <c r="M14">
        <v>172</v>
      </c>
    </row>
    <row r="15" spans="1:13" x14ac:dyDescent="0.25">
      <c r="A15" t="s">
        <v>733</v>
      </c>
      <c r="B15">
        <v>73373058500</v>
      </c>
      <c r="F15" t="s">
        <v>716</v>
      </c>
      <c r="H15" t="s">
        <v>716</v>
      </c>
      <c r="I15" t="s">
        <v>716</v>
      </c>
      <c r="J15" t="s">
        <v>716</v>
      </c>
      <c r="K15" t="s">
        <v>716</v>
      </c>
      <c r="L15">
        <v>74</v>
      </c>
      <c r="M15">
        <v>156.75</v>
      </c>
    </row>
    <row r="16" spans="1:13" x14ac:dyDescent="0.25">
      <c r="A16" t="s">
        <v>734</v>
      </c>
      <c r="B16">
        <v>73309965981</v>
      </c>
      <c r="C16">
        <v>2000</v>
      </c>
      <c r="D16" t="s">
        <v>716</v>
      </c>
      <c r="H16" t="s">
        <v>716</v>
      </c>
      <c r="I16" t="s">
        <v>716</v>
      </c>
      <c r="J16" t="s">
        <v>716</v>
      </c>
      <c r="K16" t="s">
        <v>716</v>
      </c>
      <c r="L16">
        <v>72</v>
      </c>
      <c r="M16">
        <v>144.38</v>
      </c>
    </row>
    <row r="17" spans="1:13" x14ac:dyDescent="0.25">
      <c r="A17" t="s">
        <v>735</v>
      </c>
      <c r="B17">
        <v>73388845979</v>
      </c>
      <c r="F17" t="s">
        <v>716</v>
      </c>
      <c r="H17" t="s">
        <v>716</v>
      </c>
      <c r="I17" t="s">
        <v>716</v>
      </c>
      <c r="J17" t="s">
        <v>716</v>
      </c>
      <c r="K17" t="s">
        <v>716</v>
      </c>
      <c r="L17">
        <v>85</v>
      </c>
      <c r="M17">
        <v>157.5</v>
      </c>
    </row>
    <row r="18" spans="1:13" x14ac:dyDescent="0.25">
      <c r="A18" t="s">
        <v>736</v>
      </c>
      <c r="B18">
        <v>73292368236</v>
      </c>
      <c r="F18" t="s">
        <v>716</v>
      </c>
      <c r="H18" t="s">
        <v>716</v>
      </c>
      <c r="I18" t="s">
        <v>716</v>
      </c>
      <c r="L18">
        <v>86</v>
      </c>
      <c r="M18">
        <v>162.5</v>
      </c>
    </row>
    <row r="19" spans="1:13" x14ac:dyDescent="0.25">
      <c r="A19" t="s">
        <v>737</v>
      </c>
      <c r="B19">
        <v>73254092015</v>
      </c>
      <c r="G19" t="s">
        <v>716</v>
      </c>
      <c r="H19" t="s">
        <v>716</v>
      </c>
      <c r="I19" t="s">
        <v>738</v>
      </c>
      <c r="J19" t="s">
        <v>738</v>
      </c>
      <c r="K19" t="s">
        <v>738</v>
      </c>
      <c r="L19">
        <v>86</v>
      </c>
      <c r="M19">
        <v>164.75</v>
      </c>
    </row>
    <row r="20" spans="1:13" x14ac:dyDescent="0.25">
      <c r="A20" t="s">
        <v>740</v>
      </c>
      <c r="B20">
        <v>73298801803</v>
      </c>
      <c r="H20" t="s">
        <v>716</v>
      </c>
      <c r="I20" t="s">
        <v>716</v>
      </c>
      <c r="J20" t="s">
        <v>716</v>
      </c>
      <c r="K20" t="s">
        <v>716</v>
      </c>
      <c r="L20">
        <v>65</v>
      </c>
      <c r="M20">
        <v>73</v>
      </c>
    </row>
    <row r="21" spans="1:13" x14ac:dyDescent="0.25">
      <c r="A21" t="s">
        <v>741</v>
      </c>
      <c r="B21">
        <v>73366026919</v>
      </c>
      <c r="C21">
        <v>1000</v>
      </c>
      <c r="D21" t="s">
        <v>716</v>
      </c>
      <c r="H21" t="s">
        <v>716</v>
      </c>
      <c r="I21" t="s">
        <v>716</v>
      </c>
      <c r="L21">
        <v>90</v>
      </c>
      <c r="M21">
        <v>169</v>
      </c>
    </row>
    <row r="22" spans="1:13" x14ac:dyDescent="0.25">
      <c r="A22" t="s">
        <v>743</v>
      </c>
      <c r="B22">
        <v>73379130360</v>
      </c>
      <c r="H22" t="s">
        <v>716</v>
      </c>
      <c r="I22" t="s">
        <v>716</v>
      </c>
      <c r="J22" t="s">
        <v>716</v>
      </c>
      <c r="K22" t="s">
        <v>716</v>
      </c>
      <c r="L22">
        <v>68</v>
      </c>
      <c r="M22">
        <v>76.25</v>
      </c>
    </row>
    <row r="23" spans="1:13" x14ac:dyDescent="0.25">
      <c r="A23" t="s">
        <v>744</v>
      </c>
      <c r="B23">
        <v>73385730968</v>
      </c>
      <c r="C23">
        <v>3000</v>
      </c>
      <c r="D23" t="s">
        <v>716</v>
      </c>
      <c r="H23" t="s">
        <v>716</v>
      </c>
      <c r="I23" t="s">
        <v>716</v>
      </c>
      <c r="J23" t="s">
        <v>716</v>
      </c>
      <c r="K23" t="s">
        <v>716</v>
      </c>
      <c r="L23">
        <v>89</v>
      </c>
      <c r="M23">
        <v>171</v>
      </c>
    </row>
    <row r="24" spans="1:13" x14ac:dyDescent="0.25">
      <c r="A24" t="s">
        <v>746</v>
      </c>
      <c r="B24">
        <v>73385578325</v>
      </c>
      <c r="C24">
        <v>2000</v>
      </c>
      <c r="D24" t="s">
        <v>716</v>
      </c>
      <c r="H24" t="s">
        <v>716</v>
      </c>
      <c r="I24" t="s">
        <v>716</v>
      </c>
      <c r="J24" t="s">
        <v>716</v>
      </c>
      <c r="K24" t="s">
        <v>716</v>
      </c>
      <c r="L24">
        <v>81</v>
      </c>
      <c r="M24">
        <v>165.25</v>
      </c>
    </row>
    <row r="25" spans="1:13" x14ac:dyDescent="0.25">
      <c r="A25" t="s">
        <v>748</v>
      </c>
      <c r="B25">
        <v>73367953419</v>
      </c>
      <c r="F25" t="s">
        <v>716</v>
      </c>
      <c r="H25" t="s">
        <v>716</v>
      </c>
      <c r="I25" t="s">
        <v>716</v>
      </c>
      <c r="J25" t="s">
        <v>716</v>
      </c>
      <c r="K25" t="s">
        <v>716</v>
      </c>
      <c r="L25">
        <v>77</v>
      </c>
      <c r="M25">
        <v>158.29</v>
      </c>
    </row>
    <row r="26" spans="1:13" x14ac:dyDescent="0.25">
      <c r="A26" t="s">
        <v>749</v>
      </c>
      <c r="B26">
        <v>73326905842</v>
      </c>
      <c r="F26" t="s">
        <v>716</v>
      </c>
      <c r="H26" t="s">
        <v>716</v>
      </c>
      <c r="I26" t="s">
        <v>716</v>
      </c>
      <c r="L26">
        <v>75</v>
      </c>
      <c r="M26">
        <v>144.25</v>
      </c>
    </row>
    <row r="27" spans="1:13" x14ac:dyDescent="0.25">
      <c r="A27" t="s">
        <v>750</v>
      </c>
      <c r="B27">
        <v>73323923130</v>
      </c>
      <c r="F27" t="s">
        <v>716</v>
      </c>
      <c r="H27" t="s">
        <v>716</v>
      </c>
      <c r="I27" t="s">
        <v>716</v>
      </c>
      <c r="J27" t="s">
        <v>716</v>
      </c>
      <c r="L27">
        <v>87</v>
      </c>
      <c r="M27">
        <v>160.75</v>
      </c>
    </row>
    <row r="28" spans="1:13" x14ac:dyDescent="0.25">
      <c r="A28" t="s">
        <v>751</v>
      </c>
      <c r="B28">
        <v>73355347846</v>
      </c>
      <c r="E28" t="s">
        <v>716</v>
      </c>
      <c r="H28" t="s">
        <v>716</v>
      </c>
      <c r="I28" t="s">
        <v>716</v>
      </c>
      <c r="L28">
        <v>91</v>
      </c>
      <c r="M28">
        <v>174.75</v>
      </c>
    </row>
    <row r="29" spans="1:13" x14ac:dyDescent="0.25">
      <c r="A29" t="s">
        <v>752</v>
      </c>
      <c r="B29">
        <v>73289680271</v>
      </c>
      <c r="F29" t="s">
        <v>716</v>
      </c>
      <c r="H29" t="s">
        <v>716</v>
      </c>
      <c r="I29" t="s">
        <v>716</v>
      </c>
      <c r="J29" t="s">
        <v>716</v>
      </c>
      <c r="L29">
        <v>86</v>
      </c>
      <c r="M29">
        <v>159.5</v>
      </c>
    </row>
    <row r="30" spans="1:13" x14ac:dyDescent="0.25">
      <c r="A30" t="s">
        <v>753</v>
      </c>
      <c r="B30">
        <v>73385370685</v>
      </c>
      <c r="F30" t="s">
        <v>716</v>
      </c>
      <c r="H30" t="s">
        <v>716</v>
      </c>
      <c r="I30" t="s">
        <v>716</v>
      </c>
      <c r="J30" t="s">
        <v>716</v>
      </c>
      <c r="K30" t="s">
        <v>716</v>
      </c>
      <c r="L30">
        <v>79</v>
      </c>
      <c r="M30">
        <v>148.75</v>
      </c>
    </row>
    <row r="31" spans="1:13" x14ac:dyDescent="0.25">
      <c r="A31" t="s">
        <v>754</v>
      </c>
      <c r="B31">
        <v>73282349738</v>
      </c>
      <c r="F31" t="s">
        <v>716</v>
      </c>
      <c r="H31" t="s">
        <v>716</v>
      </c>
      <c r="I31" t="s">
        <v>716</v>
      </c>
      <c r="J31" t="s">
        <v>716</v>
      </c>
      <c r="K31" t="s">
        <v>716</v>
      </c>
      <c r="L31">
        <v>71</v>
      </c>
      <c r="M31">
        <v>150.75</v>
      </c>
    </row>
    <row r="32" spans="1:13" x14ac:dyDescent="0.25">
      <c r="A32" t="s">
        <v>755</v>
      </c>
      <c r="B32">
        <v>73341109717</v>
      </c>
      <c r="F32" t="s">
        <v>716</v>
      </c>
      <c r="H32" t="s">
        <v>716</v>
      </c>
      <c r="I32" t="s">
        <v>716</v>
      </c>
      <c r="K32" t="s">
        <v>716</v>
      </c>
      <c r="L32">
        <v>82</v>
      </c>
      <c r="M32">
        <v>160.25</v>
      </c>
    </row>
    <row r="33" spans="1:13" x14ac:dyDescent="0.25">
      <c r="A33" t="s">
        <v>756</v>
      </c>
      <c r="B33">
        <v>73274202802</v>
      </c>
      <c r="E33" t="s">
        <v>716</v>
      </c>
      <c r="H33" t="s">
        <v>716</v>
      </c>
      <c r="I33" t="s">
        <v>716</v>
      </c>
      <c r="J33" t="s">
        <v>716</v>
      </c>
      <c r="K33" t="s">
        <v>716</v>
      </c>
      <c r="L33">
        <v>83</v>
      </c>
      <c r="M33">
        <v>164.75</v>
      </c>
    </row>
    <row r="34" spans="1:13" x14ac:dyDescent="0.25">
      <c r="A34" t="s">
        <v>757</v>
      </c>
      <c r="B34">
        <v>73381619751</v>
      </c>
      <c r="C34">
        <v>3000</v>
      </c>
      <c r="D34" t="s">
        <v>716</v>
      </c>
      <c r="H34" t="s">
        <v>716</v>
      </c>
      <c r="I34" t="s">
        <v>716</v>
      </c>
      <c r="J34" t="s">
        <v>716</v>
      </c>
      <c r="L34">
        <v>86</v>
      </c>
      <c r="M34">
        <v>164.75</v>
      </c>
    </row>
    <row r="35" spans="1:13" x14ac:dyDescent="0.25">
      <c r="A35" t="s">
        <v>759</v>
      </c>
      <c r="B35">
        <v>73344603803</v>
      </c>
      <c r="E35" t="s">
        <v>716</v>
      </c>
      <c r="H35" t="s">
        <v>716</v>
      </c>
      <c r="I35" t="s">
        <v>716</v>
      </c>
      <c r="J35" t="s">
        <v>716</v>
      </c>
      <c r="L35">
        <v>89</v>
      </c>
      <c r="M35">
        <v>170.75</v>
      </c>
    </row>
    <row r="36" spans="1:13" x14ac:dyDescent="0.25">
      <c r="A36" t="s">
        <v>760</v>
      </c>
      <c r="B36">
        <v>73377401769</v>
      </c>
      <c r="F36" t="s">
        <v>716</v>
      </c>
      <c r="H36" t="s">
        <v>716</v>
      </c>
      <c r="I36" t="s">
        <v>716</v>
      </c>
      <c r="J36" t="s">
        <v>716</v>
      </c>
      <c r="K36" t="s">
        <v>716</v>
      </c>
      <c r="L36">
        <v>72</v>
      </c>
      <c r="M36">
        <v>149.5</v>
      </c>
    </row>
    <row r="37" spans="1:13" x14ac:dyDescent="0.25">
      <c r="A37" t="s">
        <v>761</v>
      </c>
      <c r="B37">
        <v>73363467230</v>
      </c>
      <c r="E37" t="s">
        <v>716</v>
      </c>
      <c r="J37" t="s">
        <v>716</v>
      </c>
      <c r="L37">
        <v>90</v>
      </c>
      <c r="M37">
        <v>171</v>
      </c>
    </row>
    <row r="38" spans="1:13" x14ac:dyDescent="0.25">
      <c r="A38" t="s">
        <v>762</v>
      </c>
      <c r="B38">
        <v>73514100658</v>
      </c>
      <c r="F38" t="s">
        <v>716</v>
      </c>
      <c r="H38" t="s">
        <v>716</v>
      </c>
      <c r="I38" t="s">
        <v>716</v>
      </c>
      <c r="L38">
        <v>78</v>
      </c>
      <c r="M38">
        <v>160.75</v>
      </c>
    </row>
    <row r="39" spans="1:13" x14ac:dyDescent="0.25">
      <c r="A39" t="s">
        <v>763</v>
      </c>
      <c r="B39">
        <v>73386303079</v>
      </c>
      <c r="F39" t="s">
        <v>716</v>
      </c>
      <c r="H39" t="s">
        <v>716</v>
      </c>
      <c r="I39" t="s">
        <v>716</v>
      </c>
      <c r="J39" t="s">
        <v>716</v>
      </c>
      <c r="K39" t="s">
        <v>716</v>
      </c>
      <c r="L39">
        <v>74</v>
      </c>
      <c r="M39">
        <v>122.75</v>
      </c>
    </row>
    <row r="40" spans="1:13" x14ac:dyDescent="0.25">
      <c r="A40" t="s">
        <v>764</v>
      </c>
      <c r="B40">
        <v>73346874841</v>
      </c>
      <c r="F40" t="s">
        <v>716</v>
      </c>
      <c r="H40" t="s">
        <v>716</v>
      </c>
      <c r="I40" t="s">
        <v>716</v>
      </c>
      <c r="L40">
        <v>76</v>
      </c>
      <c r="M40">
        <v>147.5</v>
      </c>
    </row>
    <row r="41" spans="1:13" x14ac:dyDescent="0.25">
      <c r="A41" t="s">
        <v>765</v>
      </c>
      <c r="B41">
        <v>73382777174</v>
      </c>
      <c r="C41">
        <v>2000</v>
      </c>
      <c r="D41" t="s">
        <v>716</v>
      </c>
      <c r="H41" t="s">
        <v>716</v>
      </c>
      <c r="I41" t="s">
        <v>716</v>
      </c>
      <c r="J41" t="s">
        <v>716</v>
      </c>
      <c r="K41" t="s">
        <v>716</v>
      </c>
      <c r="L41">
        <v>85</v>
      </c>
      <c r="M41">
        <v>163.25</v>
      </c>
    </row>
    <row r="42" spans="1:13" x14ac:dyDescent="0.25">
      <c r="A42" t="s">
        <v>767</v>
      </c>
      <c r="B42">
        <v>73375753833</v>
      </c>
      <c r="H42" t="s">
        <v>716</v>
      </c>
      <c r="I42" t="s">
        <v>716</v>
      </c>
      <c r="J42" t="s">
        <v>716</v>
      </c>
      <c r="L42">
        <v>65</v>
      </c>
      <c r="M42">
        <v>71.75</v>
      </c>
    </row>
    <row r="43" spans="1:13" x14ac:dyDescent="0.25">
      <c r="A43" t="s">
        <v>768</v>
      </c>
      <c r="B43">
        <v>73371455056</v>
      </c>
      <c r="F43" t="s">
        <v>716</v>
      </c>
      <c r="H43" t="s">
        <v>716</v>
      </c>
      <c r="I43" t="s">
        <v>716</v>
      </c>
      <c r="J43" t="s">
        <v>716</v>
      </c>
      <c r="K43" t="s">
        <v>716</v>
      </c>
      <c r="L43">
        <v>80</v>
      </c>
      <c r="M43">
        <v>155.54</v>
      </c>
    </row>
    <row r="44" spans="1:13" x14ac:dyDescent="0.25">
      <c r="A44" t="s">
        <v>769</v>
      </c>
      <c r="B44">
        <v>73269531256</v>
      </c>
      <c r="F44" t="s">
        <v>716</v>
      </c>
      <c r="H44" t="s">
        <v>716</v>
      </c>
      <c r="I44" t="s">
        <v>716</v>
      </c>
      <c r="J44" t="s">
        <v>716</v>
      </c>
      <c r="K44" t="s">
        <v>716</v>
      </c>
      <c r="L44">
        <v>86</v>
      </c>
      <c r="M44">
        <v>152.25</v>
      </c>
    </row>
    <row r="45" spans="1:13" x14ac:dyDescent="0.25">
      <c r="A45" t="s">
        <v>770</v>
      </c>
      <c r="B45">
        <v>73282119489</v>
      </c>
      <c r="C45">
        <v>1000</v>
      </c>
      <c r="D45" t="s">
        <v>716</v>
      </c>
      <c r="H45" t="s">
        <v>716</v>
      </c>
      <c r="I45" t="s">
        <v>716</v>
      </c>
      <c r="J45" t="s">
        <v>716</v>
      </c>
      <c r="K45" t="s">
        <v>716</v>
      </c>
      <c r="L45">
        <v>89</v>
      </c>
      <c r="M45">
        <v>167.5</v>
      </c>
    </row>
    <row r="46" spans="1:13" x14ac:dyDescent="0.25">
      <c r="A46" t="s">
        <v>772</v>
      </c>
      <c r="B46">
        <v>73370345443</v>
      </c>
      <c r="H46" t="s">
        <v>716</v>
      </c>
      <c r="I46" t="s">
        <v>716</v>
      </c>
      <c r="J46" t="s">
        <v>716</v>
      </c>
      <c r="K46" t="s">
        <v>716</v>
      </c>
      <c r="L46">
        <v>67</v>
      </c>
      <c r="M46">
        <v>77.25</v>
      </c>
    </row>
    <row r="47" spans="1:13" x14ac:dyDescent="0.25">
      <c r="A47" t="s">
        <v>773</v>
      </c>
      <c r="B47">
        <v>73578876494</v>
      </c>
      <c r="C47">
        <v>2000</v>
      </c>
      <c r="D47" t="s">
        <v>716</v>
      </c>
      <c r="H47" t="s">
        <v>716</v>
      </c>
      <c r="I47" t="s">
        <v>716</v>
      </c>
      <c r="J47" t="s">
        <v>716</v>
      </c>
      <c r="K47" t="s">
        <v>716</v>
      </c>
      <c r="L47">
        <v>78</v>
      </c>
      <c r="M47">
        <v>161.25</v>
      </c>
    </row>
    <row r="48" spans="1:13" x14ac:dyDescent="0.25">
      <c r="A48" t="s">
        <v>774</v>
      </c>
      <c r="B48">
        <v>73283014392</v>
      </c>
      <c r="E48" t="s">
        <v>716</v>
      </c>
      <c r="H48" t="s">
        <v>716</v>
      </c>
      <c r="I48" t="s">
        <v>716</v>
      </c>
      <c r="J48" t="s">
        <v>716</v>
      </c>
      <c r="K48" t="s">
        <v>716</v>
      </c>
      <c r="L48">
        <v>85</v>
      </c>
      <c r="M48">
        <v>164.75</v>
      </c>
    </row>
    <row r="49" spans="1:13" x14ac:dyDescent="0.25">
      <c r="A49" t="s">
        <v>775</v>
      </c>
      <c r="B49">
        <v>73355348440</v>
      </c>
      <c r="G49" t="s">
        <v>716</v>
      </c>
      <c r="I49" t="s">
        <v>716</v>
      </c>
      <c r="J49" t="s">
        <v>716</v>
      </c>
      <c r="K49" t="s">
        <v>738</v>
      </c>
      <c r="L49">
        <v>87</v>
      </c>
      <c r="M49">
        <v>164.75</v>
      </c>
    </row>
    <row r="50" spans="1:13" x14ac:dyDescent="0.25">
      <c r="A50" t="s">
        <v>777</v>
      </c>
      <c r="B50">
        <v>73389500821</v>
      </c>
      <c r="F50" t="s">
        <v>716</v>
      </c>
      <c r="H50" t="s">
        <v>716</v>
      </c>
      <c r="L50">
        <v>71</v>
      </c>
      <c r="M50">
        <v>133</v>
      </c>
    </row>
    <row r="51" spans="1:13" x14ac:dyDescent="0.25">
      <c r="A51" t="s">
        <v>778</v>
      </c>
      <c r="B51">
        <v>73256164928</v>
      </c>
      <c r="C51">
        <v>3000</v>
      </c>
      <c r="D51" t="s">
        <v>716</v>
      </c>
      <c r="H51" t="s">
        <v>716</v>
      </c>
      <c r="I51" t="s">
        <v>716</v>
      </c>
      <c r="J51" t="s">
        <v>716</v>
      </c>
      <c r="K51" t="s">
        <v>716</v>
      </c>
      <c r="L51">
        <v>76</v>
      </c>
      <c r="M51">
        <v>152.5</v>
      </c>
    </row>
    <row r="52" spans="1:13" x14ac:dyDescent="0.25">
      <c r="A52" t="s">
        <v>779</v>
      </c>
      <c r="B52">
        <v>73323252312</v>
      </c>
      <c r="C52">
        <v>3000</v>
      </c>
      <c r="D52" t="s">
        <v>716</v>
      </c>
      <c r="H52" t="s">
        <v>716</v>
      </c>
      <c r="I52" t="s">
        <v>716</v>
      </c>
      <c r="J52" t="s">
        <v>716</v>
      </c>
      <c r="L52">
        <v>90</v>
      </c>
      <c r="M52">
        <v>170.79</v>
      </c>
    </row>
    <row r="53" spans="1:13" x14ac:dyDescent="0.25">
      <c r="A53" t="s">
        <v>781</v>
      </c>
      <c r="B53">
        <v>73373314244</v>
      </c>
      <c r="F53" t="s">
        <v>716</v>
      </c>
      <c r="H53" t="s">
        <v>716</v>
      </c>
      <c r="I53" t="s">
        <v>716</v>
      </c>
      <c r="L53">
        <v>72</v>
      </c>
      <c r="M53">
        <v>144.25</v>
      </c>
    </row>
    <row r="54" spans="1:13" x14ac:dyDescent="0.25">
      <c r="A54" t="s">
        <v>782</v>
      </c>
      <c r="B54">
        <v>73248327161</v>
      </c>
      <c r="F54" t="s">
        <v>716</v>
      </c>
      <c r="H54" t="s">
        <v>716</v>
      </c>
      <c r="L54">
        <v>78</v>
      </c>
      <c r="M54">
        <v>155.5</v>
      </c>
    </row>
    <row r="55" spans="1:13" x14ac:dyDescent="0.25">
      <c r="A55" t="s">
        <v>783</v>
      </c>
      <c r="B55">
        <v>73285656483</v>
      </c>
      <c r="F55" t="s">
        <v>716</v>
      </c>
      <c r="H55" t="s">
        <v>716</v>
      </c>
      <c r="I55" t="s">
        <v>716</v>
      </c>
      <c r="L55">
        <v>80</v>
      </c>
      <c r="M55">
        <v>158.75</v>
      </c>
    </row>
    <row r="56" spans="1:13" x14ac:dyDescent="0.25">
      <c r="A56" t="s">
        <v>784</v>
      </c>
      <c r="B56">
        <v>73292087674</v>
      </c>
      <c r="F56" t="s">
        <v>716</v>
      </c>
      <c r="H56" t="s">
        <v>716</v>
      </c>
      <c r="I56" t="s">
        <v>716</v>
      </c>
      <c r="J56" t="s">
        <v>716</v>
      </c>
      <c r="K56" t="s">
        <v>716</v>
      </c>
      <c r="L56">
        <v>82</v>
      </c>
      <c r="M56">
        <v>156.25</v>
      </c>
    </row>
    <row r="57" spans="1:13" x14ac:dyDescent="0.25">
      <c r="A57" t="s">
        <v>785</v>
      </c>
      <c r="B57">
        <v>73328584852</v>
      </c>
      <c r="F57" t="s">
        <v>716</v>
      </c>
      <c r="H57" t="s">
        <v>716</v>
      </c>
      <c r="I57" t="s">
        <v>716</v>
      </c>
      <c r="J57" t="s">
        <v>716</v>
      </c>
      <c r="K57" t="s">
        <v>716</v>
      </c>
      <c r="L57">
        <v>74</v>
      </c>
      <c r="M57">
        <v>149</v>
      </c>
    </row>
    <row r="58" spans="1:13" x14ac:dyDescent="0.25">
      <c r="A58" t="s">
        <v>786</v>
      </c>
      <c r="B58">
        <v>73274815447</v>
      </c>
      <c r="H58" t="s">
        <v>716</v>
      </c>
      <c r="I58" t="s">
        <v>716</v>
      </c>
      <c r="J58" t="s">
        <v>716</v>
      </c>
      <c r="K58" t="s">
        <v>716</v>
      </c>
      <c r="L58">
        <v>63</v>
      </c>
      <c r="M58">
        <v>71</v>
      </c>
    </row>
    <row r="59" spans="1:13" x14ac:dyDescent="0.25">
      <c r="A59" t="s">
        <v>787</v>
      </c>
      <c r="B59">
        <v>73346366898</v>
      </c>
      <c r="F59" t="s">
        <v>716</v>
      </c>
      <c r="H59" t="s">
        <v>716</v>
      </c>
      <c r="I59" t="s">
        <v>716</v>
      </c>
      <c r="J59" t="s">
        <v>716</v>
      </c>
      <c r="K59" t="s">
        <v>716</v>
      </c>
      <c r="L59">
        <v>76</v>
      </c>
      <c r="M59">
        <v>156.25</v>
      </c>
    </row>
    <row r="60" spans="1:13" x14ac:dyDescent="0.25">
      <c r="A60" t="s">
        <v>788</v>
      </c>
      <c r="B60">
        <v>73280668196</v>
      </c>
      <c r="F60" t="s">
        <v>716</v>
      </c>
      <c r="H60" t="s">
        <v>716</v>
      </c>
      <c r="I60" t="s">
        <v>716</v>
      </c>
      <c r="J60" t="s">
        <v>716</v>
      </c>
      <c r="K60" t="s">
        <v>716</v>
      </c>
      <c r="L60">
        <v>75</v>
      </c>
      <c r="M60">
        <v>148.25</v>
      </c>
    </row>
    <row r="61" spans="1:13" x14ac:dyDescent="0.25">
      <c r="A61" t="s">
        <v>789</v>
      </c>
      <c r="B61">
        <v>73356616018</v>
      </c>
      <c r="C61">
        <v>1000</v>
      </c>
      <c r="D61" t="s">
        <v>716</v>
      </c>
      <c r="H61" t="s">
        <v>716</v>
      </c>
      <c r="I61" t="s">
        <v>716</v>
      </c>
      <c r="J61" t="s">
        <v>716</v>
      </c>
      <c r="K61" t="s">
        <v>716</v>
      </c>
      <c r="L61">
        <v>90</v>
      </c>
      <c r="M61">
        <v>173</v>
      </c>
    </row>
    <row r="62" spans="1:13" x14ac:dyDescent="0.25">
      <c r="A62" t="s">
        <v>791</v>
      </c>
      <c r="B62">
        <v>73328682610</v>
      </c>
      <c r="H62" t="s">
        <v>716</v>
      </c>
      <c r="I62" t="s">
        <v>716</v>
      </c>
      <c r="J62" t="s">
        <v>716</v>
      </c>
      <c r="K62" t="s">
        <v>716</v>
      </c>
      <c r="L62">
        <v>65</v>
      </c>
      <c r="M62">
        <v>72.25</v>
      </c>
    </row>
    <row r="63" spans="1:13" x14ac:dyDescent="0.25">
      <c r="A63" t="s">
        <v>792</v>
      </c>
      <c r="B63">
        <v>73377376998</v>
      </c>
      <c r="H63" t="s">
        <v>716</v>
      </c>
      <c r="I63" t="s">
        <v>716</v>
      </c>
      <c r="J63" t="s">
        <v>716</v>
      </c>
      <c r="K63" t="s">
        <v>716</v>
      </c>
      <c r="L63">
        <v>62</v>
      </c>
      <c r="M63">
        <v>71.25</v>
      </c>
    </row>
    <row r="64" spans="1:13" x14ac:dyDescent="0.25">
      <c r="A64" t="s">
        <v>793</v>
      </c>
      <c r="B64">
        <v>73374404767</v>
      </c>
      <c r="F64" t="s">
        <v>716</v>
      </c>
      <c r="H64" t="s">
        <v>716</v>
      </c>
      <c r="L64">
        <v>78</v>
      </c>
      <c r="M64">
        <v>155.25</v>
      </c>
    </row>
    <row r="65" spans="1:13" x14ac:dyDescent="0.25">
      <c r="A65" t="s">
        <v>794</v>
      </c>
      <c r="B65">
        <v>73341575071</v>
      </c>
      <c r="F65" t="s">
        <v>716</v>
      </c>
      <c r="H65" t="s">
        <v>716</v>
      </c>
      <c r="I65" t="s">
        <v>716</v>
      </c>
      <c r="J65" t="s">
        <v>716</v>
      </c>
      <c r="K65" t="s">
        <v>716</v>
      </c>
      <c r="L65">
        <v>74</v>
      </c>
      <c r="M65">
        <v>151.54</v>
      </c>
    </row>
    <row r="66" spans="1:13" x14ac:dyDescent="0.25">
      <c r="A66" t="s">
        <v>795</v>
      </c>
      <c r="B66">
        <v>73355331944</v>
      </c>
      <c r="F66" t="s">
        <v>716</v>
      </c>
      <c r="H66" t="s">
        <v>716</v>
      </c>
      <c r="I66" t="s">
        <v>716</v>
      </c>
      <c r="J66" t="s">
        <v>716</v>
      </c>
      <c r="K66" t="s">
        <v>716</v>
      </c>
      <c r="L66">
        <v>78</v>
      </c>
      <c r="M66">
        <v>156.38</v>
      </c>
    </row>
    <row r="67" spans="1:13" x14ac:dyDescent="0.25">
      <c r="A67" t="s">
        <v>796</v>
      </c>
      <c r="B67">
        <v>73329348733</v>
      </c>
      <c r="F67" t="s">
        <v>716</v>
      </c>
      <c r="H67" t="s">
        <v>716</v>
      </c>
      <c r="I67" t="s">
        <v>716</v>
      </c>
      <c r="J67" t="s">
        <v>716</v>
      </c>
      <c r="K67" t="s">
        <v>716</v>
      </c>
      <c r="L67">
        <v>81</v>
      </c>
      <c r="M67">
        <v>155.5</v>
      </c>
    </row>
    <row r="68" spans="1:13" x14ac:dyDescent="0.25">
      <c r="A68" t="s">
        <v>797</v>
      </c>
      <c r="B68">
        <v>73336703303</v>
      </c>
      <c r="H68" t="s">
        <v>716</v>
      </c>
      <c r="I68" t="s">
        <v>716</v>
      </c>
      <c r="J68" t="s">
        <v>716</v>
      </c>
      <c r="K68" t="s">
        <v>716</v>
      </c>
      <c r="L68">
        <v>68</v>
      </c>
      <c r="M68">
        <v>75.25</v>
      </c>
    </row>
    <row r="69" spans="1:13" x14ac:dyDescent="0.25">
      <c r="A69" t="s">
        <v>798</v>
      </c>
      <c r="B69">
        <v>73274171822</v>
      </c>
      <c r="F69" t="s">
        <v>716</v>
      </c>
      <c r="H69" t="s">
        <v>716</v>
      </c>
      <c r="I69" t="s">
        <v>716</v>
      </c>
      <c r="J69" t="s">
        <v>716</v>
      </c>
      <c r="K69" t="s">
        <v>716</v>
      </c>
      <c r="L69">
        <v>73</v>
      </c>
      <c r="M69">
        <v>151</v>
      </c>
    </row>
    <row r="70" spans="1:13" x14ac:dyDescent="0.25">
      <c r="A70" t="s">
        <v>799</v>
      </c>
      <c r="B70">
        <v>73384007760</v>
      </c>
      <c r="E70" t="s">
        <v>716</v>
      </c>
      <c r="H70" t="s">
        <v>716</v>
      </c>
      <c r="J70" t="s">
        <v>716</v>
      </c>
      <c r="L70">
        <v>94</v>
      </c>
      <c r="M70">
        <v>173.75</v>
      </c>
    </row>
    <row r="71" spans="1:13" x14ac:dyDescent="0.25">
      <c r="A71" t="s">
        <v>800</v>
      </c>
      <c r="B71">
        <v>73371870555</v>
      </c>
      <c r="F71" t="s">
        <v>716</v>
      </c>
      <c r="H71" t="s">
        <v>716</v>
      </c>
      <c r="I71" t="s">
        <v>716</v>
      </c>
      <c r="J71" t="s">
        <v>716</v>
      </c>
      <c r="K71" t="s">
        <v>716</v>
      </c>
      <c r="L71">
        <v>76</v>
      </c>
      <c r="M71">
        <v>143.75</v>
      </c>
    </row>
    <row r="72" spans="1:13" x14ac:dyDescent="0.25">
      <c r="A72" t="s">
        <v>801</v>
      </c>
      <c r="B72">
        <v>73241703034</v>
      </c>
      <c r="H72" t="s">
        <v>716</v>
      </c>
      <c r="I72" t="s">
        <v>716</v>
      </c>
      <c r="J72" t="s">
        <v>716</v>
      </c>
      <c r="L72">
        <v>68</v>
      </c>
      <c r="M72">
        <v>76.75</v>
      </c>
    </row>
    <row r="73" spans="1:13" x14ac:dyDescent="0.25">
      <c r="A73" t="s">
        <v>802</v>
      </c>
      <c r="B73">
        <v>73363466180</v>
      </c>
      <c r="F73" t="s">
        <v>716</v>
      </c>
      <c r="H73" t="s">
        <v>716</v>
      </c>
      <c r="I73" t="s">
        <v>716</v>
      </c>
      <c r="J73" t="s">
        <v>716</v>
      </c>
      <c r="K73" t="s">
        <v>716</v>
      </c>
      <c r="L73">
        <v>80</v>
      </c>
      <c r="M73">
        <v>153.61000000000001</v>
      </c>
    </row>
    <row r="74" spans="1:13" x14ac:dyDescent="0.25">
      <c r="A74" t="s">
        <v>803</v>
      </c>
      <c r="B74">
        <v>73394601137</v>
      </c>
      <c r="F74" t="s">
        <v>716</v>
      </c>
      <c r="H74" t="s">
        <v>716</v>
      </c>
      <c r="I74" t="s">
        <v>716</v>
      </c>
      <c r="J74" t="s">
        <v>716</v>
      </c>
      <c r="K74" t="s">
        <v>716</v>
      </c>
      <c r="L74">
        <v>87</v>
      </c>
      <c r="M74">
        <v>156.5</v>
      </c>
    </row>
    <row r="75" spans="1:13" x14ac:dyDescent="0.25">
      <c r="A75" t="s">
        <v>804</v>
      </c>
      <c r="B75">
        <v>73383082475</v>
      </c>
      <c r="C75">
        <v>3000</v>
      </c>
      <c r="D75" t="s">
        <v>716</v>
      </c>
      <c r="J75" t="s">
        <v>716</v>
      </c>
      <c r="K75" t="s">
        <v>716</v>
      </c>
      <c r="L75">
        <v>85</v>
      </c>
      <c r="M75">
        <v>167.75</v>
      </c>
    </row>
    <row r="76" spans="1:13" x14ac:dyDescent="0.25">
      <c r="A76" t="s">
        <v>806</v>
      </c>
      <c r="B76">
        <v>73299760080</v>
      </c>
      <c r="F76" t="s">
        <v>716</v>
      </c>
      <c r="H76" t="s">
        <v>716</v>
      </c>
      <c r="I76" t="s">
        <v>716</v>
      </c>
      <c r="L76">
        <v>82</v>
      </c>
      <c r="M76">
        <v>162.25</v>
      </c>
    </row>
    <row r="77" spans="1:13" x14ac:dyDescent="0.25">
      <c r="A77" t="s">
        <v>807</v>
      </c>
      <c r="B77">
        <v>73304707975</v>
      </c>
      <c r="F77" t="s">
        <v>716</v>
      </c>
      <c r="H77" t="s">
        <v>716</v>
      </c>
      <c r="I77" t="s">
        <v>716</v>
      </c>
      <c r="J77" t="s">
        <v>716</v>
      </c>
      <c r="K77" t="s">
        <v>716</v>
      </c>
      <c r="L77">
        <v>76</v>
      </c>
      <c r="M77">
        <v>157.59</v>
      </c>
    </row>
    <row r="78" spans="1:13" x14ac:dyDescent="0.25">
      <c r="A78" t="s">
        <v>808</v>
      </c>
      <c r="B78">
        <v>73286273191</v>
      </c>
      <c r="J78" t="s">
        <v>716</v>
      </c>
      <c r="L78">
        <v>68</v>
      </c>
      <c r="M78">
        <v>77</v>
      </c>
    </row>
    <row r="79" spans="1:13" x14ac:dyDescent="0.25">
      <c r="A79" t="s">
        <v>809</v>
      </c>
      <c r="B79">
        <v>73366308158</v>
      </c>
      <c r="G79" t="s">
        <v>716</v>
      </c>
      <c r="H79" t="s">
        <v>716</v>
      </c>
      <c r="I79" t="s">
        <v>716</v>
      </c>
      <c r="J79" t="s">
        <v>716</v>
      </c>
      <c r="K79" t="s">
        <v>716</v>
      </c>
      <c r="L79">
        <v>85</v>
      </c>
      <c r="M79">
        <v>167.75</v>
      </c>
    </row>
    <row r="80" spans="1:13" x14ac:dyDescent="0.25">
      <c r="A80" t="s">
        <v>811</v>
      </c>
      <c r="B80">
        <v>73398526587</v>
      </c>
      <c r="F80" t="s">
        <v>716</v>
      </c>
      <c r="H80" t="s">
        <v>716</v>
      </c>
      <c r="I80" t="s">
        <v>716</v>
      </c>
      <c r="J80" t="s">
        <v>716</v>
      </c>
      <c r="K80" t="s">
        <v>716</v>
      </c>
      <c r="L80">
        <v>80</v>
      </c>
      <c r="M80">
        <v>151.5</v>
      </c>
    </row>
    <row r="81" spans="1:13" x14ac:dyDescent="0.25">
      <c r="A81" t="s">
        <v>812</v>
      </c>
      <c r="B81">
        <v>73392597142</v>
      </c>
      <c r="E81" t="s">
        <v>716</v>
      </c>
      <c r="H81" t="s">
        <v>716</v>
      </c>
      <c r="I81" t="s">
        <v>716</v>
      </c>
      <c r="L81">
        <v>89</v>
      </c>
      <c r="M81">
        <v>172</v>
      </c>
    </row>
    <row r="82" spans="1:13" x14ac:dyDescent="0.25">
      <c r="A82" t="s">
        <v>813</v>
      </c>
      <c r="B82">
        <v>73382854442</v>
      </c>
      <c r="J82" t="s">
        <v>716</v>
      </c>
      <c r="K82" t="s">
        <v>716</v>
      </c>
      <c r="L82">
        <v>52</v>
      </c>
      <c r="M82">
        <v>57.5</v>
      </c>
    </row>
    <row r="83" spans="1:13" x14ac:dyDescent="0.25">
      <c r="A83" t="s">
        <v>814</v>
      </c>
      <c r="B83">
        <v>73382870796</v>
      </c>
      <c r="F83" t="s">
        <v>716</v>
      </c>
      <c r="J83" t="s">
        <v>716</v>
      </c>
      <c r="K83" t="s">
        <v>716</v>
      </c>
      <c r="L83">
        <v>84</v>
      </c>
      <c r="M83">
        <v>151</v>
      </c>
    </row>
    <row r="84" spans="1:13" x14ac:dyDescent="0.25">
      <c r="A84" t="s">
        <v>815</v>
      </c>
      <c r="B84">
        <v>73256872641</v>
      </c>
      <c r="H84" t="s">
        <v>716</v>
      </c>
      <c r="I84" t="s">
        <v>716</v>
      </c>
      <c r="J84" t="s">
        <v>716</v>
      </c>
      <c r="K84" t="s">
        <v>716</v>
      </c>
      <c r="L84">
        <v>54</v>
      </c>
      <c r="M84">
        <v>59.75</v>
      </c>
    </row>
    <row r="85" spans="1:13" x14ac:dyDescent="0.25">
      <c r="A85" t="s">
        <v>816</v>
      </c>
      <c r="B85">
        <v>73286410998</v>
      </c>
      <c r="F85" t="s">
        <v>716</v>
      </c>
      <c r="H85" t="s">
        <v>716</v>
      </c>
      <c r="I85" t="s">
        <v>716</v>
      </c>
      <c r="J85" t="s">
        <v>716</v>
      </c>
      <c r="L85">
        <v>81</v>
      </c>
      <c r="M85">
        <v>158.75</v>
      </c>
    </row>
    <row r="86" spans="1:13" x14ac:dyDescent="0.25">
      <c r="A86" t="s">
        <v>817</v>
      </c>
      <c r="B86">
        <v>73382749213</v>
      </c>
      <c r="F86" t="s">
        <v>716</v>
      </c>
      <c r="H86" t="s">
        <v>716</v>
      </c>
      <c r="I86" t="s">
        <v>716</v>
      </c>
      <c r="L86">
        <v>79</v>
      </c>
      <c r="M86">
        <v>149.5</v>
      </c>
    </row>
    <row r="87" spans="1:13" x14ac:dyDescent="0.25">
      <c r="A87" t="s">
        <v>818</v>
      </c>
      <c r="B87">
        <v>73312212936</v>
      </c>
      <c r="H87" t="s">
        <v>716</v>
      </c>
      <c r="I87" t="s">
        <v>716</v>
      </c>
      <c r="K87" t="s">
        <v>716</v>
      </c>
      <c r="L87">
        <v>51</v>
      </c>
      <c r="M87">
        <v>56.5</v>
      </c>
    </row>
    <row r="88" spans="1:13" x14ac:dyDescent="0.25">
      <c r="A88" t="s">
        <v>819</v>
      </c>
      <c r="B88">
        <v>73289987804</v>
      </c>
      <c r="F88" t="s">
        <v>716</v>
      </c>
      <c r="J88" t="s">
        <v>716</v>
      </c>
      <c r="L88">
        <v>83</v>
      </c>
      <c r="M88">
        <v>137.25</v>
      </c>
    </row>
    <row r="89" spans="1:13" x14ac:dyDescent="0.25">
      <c r="A89" t="s">
        <v>820</v>
      </c>
      <c r="B89">
        <v>73391114976</v>
      </c>
      <c r="K89" t="s">
        <v>716</v>
      </c>
      <c r="L89">
        <v>64</v>
      </c>
      <c r="M89">
        <v>73</v>
      </c>
    </row>
    <row r="90" spans="1:13" x14ac:dyDescent="0.25">
      <c r="A90" t="s">
        <v>821</v>
      </c>
      <c r="B90">
        <v>73381660640</v>
      </c>
      <c r="C90">
        <v>4000</v>
      </c>
      <c r="D90" t="s">
        <v>716</v>
      </c>
      <c r="H90" t="s">
        <v>716</v>
      </c>
      <c r="I90" t="s">
        <v>716</v>
      </c>
      <c r="J90" t="s">
        <v>716</v>
      </c>
      <c r="K90" t="s">
        <v>738</v>
      </c>
      <c r="L90">
        <v>78</v>
      </c>
      <c r="M90">
        <v>163.25</v>
      </c>
    </row>
    <row r="91" spans="1:13" x14ac:dyDescent="0.25">
      <c r="A91" t="s">
        <v>823</v>
      </c>
      <c r="B91">
        <v>73303479098</v>
      </c>
      <c r="F91" t="s">
        <v>716</v>
      </c>
      <c r="H91" t="s">
        <v>716</v>
      </c>
      <c r="I91" t="s">
        <v>716</v>
      </c>
      <c r="J91" t="s">
        <v>738</v>
      </c>
      <c r="K91" t="s">
        <v>716</v>
      </c>
      <c r="L91">
        <v>72</v>
      </c>
      <c r="M91">
        <v>148.75</v>
      </c>
    </row>
    <row r="92" spans="1:13" x14ac:dyDescent="0.25">
      <c r="A92" t="s">
        <v>824</v>
      </c>
      <c r="B92">
        <v>73379437368</v>
      </c>
      <c r="F92" t="s">
        <v>716</v>
      </c>
      <c r="H92" t="s">
        <v>716</v>
      </c>
      <c r="I92" t="s">
        <v>716</v>
      </c>
      <c r="L92">
        <v>75</v>
      </c>
      <c r="M92">
        <v>155.25</v>
      </c>
    </row>
    <row r="93" spans="1:13" x14ac:dyDescent="0.25">
      <c r="A93" t="s">
        <v>825</v>
      </c>
      <c r="B93">
        <v>73379389879</v>
      </c>
      <c r="H93" t="s">
        <v>716</v>
      </c>
      <c r="I93" t="s">
        <v>716</v>
      </c>
      <c r="L93">
        <v>57</v>
      </c>
      <c r="M93">
        <v>63.5</v>
      </c>
    </row>
    <row r="94" spans="1:13" x14ac:dyDescent="0.25">
      <c r="A94" t="s">
        <v>826</v>
      </c>
      <c r="B94">
        <v>73314033863</v>
      </c>
      <c r="F94" t="s">
        <v>716</v>
      </c>
      <c r="H94" t="s">
        <v>716</v>
      </c>
      <c r="I94" t="s">
        <v>716</v>
      </c>
      <c r="K94" t="s">
        <v>716</v>
      </c>
      <c r="L94">
        <v>70</v>
      </c>
      <c r="M94">
        <v>140.54</v>
      </c>
    </row>
    <row r="95" spans="1:13" x14ac:dyDescent="0.25">
      <c r="A95" t="s">
        <v>827</v>
      </c>
      <c r="B95">
        <v>73373881478</v>
      </c>
      <c r="F95" t="s">
        <v>716</v>
      </c>
      <c r="J95" t="s">
        <v>716</v>
      </c>
      <c r="L95">
        <v>82</v>
      </c>
      <c r="M95">
        <v>164.5</v>
      </c>
    </row>
    <row r="96" spans="1:13" x14ac:dyDescent="0.25">
      <c r="A96" t="s">
        <v>828</v>
      </c>
      <c r="B96">
        <v>73356834803</v>
      </c>
      <c r="F96" t="s">
        <v>716</v>
      </c>
      <c r="H96" t="s">
        <v>716</v>
      </c>
      <c r="I96" t="s">
        <v>716</v>
      </c>
      <c r="J96" t="s">
        <v>716</v>
      </c>
      <c r="K96" t="s">
        <v>716</v>
      </c>
      <c r="L96">
        <v>79</v>
      </c>
      <c r="M96">
        <v>155</v>
      </c>
    </row>
    <row r="97" spans="1:13" x14ac:dyDescent="0.25">
      <c r="A97" t="s">
        <v>829</v>
      </c>
      <c r="B97">
        <v>73355308712</v>
      </c>
      <c r="F97" t="s">
        <v>716</v>
      </c>
      <c r="J97" t="s">
        <v>716</v>
      </c>
      <c r="L97">
        <v>80</v>
      </c>
      <c r="M97">
        <v>162.75</v>
      </c>
    </row>
    <row r="98" spans="1:13" x14ac:dyDescent="0.25">
      <c r="A98" t="s">
        <v>830</v>
      </c>
      <c r="B98">
        <v>73270474205</v>
      </c>
      <c r="C98">
        <v>3000</v>
      </c>
      <c r="D98" t="s">
        <v>716</v>
      </c>
      <c r="J98" t="s">
        <v>716</v>
      </c>
      <c r="L98">
        <v>89</v>
      </c>
      <c r="M98">
        <v>174.25</v>
      </c>
    </row>
    <row r="99" spans="1:13" x14ac:dyDescent="0.25">
      <c r="A99" t="s">
        <v>833</v>
      </c>
      <c r="B99">
        <v>73354118642</v>
      </c>
      <c r="H99" t="s">
        <v>716</v>
      </c>
      <c r="I99" t="s">
        <v>716</v>
      </c>
      <c r="K99" t="s">
        <v>716</v>
      </c>
      <c r="L99">
        <v>61</v>
      </c>
      <c r="M99">
        <v>69.25</v>
      </c>
    </row>
    <row r="100" spans="1:13" x14ac:dyDescent="0.25">
      <c r="A100" t="s">
        <v>834</v>
      </c>
      <c r="B100">
        <v>73257453729</v>
      </c>
      <c r="H100" t="s">
        <v>716</v>
      </c>
      <c r="I100" t="s">
        <v>716</v>
      </c>
      <c r="L100">
        <v>68</v>
      </c>
      <c r="M100">
        <v>77.25</v>
      </c>
    </row>
    <row r="101" spans="1:13" x14ac:dyDescent="0.25">
      <c r="A101" t="s">
        <v>835</v>
      </c>
      <c r="B101">
        <v>73355351007</v>
      </c>
      <c r="C101">
        <v>2000</v>
      </c>
      <c r="D101" t="s">
        <v>716</v>
      </c>
      <c r="H101" t="s">
        <v>716</v>
      </c>
      <c r="I101" t="s">
        <v>716</v>
      </c>
      <c r="J101" t="s">
        <v>716</v>
      </c>
      <c r="K101" t="s">
        <v>716</v>
      </c>
      <c r="L101">
        <v>90</v>
      </c>
      <c r="M101">
        <v>165.54</v>
      </c>
    </row>
    <row r="102" spans="1:13" x14ac:dyDescent="0.25">
      <c r="A102" t="s">
        <v>837</v>
      </c>
      <c r="B102">
        <v>73364959508</v>
      </c>
      <c r="F102" t="s">
        <v>716</v>
      </c>
      <c r="H102" t="s">
        <v>716</v>
      </c>
      <c r="I102" t="s">
        <v>716</v>
      </c>
      <c r="J102" t="s">
        <v>716</v>
      </c>
      <c r="K102" t="s">
        <v>716</v>
      </c>
      <c r="L102">
        <v>76</v>
      </c>
      <c r="M102">
        <v>149</v>
      </c>
    </row>
    <row r="103" spans="1:13" x14ac:dyDescent="0.25">
      <c r="A103" t="s">
        <v>838</v>
      </c>
      <c r="B103">
        <v>73386292968</v>
      </c>
      <c r="F103" t="s">
        <v>716</v>
      </c>
      <c r="H103" t="s">
        <v>716</v>
      </c>
      <c r="J103" t="s">
        <v>716</v>
      </c>
      <c r="L103">
        <v>89</v>
      </c>
      <c r="M103">
        <v>161.75</v>
      </c>
    </row>
    <row r="104" spans="1:13" x14ac:dyDescent="0.25">
      <c r="A104" t="s">
        <v>839</v>
      </c>
      <c r="B104">
        <v>73267401913</v>
      </c>
      <c r="F104" t="s">
        <v>716</v>
      </c>
      <c r="H104" t="s">
        <v>716</v>
      </c>
      <c r="I104" t="s">
        <v>716</v>
      </c>
      <c r="J104" t="s">
        <v>716</v>
      </c>
      <c r="K104" t="s">
        <v>716</v>
      </c>
      <c r="L104">
        <v>77</v>
      </c>
      <c r="M104">
        <v>148.25</v>
      </c>
    </row>
    <row r="105" spans="1:13" x14ac:dyDescent="0.25">
      <c r="A105" t="s">
        <v>840</v>
      </c>
      <c r="B105">
        <v>73257566437</v>
      </c>
      <c r="C105">
        <v>3000</v>
      </c>
      <c r="D105" t="s">
        <v>716</v>
      </c>
      <c r="H105" t="s">
        <v>716</v>
      </c>
      <c r="I105" t="s">
        <v>716</v>
      </c>
      <c r="J105" t="s">
        <v>716</v>
      </c>
      <c r="K105" t="s">
        <v>716</v>
      </c>
      <c r="L105">
        <v>85</v>
      </c>
      <c r="M105">
        <v>169.75</v>
      </c>
    </row>
    <row r="106" spans="1:13" x14ac:dyDescent="0.25">
      <c r="A106" t="s">
        <v>842</v>
      </c>
      <c r="B106">
        <v>73311299826</v>
      </c>
      <c r="F106" t="s">
        <v>716</v>
      </c>
      <c r="H106" t="s">
        <v>716</v>
      </c>
      <c r="I106" t="s">
        <v>716</v>
      </c>
      <c r="J106" t="s">
        <v>716</v>
      </c>
      <c r="K106" t="s">
        <v>716</v>
      </c>
      <c r="L106">
        <v>75</v>
      </c>
      <c r="M106">
        <v>153.5</v>
      </c>
    </row>
    <row r="107" spans="1:13" x14ac:dyDescent="0.25">
      <c r="A107" t="s">
        <v>843</v>
      </c>
      <c r="B107">
        <v>73301320229</v>
      </c>
      <c r="E107" t="s">
        <v>716</v>
      </c>
      <c r="H107" t="s">
        <v>716</v>
      </c>
      <c r="I107" t="s">
        <v>716</v>
      </c>
      <c r="L107">
        <v>96</v>
      </c>
      <c r="M107">
        <v>173.25</v>
      </c>
    </row>
    <row r="108" spans="1:13" x14ac:dyDescent="0.25">
      <c r="A108" t="s">
        <v>844</v>
      </c>
      <c r="B108">
        <v>73285430388</v>
      </c>
      <c r="F108" t="s">
        <v>716</v>
      </c>
      <c r="H108" t="s">
        <v>716</v>
      </c>
      <c r="I108" t="s">
        <v>716</v>
      </c>
      <c r="J108" t="s">
        <v>716</v>
      </c>
      <c r="K108" t="s">
        <v>716</v>
      </c>
      <c r="L108">
        <v>85</v>
      </c>
      <c r="M108">
        <v>159.25</v>
      </c>
    </row>
    <row r="109" spans="1:13" x14ac:dyDescent="0.25">
      <c r="A109" t="s">
        <v>845</v>
      </c>
      <c r="B109">
        <v>73378886557</v>
      </c>
      <c r="J109" t="s">
        <v>716</v>
      </c>
      <c r="L109">
        <v>55</v>
      </c>
      <c r="M109">
        <v>60.5</v>
      </c>
    </row>
    <row r="110" spans="1:13" x14ac:dyDescent="0.25">
      <c r="A110" t="s">
        <v>846</v>
      </c>
      <c r="B110">
        <v>73329104863</v>
      </c>
      <c r="F110" t="s">
        <v>716</v>
      </c>
      <c r="H110" t="s">
        <v>716</v>
      </c>
      <c r="I110" t="s">
        <v>716</v>
      </c>
      <c r="L110">
        <v>89</v>
      </c>
      <c r="M110">
        <v>148</v>
      </c>
    </row>
    <row r="111" spans="1:13" x14ac:dyDescent="0.25">
      <c r="A111" t="s">
        <v>847</v>
      </c>
      <c r="B111">
        <v>73380660575</v>
      </c>
      <c r="F111" t="s">
        <v>716</v>
      </c>
      <c r="H111" t="s">
        <v>716</v>
      </c>
      <c r="I111" t="s">
        <v>716</v>
      </c>
      <c r="J111" t="s">
        <v>716</v>
      </c>
      <c r="K111" t="s">
        <v>716</v>
      </c>
      <c r="L111">
        <v>72</v>
      </c>
      <c r="M111">
        <v>142.79</v>
      </c>
    </row>
    <row r="112" spans="1:13" x14ac:dyDescent="0.25">
      <c r="A112" t="s">
        <v>848</v>
      </c>
      <c r="B112">
        <v>73344420563</v>
      </c>
      <c r="F112" t="s">
        <v>716</v>
      </c>
      <c r="H112" t="s">
        <v>716</v>
      </c>
      <c r="I112" t="s">
        <v>716</v>
      </c>
      <c r="L112">
        <v>77</v>
      </c>
      <c r="M112">
        <v>145</v>
      </c>
    </row>
    <row r="113" spans="1:13" x14ac:dyDescent="0.25">
      <c r="A113" t="s">
        <v>849</v>
      </c>
      <c r="B113">
        <v>73346909580</v>
      </c>
      <c r="F113" t="s">
        <v>716</v>
      </c>
      <c r="H113" t="s">
        <v>716</v>
      </c>
      <c r="I113" t="s">
        <v>716</v>
      </c>
      <c r="J113" t="s">
        <v>716</v>
      </c>
      <c r="K113" t="s">
        <v>716</v>
      </c>
      <c r="L113">
        <v>82</v>
      </c>
      <c r="M113">
        <v>159.75</v>
      </c>
    </row>
    <row r="114" spans="1:13" x14ac:dyDescent="0.25">
      <c r="A114" t="s">
        <v>850</v>
      </c>
      <c r="B114">
        <v>73403436164</v>
      </c>
      <c r="F114" t="s">
        <v>716</v>
      </c>
      <c r="H114" t="s">
        <v>716</v>
      </c>
      <c r="I114" t="s">
        <v>716</v>
      </c>
      <c r="J114" t="s">
        <v>716</v>
      </c>
      <c r="K114" t="s">
        <v>716</v>
      </c>
      <c r="L114">
        <v>72</v>
      </c>
      <c r="M114">
        <v>150.29</v>
      </c>
    </row>
    <row r="115" spans="1:13" x14ac:dyDescent="0.25">
      <c r="A115" t="s">
        <v>851</v>
      </c>
      <c r="B115">
        <v>73286276110</v>
      </c>
      <c r="F115" t="s">
        <v>716</v>
      </c>
      <c r="H115" t="s">
        <v>716</v>
      </c>
      <c r="I115" t="s">
        <v>716</v>
      </c>
      <c r="J115" t="s">
        <v>716</v>
      </c>
      <c r="K115" t="s">
        <v>716</v>
      </c>
      <c r="L115">
        <v>83</v>
      </c>
      <c r="M115">
        <v>145.22999999999999</v>
      </c>
    </row>
    <row r="116" spans="1:13" x14ac:dyDescent="0.25">
      <c r="A116" t="s">
        <v>852</v>
      </c>
      <c r="B116">
        <v>73269628096</v>
      </c>
      <c r="G116" t="s">
        <v>716</v>
      </c>
      <c r="J116" t="s">
        <v>716</v>
      </c>
      <c r="L116">
        <v>83</v>
      </c>
      <c r="M116">
        <v>92.5</v>
      </c>
    </row>
    <row r="117" spans="1:13" x14ac:dyDescent="0.25">
      <c r="A117" t="s">
        <v>853</v>
      </c>
      <c r="B117">
        <v>73307053848</v>
      </c>
      <c r="F117" t="s">
        <v>716</v>
      </c>
      <c r="H117" t="s">
        <v>716</v>
      </c>
      <c r="I117" t="s">
        <v>716</v>
      </c>
      <c r="L117">
        <v>75</v>
      </c>
      <c r="M117">
        <v>135.16999999999999</v>
      </c>
    </row>
    <row r="118" spans="1:13" x14ac:dyDescent="0.25">
      <c r="A118" t="s">
        <v>854</v>
      </c>
      <c r="B118">
        <v>73356647041</v>
      </c>
      <c r="E118" t="s">
        <v>716</v>
      </c>
      <c r="H118" t="s">
        <v>716</v>
      </c>
      <c r="I118" t="s">
        <v>716</v>
      </c>
      <c r="J118" t="s">
        <v>716</v>
      </c>
      <c r="K118" t="s">
        <v>716</v>
      </c>
      <c r="L118">
        <v>85</v>
      </c>
      <c r="M118">
        <v>167.5</v>
      </c>
    </row>
    <row r="119" spans="1:13" x14ac:dyDescent="0.25">
      <c r="A119" t="s">
        <v>855</v>
      </c>
      <c r="B119">
        <v>73258424104</v>
      </c>
      <c r="G119" t="s">
        <v>716</v>
      </c>
      <c r="H119" t="s">
        <v>716</v>
      </c>
      <c r="I119" t="s">
        <v>716</v>
      </c>
      <c r="J119" t="s">
        <v>716</v>
      </c>
      <c r="K119" t="s">
        <v>716</v>
      </c>
      <c r="L119">
        <v>89</v>
      </c>
      <c r="M119">
        <v>172.25</v>
      </c>
    </row>
    <row r="120" spans="1:13" x14ac:dyDescent="0.25">
      <c r="A120" t="s">
        <v>857</v>
      </c>
      <c r="B120">
        <v>73301202628</v>
      </c>
      <c r="F120" t="s">
        <v>716</v>
      </c>
      <c r="J120" t="s">
        <v>716</v>
      </c>
      <c r="L120">
        <v>71</v>
      </c>
      <c r="M120">
        <v>151.5</v>
      </c>
    </row>
    <row r="121" spans="1:13" x14ac:dyDescent="0.25">
      <c r="A121" t="s">
        <v>858</v>
      </c>
      <c r="B121">
        <v>73257475987</v>
      </c>
      <c r="E121" t="s">
        <v>716</v>
      </c>
      <c r="J121" t="s">
        <v>716</v>
      </c>
      <c r="L121">
        <v>94</v>
      </c>
      <c r="M121">
        <v>172</v>
      </c>
    </row>
    <row r="122" spans="1:13" x14ac:dyDescent="0.25">
      <c r="A122" t="s">
        <v>859</v>
      </c>
      <c r="B122">
        <v>73270617326</v>
      </c>
      <c r="E122" t="s">
        <v>716</v>
      </c>
      <c r="J122" t="s">
        <v>716</v>
      </c>
      <c r="L122">
        <v>90</v>
      </c>
      <c r="M122">
        <v>165.44</v>
      </c>
    </row>
    <row r="123" spans="1:13" x14ac:dyDescent="0.25">
      <c r="A123" t="s">
        <v>860</v>
      </c>
      <c r="B123">
        <v>73355978676</v>
      </c>
      <c r="C123">
        <v>4000</v>
      </c>
      <c r="D123" t="s">
        <v>716</v>
      </c>
      <c r="H123" t="s">
        <v>716</v>
      </c>
      <c r="I123" t="s">
        <v>716</v>
      </c>
      <c r="J123" t="s">
        <v>716</v>
      </c>
      <c r="K123" t="s">
        <v>716</v>
      </c>
      <c r="L123">
        <v>90</v>
      </c>
      <c r="M123">
        <v>175.5</v>
      </c>
    </row>
    <row r="124" spans="1:13" x14ac:dyDescent="0.25">
      <c r="A124" t="s">
        <v>862</v>
      </c>
      <c r="B124">
        <v>73366305693</v>
      </c>
      <c r="C124">
        <v>3000</v>
      </c>
      <c r="D124" t="s">
        <v>716</v>
      </c>
      <c r="H124" t="s">
        <v>716</v>
      </c>
      <c r="I124" t="s">
        <v>716</v>
      </c>
      <c r="J124" t="s">
        <v>716</v>
      </c>
      <c r="K124" t="s">
        <v>716</v>
      </c>
      <c r="L124">
        <v>90</v>
      </c>
      <c r="M124">
        <v>176.25</v>
      </c>
    </row>
    <row r="125" spans="1:13" x14ac:dyDescent="0.25">
      <c r="A125" t="s">
        <v>864</v>
      </c>
      <c r="B125">
        <v>73325573588</v>
      </c>
      <c r="F125" t="s">
        <v>716</v>
      </c>
      <c r="H125" t="s">
        <v>716</v>
      </c>
      <c r="I125" t="s">
        <v>716</v>
      </c>
      <c r="J125" t="s">
        <v>716</v>
      </c>
      <c r="K125" t="s">
        <v>716</v>
      </c>
      <c r="L125">
        <v>80</v>
      </c>
      <c r="M125">
        <v>153</v>
      </c>
    </row>
    <row r="126" spans="1:13" x14ac:dyDescent="0.25">
      <c r="A126" t="s">
        <v>865</v>
      </c>
      <c r="B126">
        <v>73412707355</v>
      </c>
      <c r="E126" t="s">
        <v>716</v>
      </c>
      <c r="H126" t="s">
        <v>716</v>
      </c>
      <c r="I126" t="s">
        <v>716</v>
      </c>
      <c r="J126" t="s">
        <v>716</v>
      </c>
      <c r="L126">
        <v>95</v>
      </c>
      <c r="M126">
        <v>161.63999999999999</v>
      </c>
    </row>
    <row r="127" spans="1:13" x14ac:dyDescent="0.25">
      <c r="A127" t="s">
        <v>866</v>
      </c>
      <c r="B127">
        <v>73364932934</v>
      </c>
      <c r="E127" t="s">
        <v>716</v>
      </c>
      <c r="H127" t="s">
        <v>716</v>
      </c>
      <c r="I127" t="s">
        <v>716</v>
      </c>
      <c r="J127" t="s">
        <v>716</v>
      </c>
      <c r="K127" t="s">
        <v>716</v>
      </c>
      <c r="L127">
        <v>87</v>
      </c>
      <c r="M127">
        <v>167.54</v>
      </c>
    </row>
    <row r="128" spans="1:13" x14ac:dyDescent="0.25">
      <c r="A128" t="s">
        <v>867</v>
      </c>
      <c r="B128">
        <v>73364941011</v>
      </c>
      <c r="F128" t="s">
        <v>716</v>
      </c>
      <c r="H128" t="s">
        <v>716</v>
      </c>
      <c r="I128" t="s">
        <v>716</v>
      </c>
      <c r="J128" t="s">
        <v>716</v>
      </c>
      <c r="K128" t="s">
        <v>716</v>
      </c>
      <c r="L128">
        <v>82</v>
      </c>
      <c r="M128">
        <v>151.5</v>
      </c>
    </row>
    <row r="129" spans="1:13" x14ac:dyDescent="0.25">
      <c r="A129" t="s">
        <v>868</v>
      </c>
      <c r="B129">
        <v>73370524480</v>
      </c>
      <c r="F129" t="s">
        <v>716</v>
      </c>
      <c r="H129" t="s">
        <v>716</v>
      </c>
      <c r="I129" t="s">
        <v>738</v>
      </c>
      <c r="J129" t="s">
        <v>738</v>
      </c>
      <c r="K129" t="s">
        <v>738</v>
      </c>
      <c r="L129">
        <v>80</v>
      </c>
      <c r="M129">
        <v>153.09</v>
      </c>
    </row>
    <row r="130" spans="1:13" x14ac:dyDescent="0.25">
      <c r="A130" t="s">
        <v>869</v>
      </c>
      <c r="B130">
        <v>73325412783</v>
      </c>
      <c r="F130" t="s">
        <v>716</v>
      </c>
      <c r="H130" t="s">
        <v>716</v>
      </c>
      <c r="L130">
        <v>81</v>
      </c>
      <c r="M130">
        <v>152.25</v>
      </c>
    </row>
    <row r="131" spans="1:13" x14ac:dyDescent="0.25">
      <c r="A131" t="s">
        <v>870</v>
      </c>
      <c r="B131">
        <v>73374900587</v>
      </c>
      <c r="C131">
        <v>2000</v>
      </c>
      <c r="D131" t="s">
        <v>716</v>
      </c>
      <c r="H131" t="s">
        <v>716</v>
      </c>
      <c r="I131" t="s">
        <v>716</v>
      </c>
      <c r="J131" t="s">
        <v>716</v>
      </c>
      <c r="K131" t="s">
        <v>716</v>
      </c>
      <c r="L131">
        <v>83</v>
      </c>
      <c r="M131">
        <v>167.25</v>
      </c>
    </row>
    <row r="132" spans="1:13" x14ac:dyDescent="0.25">
      <c r="A132" t="s">
        <v>872</v>
      </c>
      <c r="B132">
        <v>73346870682</v>
      </c>
      <c r="F132" t="s">
        <v>716</v>
      </c>
      <c r="H132" t="s">
        <v>716</v>
      </c>
      <c r="I132" t="s">
        <v>716</v>
      </c>
      <c r="L132">
        <v>76</v>
      </c>
      <c r="M132">
        <v>137.5</v>
      </c>
    </row>
    <row r="133" spans="1:13" x14ac:dyDescent="0.25">
      <c r="A133" t="s">
        <v>873</v>
      </c>
      <c r="B133">
        <v>73371003648</v>
      </c>
      <c r="F133" t="s">
        <v>716</v>
      </c>
      <c r="H133" t="s">
        <v>716</v>
      </c>
      <c r="L133">
        <v>83</v>
      </c>
      <c r="M133">
        <v>151</v>
      </c>
    </row>
    <row r="134" spans="1:13" x14ac:dyDescent="0.25">
      <c r="A134" t="s">
        <v>874</v>
      </c>
      <c r="B134">
        <v>73320346578</v>
      </c>
      <c r="G134" t="s">
        <v>716</v>
      </c>
      <c r="I134" t="s">
        <v>716</v>
      </c>
      <c r="J134" t="s">
        <v>716</v>
      </c>
      <c r="L134">
        <v>84</v>
      </c>
      <c r="M134">
        <v>165.5</v>
      </c>
    </row>
    <row r="135" spans="1:13" x14ac:dyDescent="0.25">
      <c r="A135" t="s">
        <v>876</v>
      </c>
      <c r="B135">
        <v>73389188130</v>
      </c>
      <c r="F135" t="s">
        <v>716</v>
      </c>
      <c r="I135" t="s">
        <v>716</v>
      </c>
      <c r="J135" t="s">
        <v>716</v>
      </c>
      <c r="L135">
        <v>70</v>
      </c>
      <c r="M135">
        <v>148.31</v>
      </c>
    </row>
    <row r="136" spans="1:13" x14ac:dyDescent="0.25">
      <c r="A136" t="s">
        <v>877</v>
      </c>
      <c r="B136">
        <v>73261338358</v>
      </c>
      <c r="F136" t="s">
        <v>716</v>
      </c>
      <c r="H136" t="s">
        <v>716</v>
      </c>
      <c r="I136" t="s">
        <v>716</v>
      </c>
      <c r="J136" t="s">
        <v>716</v>
      </c>
      <c r="K136" t="s">
        <v>716</v>
      </c>
      <c r="L136">
        <v>77</v>
      </c>
      <c r="M136">
        <v>157</v>
      </c>
    </row>
    <row r="137" spans="1:13" x14ac:dyDescent="0.25">
      <c r="A137" t="s">
        <v>878</v>
      </c>
      <c r="B137">
        <v>73341062441</v>
      </c>
      <c r="F137" t="s">
        <v>716</v>
      </c>
      <c r="H137" t="s">
        <v>716</v>
      </c>
      <c r="I137" t="s">
        <v>716</v>
      </c>
      <c r="J137" t="s">
        <v>716</v>
      </c>
      <c r="K137" t="s">
        <v>716</v>
      </c>
      <c r="L137">
        <v>88</v>
      </c>
      <c r="M137">
        <v>157.75</v>
      </c>
    </row>
    <row r="138" spans="1:13" x14ac:dyDescent="0.25">
      <c r="A138" t="s">
        <v>879</v>
      </c>
      <c r="B138">
        <v>73259900015</v>
      </c>
      <c r="F138" t="s">
        <v>716</v>
      </c>
      <c r="H138" t="s">
        <v>716</v>
      </c>
      <c r="I138" t="s">
        <v>716</v>
      </c>
      <c r="J138" t="s">
        <v>716</v>
      </c>
      <c r="L138">
        <v>86</v>
      </c>
      <c r="M138">
        <v>143.25</v>
      </c>
    </row>
    <row r="139" spans="1:13" x14ac:dyDescent="0.25">
      <c r="A139" t="s">
        <v>880</v>
      </c>
      <c r="B139">
        <v>73325125079</v>
      </c>
      <c r="F139" t="s">
        <v>716</v>
      </c>
      <c r="H139" t="s">
        <v>716</v>
      </c>
      <c r="J139" t="s">
        <v>716</v>
      </c>
      <c r="L139">
        <v>83</v>
      </c>
      <c r="M139">
        <v>160.25</v>
      </c>
    </row>
    <row r="140" spans="1:13" x14ac:dyDescent="0.25">
      <c r="A140" t="s">
        <v>881</v>
      </c>
      <c r="B140">
        <v>73275366229</v>
      </c>
      <c r="F140" t="s">
        <v>716</v>
      </c>
      <c r="H140" t="s">
        <v>716</v>
      </c>
      <c r="I140" t="s">
        <v>716</v>
      </c>
      <c r="J140" t="s">
        <v>716</v>
      </c>
      <c r="L140">
        <v>84</v>
      </c>
      <c r="M140">
        <v>160.25</v>
      </c>
    </row>
    <row r="141" spans="1:13" x14ac:dyDescent="0.25">
      <c r="A141" t="s">
        <v>882</v>
      </c>
      <c r="B141">
        <v>73323596233</v>
      </c>
      <c r="F141" t="s">
        <v>716</v>
      </c>
      <c r="H141" t="s">
        <v>716</v>
      </c>
      <c r="I141" t="s">
        <v>716</v>
      </c>
      <c r="J141" t="s">
        <v>716</v>
      </c>
      <c r="K141" t="s">
        <v>716</v>
      </c>
      <c r="L141">
        <v>74</v>
      </c>
      <c r="M141">
        <v>149</v>
      </c>
    </row>
    <row r="142" spans="1:13" x14ac:dyDescent="0.25">
      <c r="A142" t="s">
        <v>883</v>
      </c>
      <c r="B142">
        <v>73319975613</v>
      </c>
      <c r="E142" t="s">
        <v>716</v>
      </c>
      <c r="H142" t="s">
        <v>716</v>
      </c>
      <c r="L142">
        <v>89</v>
      </c>
      <c r="M142">
        <v>172.75</v>
      </c>
    </row>
    <row r="143" spans="1:13" x14ac:dyDescent="0.25">
      <c r="A143" t="s">
        <v>884</v>
      </c>
      <c r="B143">
        <v>73267483329</v>
      </c>
      <c r="E143" t="s">
        <v>716</v>
      </c>
      <c r="H143" t="s">
        <v>716</v>
      </c>
      <c r="I143" t="s">
        <v>716</v>
      </c>
      <c r="L143">
        <v>94</v>
      </c>
      <c r="M143">
        <v>178.75</v>
      </c>
    </row>
    <row r="144" spans="1:13" x14ac:dyDescent="0.25">
      <c r="A144" t="s">
        <v>885</v>
      </c>
      <c r="B144">
        <v>73263028710</v>
      </c>
      <c r="E144" t="s">
        <v>716</v>
      </c>
      <c r="H144" t="s">
        <v>716</v>
      </c>
      <c r="I144" t="s">
        <v>716</v>
      </c>
      <c r="J144" t="s">
        <v>716</v>
      </c>
      <c r="K144" t="s">
        <v>716</v>
      </c>
      <c r="L144">
        <v>91</v>
      </c>
      <c r="M144">
        <v>170.75</v>
      </c>
    </row>
    <row r="145" spans="1:13" x14ac:dyDescent="0.25">
      <c r="A145" t="s">
        <v>886</v>
      </c>
      <c r="B145">
        <v>73265876309</v>
      </c>
      <c r="F145" t="s">
        <v>716</v>
      </c>
      <c r="H145" t="s">
        <v>716</v>
      </c>
      <c r="I145" t="s">
        <v>716</v>
      </c>
      <c r="J145" t="s">
        <v>716</v>
      </c>
      <c r="K145" t="s">
        <v>716</v>
      </c>
      <c r="L145">
        <v>73</v>
      </c>
      <c r="M145">
        <v>133.54</v>
      </c>
    </row>
    <row r="146" spans="1:13" x14ac:dyDescent="0.25">
      <c r="A146" t="s">
        <v>887</v>
      </c>
      <c r="B146">
        <v>73385089644</v>
      </c>
      <c r="F146" t="s">
        <v>716</v>
      </c>
      <c r="H146" t="s">
        <v>716</v>
      </c>
      <c r="I146" t="s">
        <v>716</v>
      </c>
      <c r="J146" t="s">
        <v>716</v>
      </c>
      <c r="K146" t="s">
        <v>716</v>
      </c>
      <c r="L146">
        <v>75</v>
      </c>
      <c r="M146">
        <v>150</v>
      </c>
    </row>
    <row r="147" spans="1:13" x14ac:dyDescent="0.25">
      <c r="A147" t="s">
        <v>888</v>
      </c>
      <c r="B147">
        <v>73346943312</v>
      </c>
      <c r="C147">
        <v>2000</v>
      </c>
      <c r="D147" t="s">
        <v>716</v>
      </c>
      <c r="H147" t="s">
        <v>716</v>
      </c>
      <c r="I147" t="s">
        <v>716</v>
      </c>
      <c r="J147" t="s">
        <v>716</v>
      </c>
      <c r="L147">
        <v>84</v>
      </c>
      <c r="M147">
        <v>165.25</v>
      </c>
    </row>
    <row r="148" spans="1:13" x14ac:dyDescent="0.25">
      <c r="A148" t="s">
        <v>890</v>
      </c>
      <c r="B148">
        <v>73306738228</v>
      </c>
      <c r="E148" t="s">
        <v>716</v>
      </c>
      <c r="H148" t="s">
        <v>716</v>
      </c>
      <c r="I148" t="s">
        <v>716</v>
      </c>
      <c r="J148" t="s">
        <v>716</v>
      </c>
      <c r="K148" t="s">
        <v>716</v>
      </c>
      <c r="L148">
        <v>84</v>
      </c>
      <c r="M148">
        <v>166.75</v>
      </c>
    </row>
    <row r="149" spans="1:13" x14ac:dyDescent="0.25">
      <c r="A149" t="s">
        <v>891</v>
      </c>
      <c r="B149">
        <v>73377268794</v>
      </c>
      <c r="E149" t="s">
        <v>716</v>
      </c>
      <c r="H149" t="s">
        <v>716</v>
      </c>
      <c r="I149" t="s">
        <v>716</v>
      </c>
      <c r="K149" t="s">
        <v>716</v>
      </c>
      <c r="L149">
        <v>86</v>
      </c>
      <c r="M149">
        <v>170.75</v>
      </c>
    </row>
    <row r="150" spans="1:13" x14ac:dyDescent="0.25">
      <c r="A150" t="s">
        <v>892</v>
      </c>
      <c r="B150">
        <v>73385833698</v>
      </c>
      <c r="C150">
        <v>2000</v>
      </c>
      <c r="D150" t="s">
        <v>716</v>
      </c>
      <c r="H150" t="s">
        <v>716</v>
      </c>
      <c r="I150" t="s">
        <v>716</v>
      </c>
      <c r="J150" t="s">
        <v>716</v>
      </c>
      <c r="K150" t="s">
        <v>716</v>
      </c>
      <c r="L150">
        <v>85</v>
      </c>
      <c r="M150">
        <v>167</v>
      </c>
    </row>
    <row r="151" spans="1:13" x14ac:dyDescent="0.25">
      <c r="A151" t="s">
        <v>894</v>
      </c>
      <c r="B151">
        <v>73308804814</v>
      </c>
      <c r="F151" t="s">
        <v>716</v>
      </c>
      <c r="H151" t="s">
        <v>716</v>
      </c>
      <c r="I151" t="s">
        <v>716</v>
      </c>
      <c r="L151">
        <v>75</v>
      </c>
      <c r="M151">
        <v>158</v>
      </c>
    </row>
    <row r="152" spans="1:13" x14ac:dyDescent="0.25">
      <c r="A152" t="s">
        <v>895</v>
      </c>
      <c r="B152">
        <v>73286806905</v>
      </c>
      <c r="C152">
        <v>4000</v>
      </c>
      <c r="D152" t="s">
        <v>716</v>
      </c>
      <c r="H152" t="s">
        <v>716</v>
      </c>
      <c r="I152" t="s">
        <v>716</v>
      </c>
      <c r="J152" t="s">
        <v>716</v>
      </c>
      <c r="K152" t="s">
        <v>716</v>
      </c>
      <c r="L152">
        <v>78</v>
      </c>
      <c r="M152">
        <v>162.25</v>
      </c>
    </row>
    <row r="153" spans="1:13" x14ac:dyDescent="0.25">
      <c r="A153" t="s">
        <v>897</v>
      </c>
      <c r="B153">
        <v>73323292443</v>
      </c>
      <c r="C153">
        <v>1000</v>
      </c>
      <c r="D153" t="s">
        <v>716</v>
      </c>
      <c r="H153" t="s">
        <v>716</v>
      </c>
      <c r="I153" t="s">
        <v>716</v>
      </c>
      <c r="J153" t="s">
        <v>716</v>
      </c>
      <c r="K153" t="s">
        <v>716</v>
      </c>
      <c r="L153">
        <v>90</v>
      </c>
      <c r="M153">
        <v>169.04</v>
      </c>
    </row>
    <row r="154" spans="1:13" x14ac:dyDescent="0.25">
      <c r="A154" t="s">
        <v>899</v>
      </c>
      <c r="B154">
        <v>73315799527</v>
      </c>
      <c r="H154" t="s">
        <v>716</v>
      </c>
      <c r="L154">
        <v>57</v>
      </c>
      <c r="M154">
        <v>63.75</v>
      </c>
    </row>
    <row r="155" spans="1:13" x14ac:dyDescent="0.25">
      <c r="A155" t="s">
        <v>900</v>
      </c>
      <c r="B155">
        <v>73316183959</v>
      </c>
      <c r="F155" t="s">
        <v>716</v>
      </c>
      <c r="H155" t="s">
        <v>716</v>
      </c>
      <c r="J155" t="s">
        <v>716</v>
      </c>
      <c r="L155">
        <v>72</v>
      </c>
      <c r="M155">
        <v>143.38</v>
      </c>
    </row>
    <row r="156" spans="1:13" x14ac:dyDescent="0.25">
      <c r="A156" t="s">
        <v>901</v>
      </c>
      <c r="B156">
        <v>73369263523</v>
      </c>
      <c r="F156" t="s">
        <v>716</v>
      </c>
      <c r="H156" t="s">
        <v>716</v>
      </c>
      <c r="I156" t="s">
        <v>716</v>
      </c>
      <c r="L156">
        <v>75</v>
      </c>
      <c r="M156">
        <v>151.75</v>
      </c>
    </row>
    <row r="157" spans="1:13" x14ac:dyDescent="0.25">
      <c r="A157" t="s">
        <v>902</v>
      </c>
      <c r="B157">
        <v>73403121094</v>
      </c>
      <c r="C157">
        <v>4000</v>
      </c>
      <c r="D157" t="s">
        <v>716</v>
      </c>
      <c r="H157" t="s">
        <v>716</v>
      </c>
      <c r="I157" t="s">
        <v>716</v>
      </c>
      <c r="J157" t="s">
        <v>716</v>
      </c>
      <c r="K157" t="s">
        <v>716</v>
      </c>
      <c r="L157">
        <v>85</v>
      </c>
      <c r="M157">
        <v>167</v>
      </c>
    </row>
    <row r="158" spans="1:13" x14ac:dyDescent="0.25">
      <c r="A158" t="s">
        <v>904</v>
      </c>
      <c r="B158">
        <v>73371440062</v>
      </c>
      <c r="F158" t="s">
        <v>716</v>
      </c>
      <c r="H158" t="s">
        <v>716</v>
      </c>
      <c r="K158" t="s">
        <v>716</v>
      </c>
      <c r="L158">
        <v>86</v>
      </c>
      <c r="M158">
        <v>160.08000000000001</v>
      </c>
    </row>
    <row r="159" spans="1:13" x14ac:dyDescent="0.25">
      <c r="A159" t="s">
        <v>905</v>
      </c>
      <c r="B159">
        <v>73256524076</v>
      </c>
      <c r="F159" t="s">
        <v>716</v>
      </c>
      <c r="H159" t="s">
        <v>716</v>
      </c>
      <c r="I159" t="s">
        <v>716</v>
      </c>
      <c r="J159" t="s">
        <v>716</v>
      </c>
      <c r="K159" t="s">
        <v>716</v>
      </c>
      <c r="L159">
        <v>74</v>
      </c>
      <c r="M159">
        <v>135</v>
      </c>
    </row>
    <row r="160" spans="1:13" x14ac:dyDescent="0.25">
      <c r="A160" t="s">
        <v>906</v>
      </c>
      <c r="B160">
        <v>73281798032</v>
      </c>
      <c r="F160" t="s">
        <v>716</v>
      </c>
      <c r="H160" t="s">
        <v>716</v>
      </c>
      <c r="I160" t="s">
        <v>716</v>
      </c>
      <c r="J160" t="s">
        <v>716</v>
      </c>
      <c r="K160" t="s">
        <v>716</v>
      </c>
      <c r="L160">
        <v>73</v>
      </c>
      <c r="M160">
        <v>153.58000000000001</v>
      </c>
    </row>
    <row r="161" spans="1:13" x14ac:dyDescent="0.25">
      <c r="A161" t="s">
        <v>907</v>
      </c>
      <c r="B161">
        <v>73401366436</v>
      </c>
      <c r="F161" t="s">
        <v>716</v>
      </c>
      <c r="H161" t="s">
        <v>716</v>
      </c>
      <c r="I161" t="s">
        <v>716</v>
      </c>
      <c r="J161" t="s">
        <v>716</v>
      </c>
      <c r="K161" t="s">
        <v>716</v>
      </c>
      <c r="L161">
        <v>83</v>
      </c>
      <c r="M161">
        <v>156.59</v>
      </c>
    </row>
    <row r="162" spans="1:13" x14ac:dyDescent="0.25">
      <c r="A162" t="s">
        <v>908</v>
      </c>
      <c r="B162">
        <v>73377637216</v>
      </c>
      <c r="E162" t="s">
        <v>716</v>
      </c>
      <c r="H162" t="s">
        <v>716</v>
      </c>
      <c r="I162" t="s">
        <v>716</v>
      </c>
      <c r="J162" t="s">
        <v>716</v>
      </c>
      <c r="K162" t="s">
        <v>716</v>
      </c>
      <c r="L162">
        <v>85</v>
      </c>
      <c r="M162">
        <v>166.25</v>
      </c>
    </row>
    <row r="163" spans="1:13" x14ac:dyDescent="0.25">
      <c r="A163" t="s">
        <v>909</v>
      </c>
      <c r="B163">
        <v>73274165988</v>
      </c>
      <c r="H163" t="s">
        <v>716</v>
      </c>
      <c r="I163" t="s">
        <v>716</v>
      </c>
      <c r="L163">
        <v>56</v>
      </c>
      <c r="M163">
        <v>63.75</v>
      </c>
    </row>
    <row r="164" spans="1:13" x14ac:dyDescent="0.25">
      <c r="A164" t="s">
        <v>910</v>
      </c>
      <c r="B164">
        <v>73328620609</v>
      </c>
      <c r="F164" t="s">
        <v>716</v>
      </c>
      <c r="J164" t="s">
        <v>716</v>
      </c>
      <c r="L164">
        <v>71</v>
      </c>
      <c r="M164">
        <v>134.91999999999999</v>
      </c>
    </row>
    <row r="165" spans="1:13" x14ac:dyDescent="0.25">
      <c r="A165" t="s">
        <v>911</v>
      </c>
      <c r="B165">
        <v>84327992264</v>
      </c>
      <c r="F165" t="s">
        <v>716</v>
      </c>
      <c r="H165" t="s">
        <v>716</v>
      </c>
      <c r="I165" t="s">
        <v>716</v>
      </c>
      <c r="J165" t="s">
        <v>716</v>
      </c>
      <c r="K165" t="s">
        <v>716</v>
      </c>
      <c r="L165">
        <v>75</v>
      </c>
      <c r="M165">
        <v>146.66999999999999</v>
      </c>
    </row>
    <row r="166" spans="1:13" x14ac:dyDescent="0.25">
      <c r="A166" t="s">
        <v>913</v>
      </c>
      <c r="B166">
        <v>73397906008</v>
      </c>
      <c r="F166" t="s">
        <v>716</v>
      </c>
      <c r="J166" t="s">
        <v>716</v>
      </c>
      <c r="K166" t="s">
        <v>716</v>
      </c>
      <c r="L166">
        <v>91</v>
      </c>
      <c r="M166">
        <v>152.75</v>
      </c>
    </row>
    <row r="167" spans="1:13" x14ac:dyDescent="0.25">
      <c r="A167" t="s">
        <v>914</v>
      </c>
      <c r="B167">
        <v>73384983402</v>
      </c>
      <c r="F167" t="s">
        <v>716</v>
      </c>
      <c r="H167" t="s">
        <v>716</v>
      </c>
      <c r="I167" t="s">
        <v>716</v>
      </c>
      <c r="J167" t="s">
        <v>716</v>
      </c>
      <c r="K167" t="s">
        <v>716</v>
      </c>
      <c r="L167">
        <v>74</v>
      </c>
      <c r="M167">
        <v>152.25</v>
      </c>
    </row>
    <row r="168" spans="1:13" x14ac:dyDescent="0.25">
      <c r="A168" t="s">
        <v>915</v>
      </c>
      <c r="B168">
        <v>73368764087</v>
      </c>
      <c r="F168" t="s">
        <v>716</v>
      </c>
      <c r="J168" t="s">
        <v>716</v>
      </c>
      <c r="L168">
        <v>73</v>
      </c>
      <c r="M168">
        <v>155.16999999999999</v>
      </c>
    </row>
    <row r="169" spans="1:13" x14ac:dyDescent="0.25">
      <c r="A169" t="s">
        <v>916</v>
      </c>
      <c r="B169">
        <v>73385535506</v>
      </c>
      <c r="F169" t="s">
        <v>716</v>
      </c>
      <c r="H169" t="s">
        <v>716</v>
      </c>
      <c r="I169" t="s">
        <v>716</v>
      </c>
      <c r="J169" t="s">
        <v>716</v>
      </c>
      <c r="K169" t="s">
        <v>716</v>
      </c>
      <c r="L169">
        <v>73</v>
      </c>
      <c r="M169">
        <v>153.5</v>
      </c>
    </row>
    <row r="170" spans="1:13" x14ac:dyDescent="0.25">
      <c r="A170" t="s">
        <v>917</v>
      </c>
      <c r="B170">
        <v>73513183923</v>
      </c>
      <c r="G170" t="s">
        <v>716</v>
      </c>
      <c r="I170" t="s">
        <v>716</v>
      </c>
      <c r="J170" t="s">
        <v>716</v>
      </c>
      <c r="L170">
        <v>87</v>
      </c>
      <c r="M170">
        <v>173.25</v>
      </c>
    </row>
    <row r="171" spans="1:13" x14ac:dyDescent="0.25">
      <c r="A171" t="s">
        <v>919</v>
      </c>
      <c r="B171">
        <v>73327485789</v>
      </c>
      <c r="C171">
        <v>1000</v>
      </c>
      <c r="D171" t="s">
        <v>716</v>
      </c>
      <c r="H171" t="s">
        <v>716</v>
      </c>
      <c r="I171" t="s">
        <v>716</v>
      </c>
      <c r="L171">
        <v>88</v>
      </c>
      <c r="M171">
        <v>171.75</v>
      </c>
    </row>
    <row r="172" spans="1:13" x14ac:dyDescent="0.25">
      <c r="A172" t="s">
        <v>921</v>
      </c>
      <c r="B172">
        <v>73386139740</v>
      </c>
      <c r="C172">
        <v>4000</v>
      </c>
      <c r="D172" t="s">
        <v>716</v>
      </c>
      <c r="H172" t="s">
        <v>716</v>
      </c>
      <c r="I172" t="s">
        <v>716</v>
      </c>
      <c r="J172" t="s">
        <v>716</v>
      </c>
      <c r="K172" t="s">
        <v>716</v>
      </c>
      <c r="L172">
        <v>78</v>
      </c>
      <c r="M172">
        <v>157.75</v>
      </c>
    </row>
    <row r="173" spans="1:13" x14ac:dyDescent="0.25">
      <c r="A173" t="s">
        <v>922</v>
      </c>
      <c r="B173">
        <v>73318133517</v>
      </c>
      <c r="H173" t="s">
        <v>716</v>
      </c>
      <c r="I173" t="s">
        <v>716</v>
      </c>
      <c r="L173">
        <v>67</v>
      </c>
      <c r="M173">
        <v>75</v>
      </c>
    </row>
    <row r="174" spans="1:13" x14ac:dyDescent="0.25">
      <c r="A174" t="s">
        <v>923</v>
      </c>
      <c r="B174">
        <v>73375068257</v>
      </c>
      <c r="C174">
        <v>4000</v>
      </c>
      <c r="D174" t="s">
        <v>716</v>
      </c>
      <c r="H174" t="s">
        <v>716</v>
      </c>
      <c r="I174" t="s">
        <v>716</v>
      </c>
      <c r="J174" t="s">
        <v>716</v>
      </c>
      <c r="K174" t="s">
        <v>716</v>
      </c>
      <c r="L174">
        <v>87</v>
      </c>
      <c r="M174">
        <v>171.5</v>
      </c>
    </row>
    <row r="175" spans="1:13" x14ac:dyDescent="0.25">
      <c r="A175" t="s">
        <v>925</v>
      </c>
      <c r="B175">
        <v>73300763920</v>
      </c>
      <c r="I175" t="s">
        <v>716</v>
      </c>
      <c r="J175" t="s">
        <v>716</v>
      </c>
      <c r="L175">
        <v>58</v>
      </c>
      <c r="M175">
        <v>64.5</v>
      </c>
    </row>
    <row r="176" spans="1:13" x14ac:dyDescent="0.25">
      <c r="A176" t="s">
        <v>926</v>
      </c>
      <c r="B176">
        <v>73323250096</v>
      </c>
      <c r="F176" t="s">
        <v>716</v>
      </c>
      <c r="H176" t="s">
        <v>716</v>
      </c>
      <c r="I176" t="s">
        <v>716</v>
      </c>
      <c r="J176" t="s">
        <v>716</v>
      </c>
      <c r="K176" t="s">
        <v>716</v>
      </c>
      <c r="L176">
        <v>78</v>
      </c>
      <c r="M176">
        <v>146.75</v>
      </c>
    </row>
    <row r="177" spans="1:13" x14ac:dyDescent="0.25">
      <c r="A177" t="s">
        <v>927</v>
      </c>
      <c r="B177">
        <v>73367364189</v>
      </c>
      <c r="G177" t="s">
        <v>716</v>
      </c>
      <c r="J177" t="s">
        <v>716</v>
      </c>
      <c r="L177">
        <v>86</v>
      </c>
      <c r="M177">
        <v>167.5</v>
      </c>
    </row>
    <row r="178" spans="1:13" x14ac:dyDescent="0.25">
      <c r="A178" t="s">
        <v>929</v>
      </c>
      <c r="B178">
        <v>73355328582</v>
      </c>
      <c r="F178" t="s">
        <v>716</v>
      </c>
      <c r="H178" t="s">
        <v>716</v>
      </c>
      <c r="I178" t="s">
        <v>716</v>
      </c>
      <c r="J178" t="s">
        <v>716</v>
      </c>
      <c r="K178" t="s">
        <v>716</v>
      </c>
      <c r="L178">
        <v>80</v>
      </c>
      <c r="M178">
        <v>153.75</v>
      </c>
    </row>
    <row r="179" spans="1:13" x14ac:dyDescent="0.25">
      <c r="A179" t="s">
        <v>930</v>
      </c>
      <c r="B179">
        <v>73314905590</v>
      </c>
      <c r="H179" t="s">
        <v>716</v>
      </c>
      <c r="I179" t="s">
        <v>716</v>
      </c>
      <c r="J179" t="s">
        <v>716</v>
      </c>
      <c r="L179">
        <v>60</v>
      </c>
      <c r="M179">
        <v>68.75</v>
      </c>
    </row>
    <row r="180" spans="1:13" x14ac:dyDescent="0.25">
      <c r="A180" t="s">
        <v>931</v>
      </c>
      <c r="B180">
        <v>73331374169</v>
      </c>
      <c r="F180" t="s">
        <v>716</v>
      </c>
      <c r="H180" t="s">
        <v>716</v>
      </c>
      <c r="I180" t="s">
        <v>716</v>
      </c>
      <c r="J180" t="s">
        <v>716</v>
      </c>
      <c r="K180" t="s">
        <v>716</v>
      </c>
      <c r="L180">
        <v>83</v>
      </c>
      <c r="M180">
        <v>158.5</v>
      </c>
    </row>
    <row r="181" spans="1:13" x14ac:dyDescent="0.25">
      <c r="A181" t="s">
        <v>932</v>
      </c>
      <c r="B181">
        <v>73255944085</v>
      </c>
      <c r="C181">
        <v>4000</v>
      </c>
      <c r="D181" t="s">
        <v>716</v>
      </c>
      <c r="H181" t="s">
        <v>716</v>
      </c>
      <c r="I181" t="s">
        <v>716</v>
      </c>
      <c r="J181" t="s">
        <v>716</v>
      </c>
      <c r="K181" t="s">
        <v>716</v>
      </c>
      <c r="L181">
        <v>74</v>
      </c>
      <c r="M181">
        <v>152.41999999999999</v>
      </c>
    </row>
    <row r="182" spans="1:13" x14ac:dyDescent="0.25">
      <c r="A182" t="s">
        <v>933</v>
      </c>
      <c r="B182">
        <v>73334391350</v>
      </c>
      <c r="F182" t="s">
        <v>716</v>
      </c>
      <c r="I182" t="s">
        <v>716</v>
      </c>
      <c r="J182" t="s">
        <v>716</v>
      </c>
      <c r="L182">
        <v>72</v>
      </c>
      <c r="M182">
        <v>153</v>
      </c>
    </row>
    <row r="183" spans="1:13" x14ac:dyDescent="0.25">
      <c r="A183" t="s">
        <v>934</v>
      </c>
      <c r="B183">
        <v>73318100786</v>
      </c>
      <c r="F183" t="s">
        <v>716</v>
      </c>
      <c r="H183" t="s">
        <v>716</v>
      </c>
      <c r="L183">
        <v>88</v>
      </c>
      <c r="M183">
        <v>164.75</v>
      </c>
    </row>
    <row r="184" spans="1:13" x14ac:dyDescent="0.25">
      <c r="A184" t="s">
        <v>935</v>
      </c>
      <c r="B184">
        <v>73397548436</v>
      </c>
      <c r="F184" t="s">
        <v>716</v>
      </c>
      <c r="H184" t="s">
        <v>716</v>
      </c>
      <c r="I184" t="s">
        <v>716</v>
      </c>
      <c r="J184" t="s">
        <v>716</v>
      </c>
      <c r="K184" t="s">
        <v>716</v>
      </c>
      <c r="L184">
        <v>77</v>
      </c>
      <c r="M184">
        <v>155.5</v>
      </c>
    </row>
    <row r="185" spans="1:13" x14ac:dyDescent="0.25">
      <c r="A185" t="s">
        <v>936</v>
      </c>
      <c r="B185">
        <v>73355201725</v>
      </c>
      <c r="C185">
        <v>1000</v>
      </c>
      <c r="D185" t="s">
        <v>716</v>
      </c>
      <c r="H185" t="s">
        <v>716</v>
      </c>
      <c r="I185" t="s">
        <v>716</v>
      </c>
      <c r="J185" t="s">
        <v>716</v>
      </c>
      <c r="K185" t="s">
        <v>716</v>
      </c>
      <c r="L185">
        <v>93</v>
      </c>
      <c r="M185">
        <v>179</v>
      </c>
    </row>
    <row r="186" spans="1:13" x14ac:dyDescent="0.25">
      <c r="A186" t="s">
        <v>938</v>
      </c>
      <c r="B186">
        <v>73519859923</v>
      </c>
      <c r="G186" t="s">
        <v>716</v>
      </c>
      <c r="H186" t="s">
        <v>716</v>
      </c>
      <c r="L186">
        <v>86</v>
      </c>
      <c r="M186">
        <v>169.79</v>
      </c>
    </row>
    <row r="187" spans="1:13" x14ac:dyDescent="0.25">
      <c r="A187" t="s">
        <v>940</v>
      </c>
      <c r="B187">
        <v>73295222262</v>
      </c>
      <c r="F187" t="s">
        <v>716</v>
      </c>
      <c r="H187" t="s">
        <v>716</v>
      </c>
      <c r="I187" t="s">
        <v>716</v>
      </c>
      <c r="J187" t="s">
        <v>716</v>
      </c>
      <c r="K187" t="s">
        <v>716</v>
      </c>
      <c r="L187">
        <v>86</v>
      </c>
      <c r="M187">
        <v>159.41999999999999</v>
      </c>
    </row>
    <row r="188" spans="1:13" x14ac:dyDescent="0.25">
      <c r="A188" t="s">
        <v>941</v>
      </c>
      <c r="B188">
        <v>73379226022</v>
      </c>
      <c r="H188" t="s">
        <v>716</v>
      </c>
      <c r="I188" t="s">
        <v>716</v>
      </c>
      <c r="J188" t="s">
        <v>716</v>
      </c>
      <c r="K188" t="s">
        <v>716</v>
      </c>
      <c r="L188">
        <v>48</v>
      </c>
      <c r="M188">
        <v>54.5</v>
      </c>
    </row>
    <row r="189" spans="1:13" x14ac:dyDescent="0.25">
      <c r="A189" t="s">
        <v>942</v>
      </c>
      <c r="B189">
        <v>73381439824</v>
      </c>
      <c r="F189" t="s">
        <v>716</v>
      </c>
      <c r="H189" t="s">
        <v>716</v>
      </c>
      <c r="I189" t="s">
        <v>716</v>
      </c>
      <c r="J189" t="s">
        <v>716</v>
      </c>
      <c r="K189" t="s">
        <v>716</v>
      </c>
      <c r="L189">
        <v>71</v>
      </c>
      <c r="M189">
        <v>128.75</v>
      </c>
    </row>
    <row r="190" spans="1:13" x14ac:dyDescent="0.25">
      <c r="A190" t="s">
        <v>943</v>
      </c>
      <c r="B190">
        <v>73375122478</v>
      </c>
      <c r="C190">
        <v>4000</v>
      </c>
      <c r="D190" t="s">
        <v>716</v>
      </c>
      <c r="H190" t="s">
        <v>716</v>
      </c>
      <c r="I190" t="s">
        <v>716</v>
      </c>
      <c r="J190" t="s">
        <v>716</v>
      </c>
      <c r="K190" t="s">
        <v>716</v>
      </c>
      <c r="L190">
        <v>81</v>
      </c>
      <c r="M190">
        <v>163.5</v>
      </c>
    </row>
    <row r="191" spans="1:13" x14ac:dyDescent="0.25">
      <c r="A191" t="s">
        <v>945</v>
      </c>
      <c r="B191">
        <v>73407253485</v>
      </c>
      <c r="C191">
        <v>4000</v>
      </c>
      <c r="D191" t="s">
        <v>716</v>
      </c>
      <c r="H191" t="s">
        <v>716</v>
      </c>
      <c r="I191" t="s">
        <v>716</v>
      </c>
      <c r="K191" t="s">
        <v>738</v>
      </c>
      <c r="L191">
        <v>87</v>
      </c>
      <c r="M191">
        <v>161.25</v>
      </c>
    </row>
    <row r="192" spans="1:13" x14ac:dyDescent="0.25">
      <c r="A192" t="s">
        <v>947</v>
      </c>
      <c r="B192">
        <v>73356772818</v>
      </c>
      <c r="F192" t="s">
        <v>716</v>
      </c>
      <c r="H192" t="s">
        <v>716</v>
      </c>
      <c r="J192" t="s">
        <v>716</v>
      </c>
      <c r="L192">
        <v>84</v>
      </c>
      <c r="M192">
        <v>152.25</v>
      </c>
    </row>
    <row r="193" spans="1:13" x14ac:dyDescent="0.25">
      <c r="A193" t="s">
        <v>948</v>
      </c>
      <c r="B193">
        <v>73378788144</v>
      </c>
      <c r="C193">
        <v>4000</v>
      </c>
      <c r="D193" t="s">
        <v>716</v>
      </c>
      <c r="H193" t="s">
        <v>716</v>
      </c>
      <c r="I193" t="s">
        <v>716</v>
      </c>
      <c r="J193" t="s">
        <v>716</v>
      </c>
      <c r="K193" t="s">
        <v>738</v>
      </c>
      <c r="L193">
        <v>78</v>
      </c>
      <c r="M193">
        <v>161.75</v>
      </c>
    </row>
    <row r="194" spans="1:13" x14ac:dyDescent="0.25">
      <c r="A194" t="s">
        <v>950</v>
      </c>
      <c r="B194">
        <v>73323389935</v>
      </c>
      <c r="F194" t="s">
        <v>716</v>
      </c>
      <c r="H194" t="s">
        <v>716</v>
      </c>
      <c r="J194" t="s">
        <v>716</v>
      </c>
      <c r="L194">
        <v>75</v>
      </c>
      <c r="M194">
        <v>130.18</v>
      </c>
    </row>
    <row r="195" spans="1:13" x14ac:dyDescent="0.25">
      <c r="A195" t="s">
        <v>951</v>
      </c>
      <c r="B195">
        <v>73299733127</v>
      </c>
      <c r="F195" t="s">
        <v>716</v>
      </c>
      <c r="H195" t="s">
        <v>716</v>
      </c>
      <c r="L195">
        <v>71</v>
      </c>
      <c r="M195">
        <v>145.75</v>
      </c>
    </row>
    <row r="196" spans="1:13" x14ac:dyDescent="0.25">
      <c r="A196" t="s">
        <v>952</v>
      </c>
      <c r="B196">
        <v>73270011455</v>
      </c>
      <c r="E196" t="s">
        <v>716</v>
      </c>
      <c r="H196" t="s">
        <v>716</v>
      </c>
      <c r="I196" t="s">
        <v>716</v>
      </c>
      <c r="J196" t="s">
        <v>716</v>
      </c>
      <c r="K196" t="s">
        <v>716</v>
      </c>
      <c r="L196">
        <v>89</v>
      </c>
      <c r="M196">
        <v>165.5</v>
      </c>
    </row>
    <row r="197" spans="1:13" x14ac:dyDescent="0.25">
      <c r="A197" t="s">
        <v>953</v>
      </c>
      <c r="B197">
        <v>73288391416</v>
      </c>
      <c r="C197">
        <v>4000</v>
      </c>
      <c r="D197" t="s">
        <v>716</v>
      </c>
      <c r="H197" t="s">
        <v>716</v>
      </c>
      <c r="K197" t="s">
        <v>716</v>
      </c>
      <c r="L197">
        <v>79</v>
      </c>
      <c r="M197">
        <v>164.75</v>
      </c>
    </row>
    <row r="198" spans="1:13" x14ac:dyDescent="0.25">
      <c r="A198" t="s">
        <v>955</v>
      </c>
      <c r="B198">
        <v>73333160116</v>
      </c>
      <c r="C198">
        <v>4000</v>
      </c>
      <c r="D198" t="s">
        <v>716</v>
      </c>
      <c r="H198" t="s">
        <v>716</v>
      </c>
      <c r="I198" t="s">
        <v>716</v>
      </c>
      <c r="J198" t="s">
        <v>716</v>
      </c>
      <c r="K198" t="s">
        <v>716</v>
      </c>
      <c r="L198">
        <v>79</v>
      </c>
      <c r="M198">
        <v>162.5</v>
      </c>
    </row>
    <row r="199" spans="1:13" x14ac:dyDescent="0.25">
      <c r="A199" t="s">
        <v>957</v>
      </c>
      <c r="B199">
        <v>73401450182</v>
      </c>
      <c r="F199" t="s">
        <v>716</v>
      </c>
      <c r="H199" t="s">
        <v>716</v>
      </c>
      <c r="I199" t="s">
        <v>716</v>
      </c>
      <c r="J199" t="s">
        <v>716</v>
      </c>
      <c r="K199" t="s">
        <v>716</v>
      </c>
      <c r="L199">
        <v>87</v>
      </c>
      <c r="M199">
        <v>156.75</v>
      </c>
    </row>
    <row r="200" spans="1:13" x14ac:dyDescent="0.25">
      <c r="A200" t="s">
        <v>958</v>
      </c>
      <c r="B200">
        <v>73312771433</v>
      </c>
      <c r="F200" t="s">
        <v>716</v>
      </c>
      <c r="H200" t="s">
        <v>716</v>
      </c>
      <c r="I200" t="s">
        <v>716</v>
      </c>
      <c r="J200" t="s">
        <v>716</v>
      </c>
      <c r="K200" t="s">
        <v>716</v>
      </c>
      <c r="L200">
        <v>73</v>
      </c>
      <c r="M200">
        <v>147.5</v>
      </c>
    </row>
    <row r="201" spans="1:13" x14ac:dyDescent="0.25">
      <c r="A201" t="s">
        <v>959</v>
      </c>
      <c r="B201">
        <v>73390999640</v>
      </c>
      <c r="H201" t="s">
        <v>716</v>
      </c>
      <c r="I201" t="s">
        <v>716</v>
      </c>
      <c r="J201" t="s">
        <v>716</v>
      </c>
      <c r="L201">
        <v>66</v>
      </c>
      <c r="M201">
        <v>74.5</v>
      </c>
    </row>
    <row r="202" spans="1:13" x14ac:dyDescent="0.25">
      <c r="A202" t="s">
        <v>960</v>
      </c>
      <c r="B202">
        <v>73433428566</v>
      </c>
      <c r="E202" t="s">
        <v>716</v>
      </c>
      <c r="I202" t="s">
        <v>716</v>
      </c>
      <c r="J202" t="s">
        <v>716</v>
      </c>
      <c r="L202">
        <v>90</v>
      </c>
      <c r="M202">
        <v>173</v>
      </c>
    </row>
    <row r="203" spans="1:13" x14ac:dyDescent="0.25">
      <c r="A203" t="s">
        <v>961</v>
      </c>
      <c r="B203">
        <v>73284090684</v>
      </c>
      <c r="F203" t="s">
        <v>716</v>
      </c>
      <c r="H203" t="s">
        <v>716</v>
      </c>
      <c r="I203" t="s">
        <v>716</v>
      </c>
      <c r="J203" t="s">
        <v>716</v>
      </c>
      <c r="K203" t="s">
        <v>716</v>
      </c>
      <c r="L203">
        <v>78</v>
      </c>
      <c r="M203">
        <v>149.75</v>
      </c>
    </row>
    <row r="204" spans="1:13" x14ac:dyDescent="0.25">
      <c r="A204" t="s">
        <v>962</v>
      </c>
      <c r="B204">
        <v>73334409016</v>
      </c>
      <c r="C204">
        <v>4000</v>
      </c>
      <c r="D204" t="s">
        <v>716</v>
      </c>
      <c r="H204" t="s">
        <v>716</v>
      </c>
      <c r="I204" t="s">
        <v>716</v>
      </c>
      <c r="J204" t="s">
        <v>716</v>
      </c>
      <c r="K204" t="s">
        <v>716</v>
      </c>
      <c r="L204">
        <v>82</v>
      </c>
      <c r="M204">
        <v>161.25</v>
      </c>
    </row>
    <row r="205" spans="1:13" x14ac:dyDescent="0.25">
      <c r="A205" t="s">
        <v>964</v>
      </c>
      <c r="B205">
        <v>73256062552</v>
      </c>
      <c r="C205">
        <v>1000</v>
      </c>
      <c r="D205" t="s">
        <v>716</v>
      </c>
      <c r="H205" t="s">
        <v>716</v>
      </c>
      <c r="I205" t="s">
        <v>716</v>
      </c>
      <c r="J205" t="s">
        <v>716</v>
      </c>
      <c r="K205" t="s">
        <v>716</v>
      </c>
      <c r="L205">
        <v>87</v>
      </c>
      <c r="M205">
        <v>168.25</v>
      </c>
    </row>
    <row r="206" spans="1:13" x14ac:dyDescent="0.25">
      <c r="A206" t="s">
        <v>965</v>
      </c>
      <c r="B206">
        <v>73268317690</v>
      </c>
      <c r="G206" t="s">
        <v>716</v>
      </c>
      <c r="H206" t="s">
        <v>716</v>
      </c>
      <c r="I206" t="s">
        <v>716</v>
      </c>
      <c r="L206">
        <v>85</v>
      </c>
      <c r="M206">
        <v>95.5</v>
      </c>
    </row>
    <row r="207" spans="1:13" x14ac:dyDescent="0.25">
      <c r="A207" t="s">
        <v>966</v>
      </c>
      <c r="B207">
        <v>73390963693</v>
      </c>
      <c r="G207" t="s">
        <v>716</v>
      </c>
      <c r="H207" t="s">
        <v>716</v>
      </c>
      <c r="I207" t="s">
        <v>716</v>
      </c>
      <c r="L207">
        <v>85</v>
      </c>
      <c r="M207">
        <v>165.75</v>
      </c>
    </row>
    <row r="208" spans="1:13" x14ac:dyDescent="0.25">
      <c r="A208" t="s">
        <v>968</v>
      </c>
      <c r="B208">
        <v>73270341290</v>
      </c>
      <c r="F208" t="s">
        <v>716</v>
      </c>
      <c r="H208" t="s">
        <v>716</v>
      </c>
      <c r="I208" t="s">
        <v>716</v>
      </c>
      <c r="J208" t="s">
        <v>716</v>
      </c>
      <c r="K208" t="s">
        <v>716</v>
      </c>
      <c r="L208">
        <v>86</v>
      </c>
      <c r="M208">
        <v>154.75</v>
      </c>
    </row>
    <row r="209" spans="1:13" x14ac:dyDescent="0.25">
      <c r="A209" t="s">
        <v>969</v>
      </c>
      <c r="B209">
        <v>73356573897</v>
      </c>
      <c r="F209" t="s">
        <v>716</v>
      </c>
      <c r="H209" t="s">
        <v>716</v>
      </c>
      <c r="I209" t="s">
        <v>716</v>
      </c>
      <c r="J209" t="s">
        <v>716</v>
      </c>
      <c r="K209" t="s">
        <v>716</v>
      </c>
      <c r="L209">
        <v>70</v>
      </c>
      <c r="M209">
        <v>141.34</v>
      </c>
    </row>
    <row r="210" spans="1:13" x14ac:dyDescent="0.25">
      <c r="A210" t="s">
        <v>970</v>
      </c>
      <c r="B210">
        <v>73257502770</v>
      </c>
      <c r="F210" t="s">
        <v>716</v>
      </c>
      <c r="H210" t="s">
        <v>716</v>
      </c>
      <c r="I210" t="s">
        <v>716</v>
      </c>
      <c r="J210" t="s">
        <v>716</v>
      </c>
      <c r="K210" t="s">
        <v>716</v>
      </c>
      <c r="L210">
        <v>79</v>
      </c>
      <c r="M210">
        <v>154.5</v>
      </c>
    </row>
    <row r="211" spans="1:13" x14ac:dyDescent="0.25">
      <c r="A211" t="s">
        <v>971</v>
      </c>
      <c r="B211">
        <v>73292151621</v>
      </c>
      <c r="F211" t="s">
        <v>716</v>
      </c>
      <c r="H211" t="s">
        <v>716</v>
      </c>
      <c r="I211" t="s">
        <v>716</v>
      </c>
      <c r="J211" t="s">
        <v>716</v>
      </c>
      <c r="K211" t="s">
        <v>716</v>
      </c>
      <c r="L211">
        <v>81</v>
      </c>
      <c r="M211">
        <v>140.5</v>
      </c>
    </row>
    <row r="212" spans="1:13" x14ac:dyDescent="0.25">
      <c r="A212" t="s">
        <v>972</v>
      </c>
      <c r="B212">
        <v>73292090070</v>
      </c>
      <c r="F212" t="s">
        <v>716</v>
      </c>
      <c r="H212" t="s">
        <v>716</v>
      </c>
      <c r="I212" t="s">
        <v>716</v>
      </c>
      <c r="L212">
        <v>76</v>
      </c>
      <c r="M212">
        <v>152</v>
      </c>
    </row>
    <row r="213" spans="1:13" x14ac:dyDescent="0.25">
      <c r="A213" t="s">
        <v>973</v>
      </c>
      <c r="B213">
        <v>73411480550</v>
      </c>
      <c r="F213" t="s">
        <v>716</v>
      </c>
      <c r="J213" t="s">
        <v>716</v>
      </c>
      <c r="L213">
        <v>77</v>
      </c>
      <c r="M213">
        <v>155.75</v>
      </c>
    </row>
    <row r="214" spans="1:13" x14ac:dyDescent="0.25">
      <c r="A214" t="s">
        <v>974</v>
      </c>
      <c r="B214">
        <v>73295609226</v>
      </c>
      <c r="C214">
        <v>1000</v>
      </c>
      <c r="D214" t="s">
        <v>716</v>
      </c>
      <c r="H214" t="s">
        <v>716</v>
      </c>
      <c r="I214" t="s">
        <v>716</v>
      </c>
      <c r="J214" t="s">
        <v>716</v>
      </c>
      <c r="K214" t="s">
        <v>716</v>
      </c>
      <c r="L214">
        <v>87</v>
      </c>
      <c r="M214">
        <v>169</v>
      </c>
    </row>
    <row r="215" spans="1:13" x14ac:dyDescent="0.25">
      <c r="A215" t="s">
        <v>976</v>
      </c>
      <c r="B215">
        <v>73389647743</v>
      </c>
      <c r="F215" t="s">
        <v>716</v>
      </c>
      <c r="H215" t="s">
        <v>716</v>
      </c>
      <c r="I215" t="s">
        <v>716</v>
      </c>
      <c r="J215" t="s">
        <v>716</v>
      </c>
      <c r="K215" t="s">
        <v>716</v>
      </c>
      <c r="L215">
        <v>89</v>
      </c>
      <c r="M215">
        <v>160.75</v>
      </c>
    </row>
    <row r="216" spans="1:13" x14ac:dyDescent="0.25">
      <c r="A216" t="s">
        <v>977</v>
      </c>
      <c r="B216">
        <v>73338616584</v>
      </c>
      <c r="C216">
        <v>2000</v>
      </c>
      <c r="D216" t="s">
        <v>716</v>
      </c>
      <c r="H216" t="s">
        <v>716</v>
      </c>
      <c r="I216" t="s">
        <v>716</v>
      </c>
      <c r="J216" t="s">
        <v>716</v>
      </c>
      <c r="K216" t="s">
        <v>716</v>
      </c>
      <c r="L216">
        <v>72</v>
      </c>
      <c r="M216">
        <v>153.83000000000001</v>
      </c>
    </row>
    <row r="217" spans="1:13" x14ac:dyDescent="0.25">
      <c r="A217" t="s">
        <v>978</v>
      </c>
      <c r="B217">
        <v>73235007100</v>
      </c>
      <c r="F217" t="s">
        <v>716</v>
      </c>
      <c r="H217" t="s">
        <v>716</v>
      </c>
      <c r="I217" t="s">
        <v>716</v>
      </c>
      <c r="J217" t="s">
        <v>716</v>
      </c>
      <c r="K217" t="s">
        <v>716</v>
      </c>
      <c r="L217">
        <v>73</v>
      </c>
      <c r="M217">
        <v>145.27000000000001</v>
      </c>
    </row>
    <row r="218" spans="1:13" x14ac:dyDescent="0.25">
      <c r="A218" t="s">
        <v>979</v>
      </c>
      <c r="B218">
        <v>73256858188</v>
      </c>
      <c r="F218" t="s">
        <v>716</v>
      </c>
      <c r="H218" t="s">
        <v>716</v>
      </c>
      <c r="I218" t="s">
        <v>716</v>
      </c>
      <c r="J218" t="s">
        <v>716</v>
      </c>
      <c r="K218" t="s">
        <v>716</v>
      </c>
      <c r="L218">
        <v>80</v>
      </c>
      <c r="M218">
        <v>152.04</v>
      </c>
    </row>
    <row r="219" spans="1:13" x14ac:dyDescent="0.25">
      <c r="A219" t="s">
        <v>980</v>
      </c>
      <c r="B219">
        <v>73347264909</v>
      </c>
      <c r="F219" t="s">
        <v>716</v>
      </c>
      <c r="H219" t="s">
        <v>716</v>
      </c>
      <c r="L219">
        <v>74</v>
      </c>
      <c r="M219">
        <v>143.66999999999999</v>
      </c>
    </row>
    <row r="220" spans="1:13" x14ac:dyDescent="0.25">
      <c r="A220" t="s">
        <v>981</v>
      </c>
      <c r="B220">
        <v>73285423777</v>
      </c>
      <c r="F220" t="s">
        <v>716</v>
      </c>
      <c r="H220" t="s">
        <v>716</v>
      </c>
      <c r="I220" t="s">
        <v>716</v>
      </c>
      <c r="J220" t="s">
        <v>716</v>
      </c>
      <c r="K220" t="s">
        <v>716</v>
      </c>
      <c r="L220">
        <v>83</v>
      </c>
      <c r="M220">
        <v>159</v>
      </c>
    </row>
    <row r="221" spans="1:13" x14ac:dyDescent="0.25">
      <c r="A221" t="s">
        <v>982</v>
      </c>
      <c r="B221">
        <v>73312176571</v>
      </c>
      <c r="E221" t="s">
        <v>716</v>
      </c>
      <c r="H221" t="s">
        <v>716</v>
      </c>
      <c r="J221" t="s">
        <v>716</v>
      </c>
      <c r="K221" t="s">
        <v>716</v>
      </c>
      <c r="L221">
        <v>91</v>
      </c>
      <c r="M221">
        <v>177.75</v>
      </c>
    </row>
    <row r="222" spans="1:13" x14ac:dyDescent="0.25">
      <c r="A222" t="s">
        <v>983</v>
      </c>
      <c r="B222">
        <v>73282300782</v>
      </c>
      <c r="H222" t="s">
        <v>716</v>
      </c>
      <c r="I222" t="s">
        <v>716</v>
      </c>
      <c r="L222">
        <v>61</v>
      </c>
      <c r="M222">
        <v>69.25</v>
      </c>
    </row>
    <row r="223" spans="1:13" x14ac:dyDescent="0.25">
      <c r="A223" t="s">
        <v>984</v>
      </c>
      <c r="B223">
        <v>73338199632</v>
      </c>
      <c r="C223">
        <v>2000</v>
      </c>
      <c r="D223" t="s">
        <v>716</v>
      </c>
      <c r="H223" t="s">
        <v>716</v>
      </c>
      <c r="I223" t="s">
        <v>716</v>
      </c>
      <c r="J223" t="s">
        <v>716</v>
      </c>
      <c r="L223">
        <v>80</v>
      </c>
      <c r="M223">
        <v>164</v>
      </c>
    </row>
    <row r="224" spans="1:13" x14ac:dyDescent="0.25">
      <c r="A224" t="s">
        <v>986</v>
      </c>
      <c r="B224">
        <v>73257505502</v>
      </c>
      <c r="F224" t="s">
        <v>716</v>
      </c>
      <c r="H224" t="s">
        <v>716</v>
      </c>
      <c r="I224" t="s">
        <v>716</v>
      </c>
      <c r="J224" t="s">
        <v>716</v>
      </c>
      <c r="K224" t="s">
        <v>716</v>
      </c>
      <c r="L224">
        <v>85</v>
      </c>
      <c r="M224">
        <v>159.75</v>
      </c>
    </row>
    <row r="225" spans="1:13" x14ac:dyDescent="0.25">
      <c r="A225" t="s">
        <v>987</v>
      </c>
      <c r="B225">
        <v>73282593693</v>
      </c>
      <c r="F225" t="s">
        <v>716</v>
      </c>
      <c r="H225" t="s">
        <v>716</v>
      </c>
      <c r="I225" t="s">
        <v>716</v>
      </c>
      <c r="J225" t="s">
        <v>716</v>
      </c>
      <c r="K225" t="s">
        <v>716</v>
      </c>
      <c r="L225">
        <v>82</v>
      </c>
      <c r="M225">
        <v>144.75</v>
      </c>
    </row>
    <row r="226" spans="1:13" x14ac:dyDescent="0.25">
      <c r="A226" t="s">
        <v>988</v>
      </c>
      <c r="B226">
        <v>73325081949</v>
      </c>
      <c r="H226" t="s">
        <v>716</v>
      </c>
      <c r="L226">
        <v>66</v>
      </c>
      <c r="M226">
        <v>75.5</v>
      </c>
    </row>
    <row r="227" spans="1:13" x14ac:dyDescent="0.25">
      <c r="A227" t="s">
        <v>989</v>
      </c>
      <c r="B227">
        <v>73305959618</v>
      </c>
      <c r="F227" t="s">
        <v>716</v>
      </c>
      <c r="H227" t="s">
        <v>716</v>
      </c>
      <c r="I227" t="s">
        <v>716</v>
      </c>
      <c r="J227" t="s">
        <v>716</v>
      </c>
      <c r="L227">
        <v>76</v>
      </c>
      <c r="M227">
        <v>149.5</v>
      </c>
    </row>
    <row r="228" spans="1:13" x14ac:dyDescent="0.25">
      <c r="A228" t="s">
        <v>990</v>
      </c>
      <c r="B228">
        <v>73282703258</v>
      </c>
      <c r="F228" t="s">
        <v>716</v>
      </c>
      <c r="H228" t="s">
        <v>716</v>
      </c>
      <c r="J228" t="s">
        <v>716</v>
      </c>
      <c r="L228">
        <v>75</v>
      </c>
      <c r="M228">
        <v>145.75</v>
      </c>
    </row>
    <row r="229" spans="1:13" x14ac:dyDescent="0.25">
      <c r="A229" t="s">
        <v>991</v>
      </c>
      <c r="B229">
        <v>73306136768</v>
      </c>
      <c r="F229" t="s">
        <v>716</v>
      </c>
      <c r="H229" t="s">
        <v>716</v>
      </c>
      <c r="I229" t="s">
        <v>716</v>
      </c>
      <c r="J229" t="s">
        <v>716</v>
      </c>
      <c r="K229" t="s">
        <v>716</v>
      </c>
      <c r="L229">
        <v>73</v>
      </c>
      <c r="M229">
        <v>147.79</v>
      </c>
    </row>
    <row r="230" spans="1:13" x14ac:dyDescent="0.25">
      <c r="A230" t="s">
        <v>992</v>
      </c>
      <c r="B230">
        <v>73256859908</v>
      </c>
      <c r="F230" t="s">
        <v>716</v>
      </c>
      <c r="H230" t="s">
        <v>716</v>
      </c>
      <c r="I230" t="s">
        <v>716</v>
      </c>
      <c r="J230" t="s">
        <v>716</v>
      </c>
      <c r="K230" t="s">
        <v>716</v>
      </c>
      <c r="L230">
        <v>76</v>
      </c>
      <c r="M230">
        <v>146.75</v>
      </c>
    </row>
    <row r="231" spans="1:13" x14ac:dyDescent="0.25">
      <c r="A231" t="s">
        <v>993</v>
      </c>
      <c r="B231">
        <v>73354392014</v>
      </c>
      <c r="E231" t="s">
        <v>716</v>
      </c>
      <c r="H231" t="s">
        <v>716</v>
      </c>
      <c r="I231" t="s">
        <v>716</v>
      </c>
      <c r="J231" t="s">
        <v>716</v>
      </c>
      <c r="K231" t="s">
        <v>716</v>
      </c>
      <c r="L231">
        <v>90</v>
      </c>
      <c r="M231">
        <v>176.25</v>
      </c>
    </row>
    <row r="232" spans="1:13" x14ac:dyDescent="0.25">
      <c r="A232" t="s">
        <v>994</v>
      </c>
      <c r="B232">
        <v>73293944975</v>
      </c>
      <c r="K232" t="s">
        <v>716</v>
      </c>
      <c r="L232">
        <v>68</v>
      </c>
      <c r="M232">
        <v>76</v>
      </c>
    </row>
    <row r="233" spans="1:13" x14ac:dyDescent="0.25">
      <c r="A233" t="s">
        <v>995</v>
      </c>
      <c r="B233">
        <v>73299805549</v>
      </c>
      <c r="G233" t="s">
        <v>716</v>
      </c>
      <c r="H233" t="s">
        <v>716</v>
      </c>
      <c r="I233" t="s">
        <v>716</v>
      </c>
      <c r="L233">
        <v>80</v>
      </c>
      <c r="M233">
        <v>90.75</v>
      </c>
    </row>
    <row r="234" spans="1:13" x14ac:dyDescent="0.25">
      <c r="A234" t="s">
        <v>996</v>
      </c>
      <c r="B234">
        <v>73267084683</v>
      </c>
      <c r="C234">
        <v>2000</v>
      </c>
      <c r="D234" t="s">
        <v>716</v>
      </c>
      <c r="H234" t="s">
        <v>716</v>
      </c>
      <c r="I234" t="s">
        <v>716</v>
      </c>
      <c r="J234" t="s">
        <v>716</v>
      </c>
      <c r="K234" t="s">
        <v>716</v>
      </c>
      <c r="L234">
        <v>77</v>
      </c>
      <c r="M234">
        <v>158.75</v>
      </c>
    </row>
    <row r="235" spans="1:13" x14ac:dyDescent="0.25">
      <c r="A235" t="s">
        <v>997</v>
      </c>
      <c r="B235">
        <v>73356138760</v>
      </c>
      <c r="F235" t="s">
        <v>716</v>
      </c>
      <c r="H235" t="s">
        <v>716</v>
      </c>
      <c r="I235" t="s">
        <v>716</v>
      </c>
      <c r="J235" t="s">
        <v>716</v>
      </c>
      <c r="K235" t="s">
        <v>716</v>
      </c>
      <c r="L235">
        <v>76</v>
      </c>
      <c r="M235">
        <v>156.25</v>
      </c>
    </row>
    <row r="236" spans="1:13" x14ac:dyDescent="0.25">
      <c r="A236" t="s">
        <v>998</v>
      </c>
      <c r="B236">
        <v>73364654837</v>
      </c>
      <c r="C236">
        <v>1000</v>
      </c>
      <c r="D236" t="s">
        <v>716</v>
      </c>
      <c r="H236" t="s">
        <v>716</v>
      </c>
      <c r="I236" t="s">
        <v>716</v>
      </c>
      <c r="L236">
        <v>90</v>
      </c>
      <c r="M236">
        <v>176</v>
      </c>
    </row>
    <row r="237" spans="1:13" x14ac:dyDescent="0.25">
      <c r="A237" t="s">
        <v>1000</v>
      </c>
      <c r="B237">
        <v>73356575917</v>
      </c>
      <c r="C237">
        <v>2000</v>
      </c>
      <c r="D237" t="s">
        <v>716</v>
      </c>
      <c r="H237" t="s">
        <v>716</v>
      </c>
      <c r="I237" t="s">
        <v>716</v>
      </c>
      <c r="L237">
        <v>83</v>
      </c>
      <c r="M237">
        <v>165.5</v>
      </c>
    </row>
    <row r="238" spans="1:13" x14ac:dyDescent="0.25">
      <c r="A238" t="s">
        <v>1002</v>
      </c>
      <c r="B238">
        <v>73397162380</v>
      </c>
      <c r="C238">
        <v>3000</v>
      </c>
      <c r="D238" t="s">
        <v>716</v>
      </c>
      <c r="H238" t="s">
        <v>716</v>
      </c>
      <c r="I238" t="s">
        <v>716</v>
      </c>
      <c r="J238" t="s">
        <v>716</v>
      </c>
      <c r="K238" t="s">
        <v>716</v>
      </c>
      <c r="L238">
        <v>88</v>
      </c>
      <c r="M238">
        <v>167.75</v>
      </c>
    </row>
    <row r="239" spans="1:13" x14ac:dyDescent="0.25">
      <c r="A239" t="s">
        <v>1004</v>
      </c>
      <c r="B239">
        <v>73294154239</v>
      </c>
      <c r="I239" t="s">
        <v>716</v>
      </c>
      <c r="J239" t="s">
        <v>716</v>
      </c>
      <c r="L239">
        <v>58</v>
      </c>
      <c r="M239">
        <v>65.25</v>
      </c>
    </row>
    <row r="240" spans="1:13" x14ac:dyDescent="0.25">
      <c r="A240" t="s">
        <v>1005</v>
      </c>
      <c r="B240">
        <v>73387908125</v>
      </c>
      <c r="H240" t="s">
        <v>716</v>
      </c>
      <c r="I240" t="s">
        <v>716</v>
      </c>
      <c r="J240" t="s">
        <v>716</v>
      </c>
      <c r="K240" t="s">
        <v>716</v>
      </c>
      <c r="L240">
        <v>67</v>
      </c>
      <c r="M240">
        <v>75.75</v>
      </c>
    </row>
    <row r="241" spans="1:13" x14ac:dyDescent="0.25">
      <c r="A241" t="s">
        <v>1006</v>
      </c>
      <c r="B241">
        <v>73271244907</v>
      </c>
      <c r="E241" t="s">
        <v>716</v>
      </c>
      <c r="H241" t="s">
        <v>716</v>
      </c>
      <c r="I241" t="s">
        <v>716</v>
      </c>
      <c r="J241" t="s">
        <v>716</v>
      </c>
      <c r="L241">
        <v>89</v>
      </c>
      <c r="M241">
        <v>173.5</v>
      </c>
    </row>
    <row r="242" spans="1:13" x14ac:dyDescent="0.25">
      <c r="A242" t="s">
        <v>1007</v>
      </c>
      <c r="B242">
        <v>73336813987</v>
      </c>
      <c r="F242" t="s">
        <v>716</v>
      </c>
      <c r="H242" t="s">
        <v>716</v>
      </c>
      <c r="I242" t="s">
        <v>716</v>
      </c>
      <c r="J242" t="s">
        <v>716</v>
      </c>
      <c r="K242" t="s">
        <v>716</v>
      </c>
      <c r="L242">
        <v>73</v>
      </c>
      <c r="M242">
        <v>153.5</v>
      </c>
    </row>
    <row r="243" spans="1:13" x14ac:dyDescent="0.25">
      <c r="A243" t="s">
        <v>1008</v>
      </c>
      <c r="B243">
        <v>73390869717</v>
      </c>
      <c r="E243" t="s">
        <v>716</v>
      </c>
      <c r="H243" t="s">
        <v>716</v>
      </c>
      <c r="K243" t="s">
        <v>716</v>
      </c>
      <c r="L243">
        <v>86</v>
      </c>
      <c r="M243">
        <v>163.75</v>
      </c>
    </row>
    <row r="244" spans="1:13" x14ac:dyDescent="0.25">
      <c r="A244" t="s">
        <v>1009</v>
      </c>
      <c r="B244">
        <v>73379093525</v>
      </c>
      <c r="H244" t="s">
        <v>716</v>
      </c>
      <c r="L244">
        <v>69</v>
      </c>
      <c r="M244">
        <v>78</v>
      </c>
    </row>
    <row r="245" spans="1:13" x14ac:dyDescent="0.25">
      <c r="A245" t="s">
        <v>1010</v>
      </c>
      <c r="B245">
        <v>73272526463</v>
      </c>
      <c r="C245">
        <v>3000</v>
      </c>
      <c r="D245" t="s">
        <v>716</v>
      </c>
      <c r="H245" t="s">
        <v>716</v>
      </c>
      <c r="I245" t="s">
        <v>716</v>
      </c>
      <c r="J245" t="s">
        <v>716</v>
      </c>
      <c r="L245">
        <v>90</v>
      </c>
      <c r="M245">
        <v>167.5</v>
      </c>
    </row>
    <row r="246" spans="1:13" x14ac:dyDescent="0.25">
      <c r="A246" t="s">
        <v>1012</v>
      </c>
      <c r="B246">
        <v>73310226191</v>
      </c>
      <c r="E246" t="s">
        <v>716</v>
      </c>
      <c r="H246" t="s">
        <v>716</v>
      </c>
      <c r="I246" t="s">
        <v>716</v>
      </c>
      <c r="J246" t="s">
        <v>716</v>
      </c>
      <c r="K246" t="s">
        <v>716</v>
      </c>
      <c r="L246">
        <v>84</v>
      </c>
      <c r="M246">
        <v>167</v>
      </c>
    </row>
    <row r="247" spans="1:13" x14ac:dyDescent="0.25">
      <c r="A247" t="s">
        <v>1013</v>
      </c>
      <c r="B247">
        <v>73276774773</v>
      </c>
      <c r="E247" t="s">
        <v>716</v>
      </c>
      <c r="H247" t="s">
        <v>716</v>
      </c>
      <c r="I247" t="s">
        <v>716</v>
      </c>
      <c r="J247" t="s">
        <v>716</v>
      </c>
      <c r="K247" t="s">
        <v>716</v>
      </c>
      <c r="L247">
        <v>86</v>
      </c>
      <c r="M247">
        <v>167.25</v>
      </c>
    </row>
    <row r="248" spans="1:13" x14ac:dyDescent="0.25">
      <c r="A248" t="s">
        <v>1014</v>
      </c>
      <c r="B248">
        <v>73340859810</v>
      </c>
      <c r="F248" t="s">
        <v>716</v>
      </c>
      <c r="H248" t="s">
        <v>716</v>
      </c>
      <c r="I248" t="s">
        <v>716</v>
      </c>
      <c r="J248" t="s">
        <v>716</v>
      </c>
      <c r="K248" t="s">
        <v>716</v>
      </c>
      <c r="L248">
        <v>71</v>
      </c>
      <c r="M248">
        <v>146.5</v>
      </c>
    </row>
    <row r="249" spans="1:13" x14ac:dyDescent="0.25">
      <c r="A249" t="s">
        <v>1015</v>
      </c>
      <c r="B249">
        <v>73326126580</v>
      </c>
      <c r="F249" t="s">
        <v>716</v>
      </c>
      <c r="H249" t="s">
        <v>716</v>
      </c>
      <c r="J249" t="s">
        <v>716</v>
      </c>
      <c r="K249" t="s">
        <v>716</v>
      </c>
      <c r="L249">
        <v>78</v>
      </c>
      <c r="M249">
        <v>156.5</v>
      </c>
    </row>
    <row r="250" spans="1:13" x14ac:dyDescent="0.25">
      <c r="A250" t="s">
        <v>1016</v>
      </c>
      <c r="B250">
        <v>73387949727</v>
      </c>
      <c r="F250" t="s">
        <v>716</v>
      </c>
      <c r="J250" t="s">
        <v>716</v>
      </c>
      <c r="L250">
        <v>72</v>
      </c>
      <c r="M250">
        <v>154</v>
      </c>
    </row>
    <row r="251" spans="1:13" x14ac:dyDescent="0.25">
      <c r="A251" t="s">
        <v>1017</v>
      </c>
      <c r="B251">
        <v>73322244020</v>
      </c>
      <c r="F251" t="s">
        <v>716</v>
      </c>
      <c r="H251" t="s">
        <v>716</v>
      </c>
      <c r="I251" t="s">
        <v>716</v>
      </c>
      <c r="J251" t="s">
        <v>716</v>
      </c>
      <c r="K251" t="s">
        <v>716</v>
      </c>
      <c r="L251">
        <v>70</v>
      </c>
      <c r="M251">
        <v>129.68</v>
      </c>
    </row>
    <row r="252" spans="1:13" x14ac:dyDescent="0.25">
      <c r="A252" t="s">
        <v>1018</v>
      </c>
      <c r="B252">
        <v>73398653641</v>
      </c>
      <c r="G252" t="s">
        <v>716</v>
      </c>
      <c r="H252" t="s">
        <v>716</v>
      </c>
      <c r="L252">
        <v>78</v>
      </c>
      <c r="M252">
        <v>88.25</v>
      </c>
    </row>
    <row r="253" spans="1:13" x14ac:dyDescent="0.25">
      <c r="A253" t="s">
        <v>1019</v>
      </c>
      <c r="B253">
        <v>73292332476</v>
      </c>
      <c r="G253" t="s">
        <v>716</v>
      </c>
      <c r="H253" t="s">
        <v>716</v>
      </c>
      <c r="L253">
        <v>86</v>
      </c>
      <c r="M253">
        <v>95.5</v>
      </c>
    </row>
    <row r="254" spans="1:13" x14ac:dyDescent="0.25">
      <c r="A254" t="s">
        <v>1020</v>
      </c>
      <c r="B254">
        <v>73286629346</v>
      </c>
      <c r="F254" t="s">
        <v>716</v>
      </c>
      <c r="H254" t="s">
        <v>716</v>
      </c>
      <c r="I254" t="s">
        <v>716</v>
      </c>
      <c r="J254" t="s">
        <v>716</v>
      </c>
      <c r="L254">
        <v>75</v>
      </c>
      <c r="M254">
        <v>158.54</v>
      </c>
    </row>
    <row r="255" spans="1:13" x14ac:dyDescent="0.25">
      <c r="A255" t="s">
        <v>1021</v>
      </c>
      <c r="B255">
        <v>73319986036</v>
      </c>
      <c r="F255" t="s">
        <v>716</v>
      </c>
      <c r="I255" t="s">
        <v>716</v>
      </c>
      <c r="L255">
        <v>74</v>
      </c>
      <c r="M255">
        <v>158</v>
      </c>
    </row>
    <row r="256" spans="1:13" x14ac:dyDescent="0.25">
      <c r="A256" t="s">
        <v>1022</v>
      </c>
      <c r="B256">
        <v>73280617965</v>
      </c>
      <c r="C256">
        <v>3000</v>
      </c>
      <c r="D256" t="s">
        <v>716</v>
      </c>
      <c r="H256" t="s">
        <v>716</v>
      </c>
      <c r="I256" t="s">
        <v>716</v>
      </c>
      <c r="J256" t="s">
        <v>716</v>
      </c>
      <c r="K256" t="s">
        <v>716</v>
      </c>
      <c r="L256">
        <v>83</v>
      </c>
      <c r="M256">
        <v>165.75</v>
      </c>
    </row>
    <row r="257" spans="1:13" x14ac:dyDescent="0.25">
      <c r="A257" t="s">
        <v>1024</v>
      </c>
      <c r="B257">
        <v>73268772489</v>
      </c>
      <c r="F257" t="s">
        <v>716</v>
      </c>
      <c r="H257" t="s">
        <v>716</v>
      </c>
      <c r="I257" t="s">
        <v>716</v>
      </c>
      <c r="L257">
        <v>84</v>
      </c>
      <c r="M257">
        <v>161</v>
      </c>
    </row>
    <row r="258" spans="1:13" x14ac:dyDescent="0.25">
      <c r="A258" t="s">
        <v>1025</v>
      </c>
      <c r="B258">
        <v>73355313436</v>
      </c>
      <c r="F258" t="s">
        <v>716</v>
      </c>
      <c r="H258" t="s">
        <v>716</v>
      </c>
      <c r="I258" t="s">
        <v>716</v>
      </c>
      <c r="J258" t="s">
        <v>716</v>
      </c>
      <c r="K258" t="s">
        <v>716</v>
      </c>
      <c r="L258">
        <v>90</v>
      </c>
      <c r="M258">
        <v>151.5</v>
      </c>
    </row>
    <row r="259" spans="1:13" x14ac:dyDescent="0.25">
      <c r="A259" t="s">
        <v>1026</v>
      </c>
      <c r="B259">
        <v>73322210775</v>
      </c>
      <c r="F259" t="s">
        <v>716</v>
      </c>
      <c r="H259" t="s">
        <v>716</v>
      </c>
      <c r="L259">
        <v>80</v>
      </c>
      <c r="M259">
        <v>131.75</v>
      </c>
    </row>
    <row r="260" spans="1:13" x14ac:dyDescent="0.25">
      <c r="A260" t="s">
        <v>1027</v>
      </c>
      <c r="B260">
        <v>73325977506</v>
      </c>
      <c r="F260" t="s">
        <v>716</v>
      </c>
      <c r="J260" t="s">
        <v>716</v>
      </c>
      <c r="L260">
        <v>81</v>
      </c>
      <c r="M260">
        <v>156.25</v>
      </c>
    </row>
    <row r="261" spans="1:13" x14ac:dyDescent="0.25">
      <c r="A261" t="s">
        <v>1028</v>
      </c>
      <c r="B261">
        <v>73274528304</v>
      </c>
      <c r="H261" t="s">
        <v>716</v>
      </c>
      <c r="I261" t="s">
        <v>716</v>
      </c>
      <c r="J261" t="s">
        <v>716</v>
      </c>
      <c r="K261" t="s">
        <v>716</v>
      </c>
      <c r="L261">
        <v>69</v>
      </c>
      <c r="M261">
        <v>77.75</v>
      </c>
    </row>
    <row r="262" spans="1:13" x14ac:dyDescent="0.25">
      <c r="A262" t="s">
        <v>1029</v>
      </c>
      <c r="B262">
        <v>73281854982</v>
      </c>
      <c r="F262" t="s">
        <v>716</v>
      </c>
      <c r="I262" t="s">
        <v>716</v>
      </c>
      <c r="L262">
        <v>74</v>
      </c>
      <c r="M262">
        <v>142.5</v>
      </c>
    </row>
    <row r="263" spans="1:13" x14ac:dyDescent="0.25">
      <c r="A263" t="s">
        <v>1030</v>
      </c>
      <c r="B263">
        <v>73257691604</v>
      </c>
      <c r="F263" t="s">
        <v>716</v>
      </c>
      <c r="H263" t="s">
        <v>716</v>
      </c>
      <c r="L263">
        <v>70</v>
      </c>
      <c r="M263">
        <v>143.09</v>
      </c>
    </row>
    <row r="264" spans="1:13" x14ac:dyDescent="0.25">
      <c r="A264" t="s">
        <v>1031</v>
      </c>
      <c r="B264">
        <v>73338575599</v>
      </c>
      <c r="E264" t="s">
        <v>716</v>
      </c>
      <c r="J264" t="s">
        <v>716</v>
      </c>
      <c r="K264" t="s">
        <v>716</v>
      </c>
      <c r="L264">
        <v>91</v>
      </c>
      <c r="M264">
        <v>173.83</v>
      </c>
    </row>
    <row r="265" spans="1:13" x14ac:dyDescent="0.25">
      <c r="A265" t="s">
        <v>1032</v>
      </c>
      <c r="B265">
        <v>73388275400</v>
      </c>
      <c r="E265" t="s">
        <v>716</v>
      </c>
      <c r="H265" t="s">
        <v>716</v>
      </c>
      <c r="I265" t="s">
        <v>716</v>
      </c>
      <c r="J265" t="s">
        <v>716</v>
      </c>
      <c r="K265" t="s">
        <v>716</v>
      </c>
      <c r="L265">
        <v>90</v>
      </c>
      <c r="M265">
        <v>163.5</v>
      </c>
    </row>
    <row r="266" spans="1:13" x14ac:dyDescent="0.25">
      <c r="A266" t="s">
        <v>1033</v>
      </c>
      <c r="B266">
        <v>73354107110</v>
      </c>
      <c r="H266" t="s">
        <v>716</v>
      </c>
      <c r="I266" t="s">
        <v>716</v>
      </c>
      <c r="J266" t="s">
        <v>716</v>
      </c>
      <c r="K266" t="s">
        <v>716</v>
      </c>
      <c r="L266">
        <v>67</v>
      </c>
      <c r="M266">
        <v>75</v>
      </c>
    </row>
    <row r="267" spans="1:13" x14ac:dyDescent="0.25">
      <c r="A267" t="s">
        <v>1034</v>
      </c>
      <c r="B267">
        <v>73331237938</v>
      </c>
      <c r="F267" t="s">
        <v>716</v>
      </c>
      <c r="H267" t="s">
        <v>716</v>
      </c>
      <c r="I267" t="s">
        <v>716</v>
      </c>
      <c r="J267" t="s">
        <v>716</v>
      </c>
      <c r="K267" t="s">
        <v>716</v>
      </c>
      <c r="L267">
        <v>81</v>
      </c>
      <c r="M267">
        <v>157.5</v>
      </c>
    </row>
    <row r="268" spans="1:13" x14ac:dyDescent="0.25">
      <c r="A268" t="s">
        <v>1035</v>
      </c>
      <c r="B268">
        <v>73333172805</v>
      </c>
      <c r="F268" t="s">
        <v>716</v>
      </c>
      <c r="H268" t="s">
        <v>716</v>
      </c>
      <c r="I268" t="s">
        <v>716</v>
      </c>
      <c r="K268" t="s">
        <v>716</v>
      </c>
      <c r="L268">
        <v>79</v>
      </c>
      <c r="M268">
        <v>154.5</v>
      </c>
    </row>
    <row r="269" spans="1:13" x14ac:dyDescent="0.25">
      <c r="A269" t="s">
        <v>1036</v>
      </c>
      <c r="B269">
        <v>73354118894</v>
      </c>
      <c r="F269" t="s">
        <v>716</v>
      </c>
      <c r="H269" t="s">
        <v>716</v>
      </c>
      <c r="I269" t="s">
        <v>716</v>
      </c>
      <c r="J269" t="s">
        <v>716</v>
      </c>
      <c r="L269">
        <v>82</v>
      </c>
      <c r="M269">
        <v>156.75</v>
      </c>
    </row>
    <row r="270" spans="1:13" x14ac:dyDescent="0.25">
      <c r="A270" t="s">
        <v>1037</v>
      </c>
      <c r="B270">
        <v>73355342812</v>
      </c>
      <c r="F270" t="s">
        <v>716</v>
      </c>
      <c r="H270" t="s">
        <v>716</v>
      </c>
      <c r="I270" t="s">
        <v>716</v>
      </c>
      <c r="L270">
        <v>77</v>
      </c>
      <c r="M270">
        <v>145.09</v>
      </c>
    </row>
    <row r="271" spans="1:13" x14ac:dyDescent="0.25">
      <c r="A271" t="s">
        <v>1038</v>
      </c>
      <c r="B271">
        <v>73394174584</v>
      </c>
      <c r="F271" t="s">
        <v>716</v>
      </c>
      <c r="H271" t="s">
        <v>716</v>
      </c>
      <c r="J271" t="s">
        <v>716</v>
      </c>
      <c r="L271">
        <v>93</v>
      </c>
      <c r="M271">
        <v>154</v>
      </c>
    </row>
    <row r="272" spans="1:13" x14ac:dyDescent="0.25">
      <c r="A272" t="s">
        <v>1039</v>
      </c>
      <c r="B272">
        <v>73281691733</v>
      </c>
      <c r="F272" t="s">
        <v>716</v>
      </c>
      <c r="H272" t="s">
        <v>716</v>
      </c>
      <c r="I272" t="s">
        <v>716</v>
      </c>
      <c r="L272">
        <v>93</v>
      </c>
      <c r="M272">
        <v>160</v>
      </c>
    </row>
    <row r="273" spans="1:13" x14ac:dyDescent="0.25">
      <c r="A273" t="s">
        <v>1040</v>
      </c>
      <c r="B273">
        <v>73281720361</v>
      </c>
      <c r="E273" t="s">
        <v>716</v>
      </c>
      <c r="H273" t="s">
        <v>716</v>
      </c>
      <c r="I273" t="s">
        <v>716</v>
      </c>
      <c r="L273">
        <v>90</v>
      </c>
      <c r="M273">
        <v>169.5</v>
      </c>
    </row>
    <row r="274" spans="1:13" x14ac:dyDescent="0.25">
      <c r="A274" t="s">
        <v>1041</v>
      </c>
      <c r="B274">
        <v>73336284663</v>
      </c>
      <c r="F274" t="s">
        <v>716</v>
      </c>
      <c r="H274" t="s">
        <v>716</v>
      </c>
      <c r="I274" t="s">
        <v>716</v>
      </c>
      <c r="J274" t="s">
        <v>716</v>
      </c>
      <c r="K274" t="s">
        <v>716</v>
      </c>
      <c r="L274">
        <v>78</v>
      </c>
      <c r="M274">
        <v>153.09</v>
      </c>
    </row>
    <row r="275" spans="1:13" x14ac:dyDescent="0.25">
      <c r="A275" t="s">
        <v>1042</v>
      </c>
      <c r="B275">
        <v>73384386027</v>
      </c>
      <c r="E275" t="s">
        <v>716</v>
      </c>
      <c r="J275" t="s">
        <v>716</v>
      </c>
      <c r="L275">
        <v>88</v>
      </c>
      <c r="M275">
        <v>167.75</v>
      </c>
    </row>
    <row r="276" spans="1:13" x14ac:dyDescent="0.25">
      <c r="A276" t="s">
        <v>1043</v>
      </c>
      <c r="B276">
        <v>73375735058</v>
      </c>
      <c r="H276" t="s">
        <v>716</v>
      </c>
      <c r="I276" t="s">
        <v>716</v>
      </c>
      <c r="L276">
        <v>67</v>
      </c>
      <c r="M276">
        <v>74.25</v>
      </c>
    </row>
    <row r="277" spans="1:13" x14ac:dyDescent="0.25">
      <c r="A277" t="s">
        <v>1044</v>
      </c>
      <c r="B277">
        <v>73288500566</v>
      </c>
      <c r="E277" t="s">
        <v>716</v>
      </c>
      <c r="I277" t="s">
        <v>716</v>
      </c>
      <c r="J277" t="s">
        <v>716</v>
      </c>
      <c r="K277" t="s">
        <v>716</v>
      </c>
      <c r="L277">
        <v>84</v>
      </c>
      <c r="M277">
        <v>167.5</v>
      </c>
    </row>
    <row r="278" spans="1:13" x14ac:dyDescent="0.25">
      <c r="A278" t="s">
        <v>1045</v>
      </c>
      <c r="B278">
        <v>73312541774</v>
      </c>
      <c r="E278" t="s">
        <v>716</v>
      </c>
      <c r="H278" t="s">
        <v>716</v>
      </c>
      <c r="I278" t="s">
        <v>716</v>
      </c>
      <c r="J278" t="s">
        <v>716</v>
      </c>
      <c r="K278" t="s">
        <v>716</v>
      </c>
      <c r="L278">
        <v>84</v>
      </c>
      <c r="M278">
        <v>163.5</v>
      </c>
    </row>
    <row r="279" spans="1:13" x14ac:dyDescent="0.25">
      <c r="A279" t="s">
        <v>1046</v>
      </c>
      <c r="B279">
        <v>73412334717</v>
      </c>
      <c r="E279" t="s">
        <v>716</v>
      </c>
      <c r="J279" t="s">
        <v>716</v>
      </c>
      <c r="L279">
        <v>97</v>
      </c>
      <c r="M279">
        <v>184</v>
      </c>
    </row>
    <row r="280" spans="1:13" x14ac:dyDescent="0.25">
      <c r="A280" t="s">
        <v>1047</v>
      </c>
      <c r="B280">
        <v>73282168803</v>
      </c>
      <c r="F280" t="s">
        <v>716</v>
      </c>
      <c r="H280" t="s">
        <v>716</v>
      </c>
      <c r="I280" t="s">
        <v>716</v>
      </c>
      <c r="K280" t="s">
        <v>716</v>
      </c>
      <c r="L280">
        <v>77</v>
      </c>
      <c r="M280">
        <v>156.5</v>
      </c>
    </row>
    <row r="281" spans="1:13" x14ac:dyDescent="0.25">
      <c r="A281" t="s">
        <v>1048</v>
      </c>
      <c r="B281">
        <v>73378765159</v>
      </c>
      <c r="E281" t="s">
        <v>716</v>
      </c>
      <c r="H281" t="s">
        <v>716</v>
      </c>
      <c r="I281" t="s">
        <v>716</v>
      </c>
      <c r="L281">
        <v>88</v>
      </c>
      <c r="M281">
        <v>174</v>
      </c>
    </row>
    <row r="282" spans="1:13" x14ac:dyDescent="0.25">
      <c r="A282" t="s">
        <v>1049</v>
      </c>
      <c r="B282">
        <v>73278536681</v>
      </c>
      <c r="F282" t="s">
        <v>716</v>
      </c>
      <c r="I282" t="s">
        <v>716</v>
      </c>
      <c r="L282">
        <v>75</v>
      </c>
      <c r="M282">
        <v>144.25</v>
      </c>
    </row>
    <row r="283" spans="1:13" x14ac:dyDescent="0.25">
      <c r="A283" t="s">
        <v>1050</v>
      </c>
      <c r="B283">
        <v>73272227179</v>
      </c>
      <c r="F283" t="s">
        <v>716</v>
      </c>
      <c r="H283" t="s">
        <v>716</v>
      </c>
      <c r="I283" t="s">
        <v>738</v>
      </c>
      <c r="J283" t="s">
        <v>738</v>
      </c>
      <c r="K283" t="s">
        <v>738</v>
      </c>
      <c r="L283">
        <v>81</v>
      </c>
      <c r="M283">
        <v>160</v>
      </c>
    </row>
    <row r="284" spans="1:13" x14ac:dyDescent="0.25">
      <c r="A284" t="s">
        <v>1051</v>
      </c>
      <c r="B284">
        <v>73257693117</v>
      </c>
      <c r="C284">
        <v>4000</v>
      </c>
      <c r="D284" t="s">
        <v>716</v>
      </c>
      <c r="H284" t="s">
        <v>716</v>
      </c>
      <c r="I284" t="s">
        <v>716</v>
      </c>
      <c r="J284" t="s">
        <v>716</v>
      </c>
      <c r="K284" t="s">
        <v>716</v>
      </c>
      <c r="L284">
        <v>84</v>
      </c>
      <c r="M284">
        <v>160.5</v>
      </c>
    </row>
    <row r="285" spans="1:13" x14ac:dyDescent="0.25">
      <c r="A285" t="s">
        <v>1053</v>
      </c>
      <c r="B285">
        <v>73310300815</v>
      </c>
      <c r="H285" t="s">
        <v>716</v>
      </c>
      <c r="I285" t="s">
        <v>716</v>
      </c>
      <c r="L285">
        <v>68</v>
      </c>
      <c r="M285">
        <v>76.25</v>
      </c>
    </row>
    <row r="286" spans="1:13" x14ac:dyDescent="0.25">
      <c r="A286" t="s">
        <v>1054</v>
      </c>
      <c r="B286">
        <v>73311663324</v>
      </c>
      <c r="F286" t="s">
        <v>716</v>
      </c>
      <c r="H286" t="s">
        <v>716</v>
      </c>
      <c r="K286" t="s">
        <v>716</v>
      </c>
      <c r="L286">
        <v>71</v>
      </c>
      <c r="M286">
        <v>135.5</v>
      </c>
    </row>
    <row r="287" spans="1:13" x14ac:dyDescent="0.25">
      <c r="A287" t="s">
        <v>1055</v>
      </c>
      <c r="B287">
        <v>73410123938</v>
      </c>
      <c r="H287" t="s">
        <v>716</v>
      </c>
      <c r="I287" t="s">
        <v>716</v>
      </c>
      <c r="J287" t="s">
        <v>716</v>
      </c>
      <c r="K287" t="s">
        <v>716</v>
      </c>
      <c r="L287">
        <v>65</v>
      </c>
      <c r="M287">
        <v>73</v>
      </c>
    </row>
    <row r="288" spans="1:13" x14ac:dyDescent="0.25">
      <c r="A288" t="s">
        <v>1056</v>
      </c>
      <c r="B288">
        <v>73347147457</v>
      </c>
      <c r="C288">
        <v>4000</v>
      </c>
      <c r="D288" t="s">
        <v>716</v>
      </c>
      <c r="H288" t="s">
        <v>716</v>
      </c>
      <c r="I288" t="s">
        <v>716</v>
      </c>
      <c r="J288" t="s">
        <v>716</v>
      </c>
      <c r="K288" t="s">
        <v>716</v>
      </c>
      <c r="L288">
        <v>84</v>
      </c>
      <c r="M288">
        <v>162.5</v>
      </c>
    </row>
    <row r="289" spans="1:13" x14ac:dyDescent="0.25">
      <c r="A289" t="s">
        <v>1058</v>
      </c>
      <c r="B289">
        <v>73385552866</v>
      </c>
      <c r="F289" t="s">
        <v>716</v>
      </c>
      <c r="H289" t="s">
        <v>716</v>
      </c>
      <c r="I289" t="s">
        <v>716</v>
      </c>
      <c r="L289">
        <v>86</v>
      </c>
      <c r="M289">
        <v>159.54</v>
      </c>
    </row>
    <row r="290" spans="1:13" x14ac:dyDescent="0.25">
      <c r="A290" t="s">
        <v>1059</v>
      </c>
      <c r="B290">
        <v>73286835003</v>
      </c>
      <c r="C290">
        <v>1000</v>
      </c>
      <c r="D290" t="s">
        <v>716</v>
      </c>
      <c r="H290" t="s">
        <v>716</v>
      </c>
      <c r="I290" t="s">
        <v>716</v>
      </c>
      <c r="J290" t="s">
        <v>716</v>
      </c>
      <c r="K290" t="s">
        <v>716</v>
      </c>
      <c r="L290">
        <v>93</v>
      </c>
      <c r="M290">
        <v>176.75</v>
      </c>
    </row>
    <row r="291" spans="1:13" x14ac:dyDescent="0.25">
      <c r="A291" t="s">
        <v>1061</v>
      </c>
      <c r="B291">
        <v>73276652627</v>
      </c>
      <c r="F291" t="s">
        <v>716</v>
      </c>
      <c r="H291" t="s">
        <v>716</v>
      </c>
      <c r="I291" t="s">
        <v>716</v>
      </c>
      <c r="J291" t="s">
        <v>716</v>
      </c>
      <c r="K291" t="s">
        <v>716</v>
      </c>
      <c r="L291">
        <v>75</v>
      </c>
      <c r="M291">
        <v>142.5</v>
      </c>
    </row>
    <row r="292" spans="1:13" x14ac:dyDescent="0.25">
      <c r="A292" t="s">
        <v>1062</v>
      </c>
      <c r="B292">
        <v>73378170100</v>
      </c>
      <c r="F292" t="s">
        <v>716</v>
      </c>
      <c r="J292" t="s">
        <v>716</v>
      </c>
      <c r="L292">
        <v>86</v>
      </c>
      <c r="M292">
        <v>156.25</v>
      </c>
    </row>
    <row r="293" spans="1:13" x14ac:dyDescent="0.25">
      <c r="A293" t="s">
        <v>1063</v>
      </c>
      <c r="B293">
        <v>73391739931</v>
      </c>
      <c r="H293" t="s">
        <v>716</v>
      </c>
      <c r="I293" t="s">
        <v>716</v>
      </c>
      <c r="J293" t="s">
        <v>716</v>
      </c>
      <c r="K293" t="s">
        <v>716</v>
      </c>
      <c r="L293">
        <v>62</v>
      </c>
      <c r="M293">
        <v>69.5</v>
      </c>
    </row>
    <row r="294" spans="1:13" x14ac:dyDescent="0.25">
      <c r="A294" t="s">
        <v>1064</v>
      </c>
      <c r="B294">
        <v>73283582139</v>
      </c>
      <c r="F294" t="s">
        <v>716</v>
      </c>
      <c r="J294" t="s">
        <v>716</v>
      </c>
      <c r="L294">
        <v>81</v>
      </c>
      <c r="M294">
        <v>162.5</v>
      </c>
    </row>
    <row r="295" spans="1:13" x14ac:dyDescent="0.25">
      <c r="A295" t="s">
        <v>1065</v>
      </c>
      <c r="B295">
        <v>73290323128</v>
      </c>
      <c r="F295" t="s">
        <v>716</v>
      </c>
      <c r="H295" t="s">
        <v>716</v>
      </c>
      <c r="I295" t="s">
        <v>716</v>
      </c>
      <c r="K295" t="s">
        <v>716</v>
      </c>
      <c r="L295">
        <v>75</v>
      </c>
      <c r="M295">
        <v>140.13</v>
      </c>
    </row>
    <row r="296" spans="1:13" x14ac:dyDescent="0.25">
      <c r="A296" t="s">
        <v>1066</v>
      </c>
      <c r="B296">
        <v>73371864825</v>
      </c>
      <c r="F296" t="s">
        <v>716</v>
      </c>
      <c r="H296" t="s">
        <v>716</v>
      </c>
      <c r="I296" t="s">
        <v>716</v>
      </c>
      <c r="L296">
        <v>88</v>
      </c>
      <c r="M296">
        <v>153.25</v>
      </c>
    </row>
    <row r="297" spans="1:13" x14ac:dyDescent="0.25">
      <c r="A297" t="s">
        <v>1067</v>
      </c>
      <c r="B297">
        <v>73255564308</v>
      </c>
      <c r="C297">
        <v>2000</v>
      </c>
      <c r="D297" t="s">
        <v>716</v>
      </c>
      <c r="H297" t="s">
        <v>716</v>
      </c>
      <c r="I297" t="s">
        <v>716</v>
      </c>
      <c r="J297" t="s">
        <v>716</v>
      </c>
      <c r="K297" t="s">
        <v>738</v>
      </c>
      <c r="L297">
        <v>90</v>
      </c>
      <c r="M297">
        <v>161.61000000000001</v>
      </c>
    </row>
    <row r="298" spans="1:13" x14ac:dyDescent="0.25">
      <c r="A298" t="s">
        <v>1069</v>
      </c>
      <c r="B298">
        <v>73256527265</v>
      </c>
      <c r="E298" t="s">
        <v>716</v>
      </c>
      <c r="H298" t="s">
        <v>716</v>
      </c>
      <c r="I298" t="s">
        <v>716</v>
      </c>
      <c r="J298" t="s">
        <v>716</v>
      </c>
      <c r="K298" t="s">
        <v>716</v>
      </c>
      <c r="L298">
        <v>86</v>
      </c>
      <c r="M298">
        <v>161</v>
      </c>
    </row>
    <row r="299" spans="1:13" x14ac:dyDescent="0.25">
      <c r="A299" t="s">
        <v>1070</v>
      </c>
      <c r="B299">
        <v>73345959499</v>
      </c>
      <c r="F299" t="s">
        <v>716</v>
      </c>
      <c r="H299" t="s">
        <v>716</v>
      </c>
      <c r="I299" t="s">
        <v>716</v>
      </c>
      <c r="K299" t="s">
        <v>716</v>
      </c>
      <c r="L299">
        <v>76</v>
      </c>
      <c r="M299">
        <v>161</v>
      </c>
    </row>
    <row r="300" spans="1:13" x14ac:dyDescent="0.25">
      <c r="A300" t="s">
        <v>1071</v>
      </c>
      <c r="B300">
        <v>73285808647</v>
      </c>
      <c r="F300" t="s">
        <v>716</v>
      </c>
      <c r="H300" t="s">
        <v>716</v>
      </c>
      <c r="I300" t="s">
        <v>716</v>
      </c>
      <c r="J300" t="s">
        <v>716</v>
      </c>
      <c r="K300" t="s">
        <v>716</v>
      </c>
      <c r="L300">
        <v>72</v>
      </c>
      <c r="M300">
        <v>151</v>
      </c>
    </row>
    <row r="301" spans="1:13" x14ac:dyDescent="0.25">
      <c r="A301" t="s">
        <v>1072</v>
      </c>
      <c r="B301">
        <v>73275036742</v>
      </c>
      <c r="F301" t="s">
        <v>716</v>
      </c>
      <c r="J301" t="s">
        <v>716</v>
      </c>
      <c r="L301">
        <v>73</v>
      </c>
      <c r="M301">
        <v>142.04</v>
      </c>
    </row>
    <row r="302" spans="1:13" x14ac:dyDescent="0.25">
      <c r="A302" t="s">
        <v>1073</v>
      </c>
      <c r="B302">
        <v>73369694915</v>
      </c>
      <c r="F302" t="s">
        <v>716</v>
      </c>
      <c r="J302" t="s">
        <v>716</v>
      </c>
      <c r="L302">
        <v>84</v>
      </c>
      <c r="M302">
        <v>162.54</v>
      </c>
    </row>
    <row r="303" spans="1:13" x14ac:dyDescent="0.25">
      <c r="A303" t="s">
        <v>1074</v>
      </c>
      <c r="B303">
        <v>73271806248</v>
      </c>
      <c r="C303">
        <v>1000</v>
      </c>
      <c r="D303" t="s">
        <v>716</v>
      </c>
      <c r="H303" t="s">
        <v>716</v>
      </c>
      <c r="I303" t="s">
        <v>716</v>
      </c>
      <c r="J303" t="s">
        <v>716</v>
      </c>
      <c r="K303" t="s">
        <v>716</v>
      </c>
      <c r="L303">
        <v>83</v>
      </c>
      <c r="M303">
        <v>160.25</v>
      </c>
    </row>
    <row r="304" spans="1:13" x14ac:dyDescent="0.25">
      <c r="A304" t="s">
        <v>1075</v>
      </c>
      <c r="B304">
        <v>73257620792</v>
      </c>
      <c r="F304" t="s">
        <v>716</v>
      </c>
      <c r="H304" t="s">
        <v>716</v>
      </c>
      <c r="I304" t="s">
        <v>716</v>
      </c>
      <c r="L304">
        <v>81</v>
      </c>
      <c r="M304">
        <v>155.04</v>
      </c>
    </row>
    <row r="305" spans="1:13" x14ac:dyDescent="0.25">
      <c r="A305" t="s">
        <v>1076</v>
      </c>
      <c r="B305">
        <v>73271312159</v>
      </c>
      <c r="H305" t="s">
        <v>716</v>
      </c>
      <c r="I305" t="s">
        <v>716</v>
      </c>
      <c r="J305" t="s">
        <v>716</v>
      </c>
      <c r="K305" t="s">
        <v>716</v>
      </c>
      <c r="L305">
        <v>52</v>
      </c>
      <c r="M305">
        <v>59</v>
      </c>
    </row>
    <row r="306" spans="1:13" x14ac:dyDescent="0.25">
      <c r="A306" t="s">
        <v>1077</v>
      </c>
      <c r="B306">
        <v>73375096574</v>
      </c>
      <c r="E306" t="s">
        <v>716</v>
      </c>
      <c r="H306" t="s">
        <v>716</v>
      </c>
      <c r="I306" t="s">
        <v>716</v>
      </c>
      <c r="L306">
        <v>86</v>
      </c>
      <c r="M306">
        <v>168</v>
      </c>
    </row>
    <row r="307" spans="1:13" x14ac:dyDescent="0.25">
      <c r="A307" t="s">
        <v>1078</v>
      </c>
      <c r="B307">
        <v>73378177943</v>
      </c>
      <c r="G307" t="s">
        <v>716</v>
      </c>
      <c r="H307" t="s">
        <v>716</v>
      </c>
      <c r="L307">
        <v>82</v>
      </c>
      <c r="M307">
        <v>92</v>
      </c>
    </row>
    <row r="308" spans="1:13" x14ac:dyDescent="0.25">
      <c r="A308" t="s">
        <v>1079</v>
      </c>
      <c r="B308">
        <v>73376618056</v>
      </c>
      <c r="F308" t="s">
        <v>716</v>
      </c>
      <c r="H308" t="s">
        <v>716</v>
      </c>
      <c r="I308" t="s">
        <v>716</v>
      </c>
      <c r="L308">
        <v>76</v>
      </c>
      <c r="M308">
        <v>155.75</v>
      </c>
    </row>
    <row r="309" spans="1:13" x14ac:dyDescent="0.25">
      <c r="A309" t="s">
        <v>1080</v>
      </c>
      <c r="B309">
        <v>73293637212</v>
      </c>
      <c r="F309" t="s">
        <v>716</v>
      </c>
      <c r="H309" t="s">
        <v>716</v>
      </c>
      <c r="I309" t="s">
        <v>716</v>
      </c>
      <c r="K309" t="s">
        <v>716</v>
      </c>
      <c r="L309">
        <v>71</v>
      </c>
      <c r="M309">
        <v>134.25</v>
      </c>
    </row>
    <row r="310" spans="1:13" x14ac:dyDescent="0.25">
      <c r="A310" t="s">
        <v>1081</v>
      </c>
      <c r="B310">
        <v>73399149145</v>
      </c>
      <c r="C310">
        <v>1000</v>
      </c>
      <c r="D310" t="s">
        <v>716</v>
      </c>
      <c r="H310" t="s">
        <v>716</v>
      </c>
      <c r="I310" t="s">
        <v>716</v>
      </c>
      <c r="J310" t="s">
        <v>716</v>
      </c>
      <c r="K310" t="s">
        <v>716</v>
      </c>
      <c r="L310">
        <v>91</v>
      </c>
      <c r="M310">
        <v>172</v>
      </c>
    </row>
    <row r="311" spans="1:13" x14ac:dyDescent="0.25">
      <c r="A311" t="s">
        <v>1083</v>
      </c>
      <c r="B311">
        <v>73355663971</v>
      </c>
      <c r="G311" t="s">
        <v>716</v>
      </c>
      <c r="H311" t="s">
        <v>716</v>
      </c>
      <c r="I311" t="s">
        <v>716</v>
      </c>
      <c r="J311" t="s">
        <v>716</v>
      </c>
      <c r="L311">
        <v>78</v>
      </c>
      <c r="M311">
        <v>88.75</v>
      </c>
    </row>
    <row r="312" spans="1:13" x14ac:dyDescent="0.25">
      <c r="A312" t="s">
        <v>1084</v>
      </c>
      <c r="B312">
        <v>73324231540</v>
      </c>
      <c r="G312" t="s">
        <v>716</v>
      </c>
      <c r="H312" t="s">
        <v>716</v>
      </c>
      <c r="I312" t="s">
        <v>716</v>
      </c>
      <c r="J312" t="s">
        <v>716</v>
      </c>
      <c r="K312" t="s">
        <v>716</v>
      </c>
      <c r="L312">
        <v>81</v>
      </c>
      <c r="M312">
        <v>92.25</v>
      </c>
    </row>
    <row r="313" spans="1:13" x14ac:dyDescent="0.25">
      <c r="A313" t="s">
        <v>1085</v>
      </c>
      <c r="B313">
        <v>73395127542</v>
      </c>
      <c r="E313" t="s">
        <v>716</v>
      </c>
      <c r="H313" t="s">
        <v>716</v>
      </c>
      <c r="L313">
        <v>86</v>
      </c>
      <c r="M313">
        <v>171.25</v>
      </c>
    </row>
    <row r="314" spans="1:13" x14ac:dyDescent="0.25">
      <c r="A314" t="s">
        <v>1086</v>
      </c>
      <c r="B314">
        <v>73307532818</v>
      </c>
      <c r="E314" t="s">
        <v>716</v>
      </c>
      <c r="H314" t="s">
        <v>716</v>
      </c>
      <c r="I314" t="s">
        <v>716</v>
      </c>
      <c r="J314" t="s">
        <v>716</v>
      </c>
      <c r="K314" t="s">
        <v>716</v>
      </c>
      <c r="L314">
        <v>87</v>
      </c>
      <c r="M314">
        <v>164.75</v>
      </c>
    </row>
    <row r="315" spans="1:13" x14ac:dyDescent="0.25">
      <c r="A315" t="s">
        <v>1087</v>
      </c>
      <c r="B315">
        <v>73258425424</v>
      </c>
      <c r="F315" t="s">
        <v>716</v>
      </c>
      <c r="H315" t="s">
        <v>716</v>
      </c>
      <c r="I315" t="s">
        <v>716</v>
      </c>
      <c r="K315" t="s">
        <v>716</v>
      </c>
      <c r="L315">
        <v>79</v>
      </c>
      <c r="M315">
        <v>153.25</v>
      </c>
    </row>
    <row r="316" spans="1:13" x14ac:dyDescent="0.25">
      <c r="A316" t="s">
        <v>1088</v>
      </c>
      <c r="B316">
        <v>73267770668</v>
      </c>
      <c r="F316" t="s">
        <v>716</v>
      </c>
      <c r="H316" t="s">
        <v>716</v>
      </c>
      <c r="I316" t="s">
        <v>716</v>
      </c>
      <c r="J316" t="s">
        <v>716</v>
      </c>
      <c r="K316" t="s">
        <v>716</v>
      </c>
      <c r="L316">
        <v>83</v>
      </c>
      <c r="M316">
        <v>152.86000000000001</v>
      </c>
    </row>
    <row r="317" spans="1:13" x14ac:dyDescent="0.25">
      <c r="A317" t="s">
        <v>1089</v>
      </c>
      <c r="B317">
        <v>73304224440</v>
      </c>
      <c r="F317" t="s">
        <v>716</v>
      </c>
      <c r="H317" t="s">
        <v>716</v>
      </c>
      <c r="I317" t="s">
        <v>716</v>
      </c>
      <c r="J317" t="s">
        <v>716</v>
      </c>
      <c r="K317" t="s">
        <v>716</v>
      </c>
      <c r="L317">
        <v>70</v>
      </c>
      <c r="M317">
        <v>148.09</v>
      </c>
    </row>
    <row r="318" spans="1:13" x14ac:dyDescent="0.25">
      <c r="A318" t="s">
        <v>1090</v>
      </c>
      <c r="B318">
        <v>73379545131</v>
      </c>
      <c r="E318" t="s">
        <v>716</v>
      </c>
      <c r="H318" t="s">
        <v>716</v>
      </c>
      <c r="I318" t="s">
        <v>716</v>
      </c>
      <c r="J318" t="s">
        <v>716</v>
      </c>
      <c r="K318" t="s">
        <v>716</v>
      </c>
      <c r="L318">
        <v>92</v>
      </c>
      <c r="M318">
        <v>177.75</v>
      </c>
    </row>
    <row r="319" spans="1:13" x14ac:dyDescent="0.25">
      <c r="A319" t="s">
        <v>1091</v>
      </c>
      <c r="B319">
        <v>73354021947</v>
      </c>
      <c r="C319">
        <v>2000</v>
      </c>
      <c r="D319" t="s">
        <v>716</v>
      </c>
      <c r="H319" t="s">
        <v>716</v>
      </c>
      <c r="I319" t="s">
        <v>716</v>
      </c>
      <c r="K319" t="s">
        <v>738</v>
      </c>
      <c r="L319">
        <v>84</v>
      </c>
      <c r="M319">
        <v>164.79</v>
      </c>
    </row>
    <row r="320" spans="1:13" x14ac:dyDescent="0.25">
      <c r="A320" t="s">
        <v>1093</v>
      </c>
      <c r="B320">
        <v>73304780133</v>
      </c>
      <c r="E320" t="s">
        <v>716</v>
      </c>
      <c r="H320" t="s">
        <v>716</v>
      </c>
      <c r="I320" t="s">
        <v>716</v>
      </c>
      <c r="J320" t="s">
        <v>716</v>
      </c>
      <c r="L320">
        <v>80</v>
      </c>
      <c r="M320">
        <v>163.79</v>
      </c>
    </row>
    <row r="321" spans="1:13" x14ac:dyDescent="0.25">
      <c r="A321" t="s">
        <v>1094</v>
      </c>
      <c r="B321">
        <v>73298840534</v>
      </c>
      <c r="F321" t="s">
        <v>716</v>
      </c>
      <c r="H321" t="s">
        <v>716</v>
      </c>
      <c r="L321">
        <v>74</v>
      </c>
      <c r="M321">
        <v>144.09</v>
      </c>
    </row>
    <row r="322" spans="1:13" x14ac:dyDescent="0.25">
      <c r="A322" t="s">
        <v>1095</v>
      </c>
      <c r="B322">
        <v>73282768922</v>
      </c>
      <c r="F322" t="s">
        <v>716</v>
      </c>
      <c r="H322" t="s">
        <v>716</v>
      </c>
      <c r="L322">
        <v>72</v>
      </c>
      <c r="M322">
        <v>138</v>
      </c>
    </row>
    <row r="323" spans="1:13" x14ac:dyDescent="0.25">
      <c r="A323" t="s">
        <v>1096</v>
      </c>
      <c r="B323">
        <v>73257536213</v>
      </c>
      <c r="F323" t="s">
        <v>716</v>
      </c>
      <c r="H323" t="s">
        <v>716</v>
      </c>
      <c r="I323" t="s">
        <v>716</v>
      </c>
      <c r="J323" t="s">
        <v>716</v>
      </c>
      <c r="K323" t="s">
        <v>716</v>
      </c>
      <c r="L323">
        <v>72</v>
      </c>
      <c r="M323">
        <v>125.29</v>
      </c>
    </row>
    <row r="324" spans="1:13" x14ac:dyDescent="0.25">
      <c r="A324" t="s">
        <v>1097</v>
      </c>
      <c r="B324">
        <v>73372887833</v>
      </c>
      <c r="H324" t="s">
        <v>716</v>
      </c>
      <c r="I324" t="s">
        <v>716</v>
      </c>
      <c r="J324" t="s">
        <v>716</v>
      </c>
      <c r="L324">
        <v>69</v>
      </c>
      <c r="M324">
        <v>77.5</v>
      </c>
    </row>
    <row r="325" spans="1:13" x14ac:dyDescent="0.25">
      <c r="A325" t="s">
        <v>1098</v>
      </c>
      <c r="B325">
        <v>73380629109</v>
      </c>
      <c r="E325" t="s">
        <v>716</v>
      </c>
      <c r="H325" t="s">
        <v>716</v>
      </c>
      <c r="I325" t="s">
        <v>716</v>
      </c>
      <c r="L325">
        <v>91</v>
      </c>
      <c r="M325">
        <v>163.29</v>
      </c>
    </row>
    <row r="326" spans="1:13" x14ac:dyDescent="0.25">
      <c r="A326" t="s">
        <v>1099</v>
      </c>
      <c r="B326">
        <v>73366637174</v>
      </c>
      <c r="C326">
        <v>2000</v>
      </c>
      <c r="D326" t="s">
        <v>716</v>
      </c>
      <c r="H326" t="s">
        <v>716</v>
      </c>
      <c r="I326" t="s">
        <v>716</v>
      </c>
      <c r="J326" t="s">
        <v>716</v>
      </c>
      <c r="K326" t="s">
        <v>716</v>
      </c>
      <c r="L326">
        <v>87</v>
      </c>
      <c r="M326">
        <v>165.25</v>
      </c>
    </row>
    <row r="327" spans="1:13" x14ac:dyDescent="0.25">
      <c r="A327" t="s">
        <v>1101</v>
      </c>
      <c r="B327">
        <v>73304938711</v>
      </c>
      <c r="C327">
        <v>3000</v>
      </c>
      <c r="D327" t="s">
        <v>716</v>
      </c>
      <c r="H327" t="s">
        <v>716</v>
      </c>
      <c r="I327" t="s">
        <v>716</v>
      </c>
      <c r="J327" t="s">
        <v>716</v>
      </c>
      <c r="K327" t="s">
        <v>716</v>
      </c>
      <c r="L327">
        <v>87</v>
      </c>
      <c r="M327">
        <v>164.5</v>
      </c>
    </row>
    <row r="328" spans="1:13" x14ac:dyDescent="0.25">
      <c r="A328" t="s">
        <v>1103</v>
      </c>
      <c r="B328">
        <v>73385832725</v>
      </c>
      <c r="E328" t="s">
        <v>716</v>
      </c>
      <c r="H328" t="s">
        <v>716</v>
      </c>
      <c r="I328" t="s">
        <v>716</v>
      </c>
      <c r="J328" t="s">
        <v>716</v>
      </c>
      <c r="K328" t="s">
        <v>716</v>
      </c>
      <c r="L328">
        <v>88</v>
      </c>
      <c r="M328">
        <v>172.75</v>
      </c>
    </row>
    <row r="329" spans="1:13" x14ac:dyDescent="0.25">
      <c r="A329" t="s">
        <v>1104</v>
      </c>
      <c r="B329">
        <v>73271011271</v>
      </c>
      <c r="C329">
        <v>2000</v>
      </c>
      <c r="D329" t="s">
        <v>716</v>
      </c>
      <c r="H329" t="s">
        <v>716</v>
      </c>
      <c r="I329" t="s">
        <v>716</v>
      </c>
      <c r="J329" t="s">
        <v>716</v>
      </c>
      <c r="L329">
        <v>81</v>
      </c>
      <c r="M329">
        <v>162.5</v>
      </c>
    </row>
    <row r="330" spans="1:13" x14ac:dyDescent="0.25">
      <c r="A330" t="s">
        <v>1106</v>
      </c>
      <c r="B330">
        <v>73385401146</v>
      </c>
      <c r="E330" t="s">
        <v>716</v>
      </c>
      <c r="H330" t="s">
        <v>716</v>
      </c>
      <c r="I330" t="s">
        <v>716</v>
      </c>
      <c r="J330" t="s">
        <v>716</v>
      </c>
      <c r="K330" t="s">
        <v>716</v>
      </c>
      <c r="L330">
        <v>93</v>
      </c>
      <c r="M330">
        <v>178.25</v>
      </c>
    </row>
    <row r="331" spans="1:13" x14ac:dyDescent="0.25">
      <c r="A331" t="s">
        <v>1107</v>
      </c>
      <c r="B331">
        <v>73276074200</v>
      </c>
      <c r="G331" t="s">
        <v>716</v>
      </c>
      <c r="J331" t="s">
        <v>716</v>
      </c>
      <c r="L331">
        <v>83</v>
      </c>
      <c r="M331">
        <v>94.5</v>
      </c>
    </row>
    <row r="332" spans="1:13" x14ac:dyDescent="0.25">
      <c r="A332" t="s">
        <v>1108</v>
      </c>
      <c r="B332">
        <v>73271909334</v>
      </c>
      <c r="F332" t="s">
        <v>716</v>
      </c>
      <c r="H332" t="s">
        <v>716</v>
      </c>
      <c r="I332" t="s">
        <v>716</v>
      </c>
      <c r="J332" t="s">
        <v>716</v>
      </c>
      <c r="K332" t="s">
        <v>716</v>
      </c>
      <c r="L332">
        <v>74</v>
      </c>
      <c r="M332">
        <v>148.5</v>
      </c>
    </row>
    <row r="333" spans="1:13" x14ac:dyDescent="0.25">
      <c r="A333" t="s">
        <v>1109</v>
      </c>
      <c r="B333">
        <v>73282261764</v>
      </c>
      <c r="F333" t="s">
        <v>716</v>
      </c>
      <c r="H333" t="s">
        <v>716</v>
      </c>
      <c r="I333" t="s">
        <v>716</v>
      </c>
      <c r="L333">
        <v>70</v>
      </c>
      <c r="M333">
        <v>115.43</v>
      </c>
    </row>
    <row r="334" spans="1:13" x14ac:dyDescent="0.25">
      <c r="A334" t="s">
        <v>1110</v>
      </c>
      <c r="B334">
        <v>73390862135</v>
      </c>
      <c r="J334" t="s">
        <v>716</v>
      </c>
      <c r="L334">
        <v>61</v>
      </c>
      <c r="M334">
        <v>69.75</v>
      </c>
    </row>
    <row r="335" spans="1:13" x14ac:dyDescent="0.25">
      <c r="A335" t="s">
        <v>1111</v>
      </c>
      <c r="B335">
        <v>73327173478</v>
      </c>
      <c r="F335" t="s">
        <v>716</v>
      </c>
      <c r="H335" t="s">
        <v>716</v>
      </c>
      <c r="I335" t="s">
        <v>716</v>
      </c>
      <c r="J335" t="s">
        <v>716</v>
      </c>
      <c r="K335" t="s">
        <v>716</v>
      </c>
      <c r="L335">
        <v>76</v>
      </c>
      <c r="M335">
        <v>146.25</v>
      </c>
    </row>
    <row r="336" spans="1:13" x14ac:dyDescent="0.25">
      <c r="A336" t="s">
        <v>1112</v>
      </c>
      <c r="B336">
        <v>73364331498</v>
      </c>
      <c r="F336" t="s">
        <v>716</v>
      </c>
      <c r="H336" t="s">
        <v>716</v>
      </c>
      <c r="J336" t="s">
        <v>716</v>
      </c>
      <c r="K336" t="s">
        <v>716</v>
      </c>
      <c r="L336">
        <v>72</v>
      </c>
      <c r="M336">
        <v>136.83000000000001</v>
      </c>
    </row>
    <row r="337" spans="1:13" x14ac:dyDescent="0.25">
      <c r="A337" t="s">
        <v>1113</v>
      </c>
      <c r="B337">
        <v>73442174516</v>
      </c>
      <c r="F337" t="s">
        <v>716</v>
      </c>
      <c r="J337" t="s">
        <v>716</v>
      </c>
      <c r="L337">
        <v>75</v>
      </c>
      <c r="M337">
        <v>148</v>
      </c>
    </row>
    <row r="338" spans="1:13" x14ac:dyDescent="0.25">
      <c r="A338" t="s">
        <v>1114</v>
      </c>
      <c r="B338">
        <v>74049545321</v>
      </c>
      <c r="F338" t="s">
        <v>716</v>
      </c>
      <c r="H338" t="s">
        <v>716</v>
      </c>
      <c r="L338">
        <v>71</v>
      </c>
      <c r="M338">
        <v>148</v>
      </c>
    </row>
    <row r="339" spans="1:13" x14ac:dyDescent="0.25">
      <c r="A339" t="s">
        <v>1115</v>
      </c>
      <c r="B339">
        <v>73325131791</v>
      </c>
      <c r="F339" t="s">
        <v>716</v>
      </c>
      <c r="H339" t="s">
        <v>716</v>
      </c>
      <c r="I339" t="s">
        <v>716</v>
      </c>
      <c r="L339">
        <v>84</v>
      </c>
      <c r="M339">
        <v>151.79</v>
      </c>
    </row>
    <row r="340" spans="1:13" x14ac:dyDescent="0.25">
      <c r="A340" t="s">
        <v>1116</v>
      </c>
      <c r="B340">
        <v>73329075289</v>
      </c>
      <c r="F340" t="s">
        <v>716</v>
      </c>
      <c r="H340" t="s">
        <v>716</v>
      </c>
      <c r="I340" t="s">
        <v>716</v>
      </c>
      <c r="J340" t="s">
        <v>716</v>
      </c>
      <c r="K340" t="s">
        <v>716</v>
      </c>
      <c r="L340">
        <v>72</v>
      </c>
      <c r="M340">
        <v>141.5</v>
      </c>
    </row>
    <row r="341" spans="1:13" x14ac:dyDescent="0.25">
      <c r="A341" t="s">
        <v>1117</v>
      </c>
      <c r="B341">
        <v>73417882788</v>
      </c>
      <c r="F341" t="s">
        <v>716</v>
      </c>
      <c r="H341" t="s">
        <v>716</v>
      </c>
      <c r="J341" t="s">
        <v>716</v>
      </c>
      <c r="L341">
        <v>84</v>
      </c>
      <c r="M341">
        <v>158.84</v>
      </c>
    </row>
    <row r="342" spans="1:13" x14ac:dyDescent="0.25">
      <c r="A342" t="s">
        <v>1118</v>
      </c>
      <c r="B342">
        <v>73386253932</v>
      </c>
      <c r="F342" t="s">
        <v>716</v>
      </c>
      <c r="H342" t="s">
        <v>716</v>
      </c>
      <c r="I342" t="s">
        <v>716</v>
      </c>
      <c r="J342" t="s">
        <v>716</v>
      </c>
      <c r="K342" t="s">
        <v>716</v>
      </c>
      <c r="L342">
        <v>74</v>
      </c>
      <c r="M342">
        <v>144.54</v>
      </c>
    </row>
    <row r="343" spans="1:13" x14ac:dyDescent="0.25">
      <c r="A343" t="s">
        <v>1119</v>
      </c>
      <c r="B343">
        <v>73347455419</v>
      </c>
      <c r="G343" t="s">
        <v>716</v>
      </c>
      <c r="H343" t="s">
        <v>716</v>
      </c>
      <c r="I343" t="s">
        <v>716</v>
      </c>
      <c r="J343" t="s">
        <v>716</v>
      </c>
      <c r="K343" t="s">
        <v>716</v>
      </c>
      <c r="L343">
        <v>88</v>
      </c>
      <c r="M343">
        <v>165</v>
      </c>
    </row>
    <row r="344" spans="1:13" x14ac:dyDescent="0.25">
      <c r="A344" t="s">
        <v>1124</v>
      </c>
      <c r="D344">
        <f>SUBTOTAL(103,rangsor[felvesz])</f>
        <v>59</v>
      </c>
      <c r="E344">
        <f>SUBTOTAL(103,rangsor[mastvalaszt])</f>
        <v>45</v>
      </c>
      <c r="F344">
        <f>SUBTOTAL(103,rangsor[elut])</f>
        <v>176</v>
      </c>
      <c r="G344">
        <f>SUBTOTAL(103,rangsor[visszalepett])</f>
        <v>20</v>
      </c>
    </row>
  </sheetData>
  <conditionalFormatting sqref="C2:C343">
    <cfRule type="cellIs" dxfId="81" priority="2" operator="equal">
      <formula>2000</formula>
    </cfRule>
    <cfRule type="cellIs" dxfId="80" priority="3" operator="equal">
      <formula>4000</formula>
    </cfRule>
    <cfRule type="cellIs" dxfId="79" priority="4" operator="equal">
      <formula>1000</formula>
    </cfRule>
  </conditionalFormatting>
  <conditionalFormatting sqref="C2:D343">
    <cfRule type="cellIs" dxfId="78" priority="1" operator="equal">
      <formula>3000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1EC5-505E-4570-9DC1-FD2530E63F34}">
  <sheetPr codeName="Munka2"/>
  <dimension ref="B1:AR593"/>
  <sheetViews>
    <sheetView zoomScaleNormal="100" workbookViewId="0">
      <selection activeCell="B1" sqref="B1"/>
    </sheetView>
  </sheetViews>
  <sheetFormatPr defaultRowHeight="15" x14ac:dyDescent="0.25"/>
  <cols>
    <col min="2" max="2" width="19.7109375" customWidth="1"/>
    <col min="3" max="3" width="22.85546875" customWidth="1"/>
    <col min="4" max="4" width="22.7109375" bestFit="1" customWidth="1"/>
    <col min="5" max="5" width="5.28515625" customWidth="1"/>
    <col min="6" max="6" width="9.85546875" bestFit="1" customWidth="1"/>
    <col min="7" max="7" width="12.85546875" bestFit="1" customWidth="1"/>
    <col min="8" max="8" width="18" bestFit="1" customWidth="1"/>
    <col min="9" max="9" width="31.42578125" bestFit="1" customWidth="1"/>
    <col min="10" max="10" width="19.85546875" bestFit="1" customWidth="1"/>
    <col min="11" max="11" width="18.7109375" bestFit="1" customWidth="1"/>
    <col min="12" max="12" width="19.28515625" customWidth="1"/>
    <col min="13" max="13" width="9.7109375" bestFit="1" customWidth="1"/>
    <col min="14" max="14" width="7.28515625" bestFit="1" customWidth="1"/>
    <col min="15" max="16" width="8" bestFit="1" customWidth="1"/>
    <col min="17" max="17" width="14.7109375" bestFit="1" customWidth="1"/>
    <col min="18" max="18" width="16.85546875" bestFit="1" customWidth="1"/>
    <col min="19" max="19" width="15" customWidth="1"/>
    <col min="20" max="20" width="10.28515625" customWidth="1"/>
    <col min="21" max="21" width="11.140625" customWidth="1"/>
    <col min="22" max="22" width="10.5703125" customWidth="1"/>
    <col min="23" max="23" width="40.85546875" bestFit="1" customWidth="1"/>
    <col min="24" max="24" width="175.28515625" bestFit="1" customWidth="1"/>
    <col min="25" max="25" width="9.140625" bestFit="1" customWidth="1"/>
    <col min="26" max="26" width="10.42578125" bestFit="1" customWidth="1"/>
    <col min="27" max="27" width="30" customWidth="1"/>
    <col min="28" max="28" width="11.5703125" customWidth="1"/>
    <col min="29" max="29" width="11" bestFit="1" customWidth="1"/>
    <col min="30" max="30" width="86.7109375" bestFit="1" customWidth="1"/>
    <col min="32" max="32" width="12.28515625" bestFit="1" customWidth="1"/>
    <col min="33" max="33" width="10.7109375" bestFit="1" customWidth="1"/>
  </cols>
  <sheetData>
    <row r="1" spans="2:44" ht="26.25" customHeight="1" x14ac:dyDescent="0.25">
      <c r="B1" s="1" t="s">
        <v>44</v>
      </c>
      <c r="D1" s="2" t="s">
        <v>1121</v>
      </c>
      <c r="E1" s="2" t="s">
        <v>1125</v>
      </c>
      <c r="F1" s="2" t="s">
        <v>1126</v>
      </c>
      <c r="G1" s="2" t="s">
        <v>676</v>
      </c>
      <c r="H1" s="2" t="s">
        <v>1127</v>
      </c>
      <c r="I1" s="2" t="s">
        <v>1128</v>
      </c>
      <c r="J1" s="2" t="s">
        <v>1129</v>
      </c>
      <c r="K1" s="2" t="s">
        <v>1130</v>
      </c>
      <c r="L1" s="2" t="s">
        <v>680</v>
      </c>
      <c r="M1" s="2" t="s">
        <v>681</v>
      </c>
      <c r="N1" s="2" t="s">
        <v>1131</v>
      </c>
      <c r="O1" s="2" t="s">
        <v>686</v>
      </c>
      <c r="P1" s="2" t="s">
        <v>1132</v>
      </c>
      <c r="Q1" s="2" t="s">
        <v>1122</v>
      </c>
      <c r="R1" s="2" t="s">
        <v>1133</v>
      </c>
      <c r="S1" s="2" t="s">
        <v>1134</v>
      </c>
      <c r="T1" s="2" t="s">
        <v>1135</v>
      </c>
      <c r="U1" s="2" t="s">
        <v>1136</v>
      </c>
      <c r="V1" s="2" t="s">
        <v>1137</v>
      </c>
      <c r="W1" s="2" t="s">
        <v>1138</v>
      </c>
      <c r="X1" s="2" t="s">
        <v>10</v>
      </c>
      <c r="Y1" s="2" t="s">
        <v>12</v>
      </c>
      <c r="Z1" s="2" t="s">
        <v>11</v>
      </c>
      <c r="AA1" s="2" t="s">
        <v>1139</v>
      </c>
      <c r="AB1" s="2" t="s">
        <v>1140</v>
      </c>
      <c r="AC1" s="2" t="s">
        <v>687</v>
      </c>
      <c r="AD1" s="2" t="s">
        <v>1141</v>
      </c>
      <c r="AE1" s="2" t="s">
        <v>1142</v>
      </c>
      <c r="AF1" s="2" t="s">
        <v>1143</v>
      </c>
      <c r="AG1" s="2" t="s">
        <v>1144</v>
      </c>
      <c r="AH1" s="2" t="s">
        <v>1145</v>
      </c>
      <c r="AI1" s="2" t="s">
        <v>1146</v>
      </c>
      <c r="AJ1" s="2" t="s">
        <v>669</v>
      </c>
      <c r="AK1" s="2" t="s">
        <v>1147</v>
      </c>
      <c r="AL1" s="2" t="s">
        <v>1148</v>
      </c>
      <c r="AM1" s="2" t="s">
        <v>713</v>
      </c>
      <c r="AN1" s="2" t="s">
        <v>1149</v>
      </c>
      <c r="AO1" s="2" t="s">
        <v>1150</v>
      </c>
      <c r="AP1" s="2" t="s">
        <v>1151</v>
      </c>
      <c r="AQ1" s="2" t="s">
        <v>1152</v>
      </c>
      <c r="AR1" s="2" t="s">
        <v>1153</v>
      </c>
    </row>
    <row r="2" spans="2:44" x14ac:dyDescent="0.25">
      <c r="D2" t="str" cm="1">
        <f t="array" ref="D2">SzuressNev($B$1,ROW()-1)</f>
        <v>Antal Virág</v>
      </c>
      <c r="E2">
        <f>COUNTIF($D$2:D2,D2)</f>
        <v>1</v>
      </c>
      <c r="F2" t="str" cm="1">
        <f t="array" ref="F2">ElutasitasEgyOk2(D2,E2)</f>
        <v/>
      </c>
      <c r="G2">
        <f>IFERROR(INDEX(diakadat!$I$2:$I$50,MATCH(D2,diakadat!$J$2:$J$50,0),1),"")</f>
        <v>73295740212</v>
      </c>
      <c r="H2" t="str">
        <f>IFERROR(INDEX(diakadat!$O$2:$O$50,MATCH(D2,diakadat!$J$2:$J$50,0),1),"")</f>
        <v>dr. Andrási Márta</v>
      </c>
      <c r="I2" t="str">
        <f>IFERROR(INDEX(diakadat!#REF!,MATCH(D2,diakadat!$J$2:$J$50,0),1),"")</f>
        <v/>
      </c>
      <c r="J2" t="str">
        <f>IFERROR(INDEX(diakadat!$K$2:$K$50,MATCH(D2,diakadat!$J$2:$J$50,0),1),"")</f>
        <v>Budapest IX. kerület</v>
      </c>
      <c r="K2" t="str" cm="1">
        <f t="array" ref="K2">IFERROR(DatumSzovegge2(INDEX(diakadat!$L$2:$L$50,MATCH(D2,diakadat!$J$2:$J$50,0),1)),"")</f>
        <v>2014. december 7.</v>
      </c>
      <c r="L2" t="str" cm="1">
        <f t="array" ref="L2">IFERROR(DatumSzovegge5(INDEX(diakadat!$L$2:$L$50,MATCH(D2,diakadat!$J$2:$J$50,0),1)),"")</f>
        <v>2014.</v>
      </c>
      <c r="M2" t="str" cm="1">
        <f t="array" ref="M2">IFERROR(DatumSzovegge3(INDEX(diakadat!$L$2:$L$50,MATCH(D2,diakadat!$J$2:$J$50,0),1)),"")</f>
        <v>december</v>
      </c>
      <c r="N2" t="str" cm="1">
        <f t="array" ref="N2">IFERROR(DatumSzovegge4(INDEX(diakadat!$L$2:$L$50,MATCH(D2,diakadat!$J$2:$J$50,0),1)),"")</f>
        <v>7.</v>
      </c>
      <c r="O2" t="str">
        <f>IFERROR(INDEX(diakadat!$R$2:$R$50,MATCH(D2,diakadat!$J$2:$J$50,0),1),"")</f>
        <v>1182 Budapest XVIII. kerület, Várkapitány utca 10 2 ajtó</v>
      </c>
      <c r="P2">
        <f>IFERROR(INDEX(diakadat!$AI$2:$AI$50,MATCH(D2,diakadat!$J$2:$J$50,0),1),"")</f>
        <v>153.75</v>
      </c>
      <c r="Q2">
        <f>IFERROR(INDEX('rangsor'!$C$2:$C$343,MATCH(D2,'rangsor'!$A$2:$A$343,0),1),"")</f>
        <v>0</v>
      </c>
      <c r="T2" t="s">
        <v>831</v>
      </c>
      <c r="U2" t="str" cm="1">
        <f t="array" ref="U2">Határozat(D2)</f>
        <v>nem nyert felvételt</v>
      </c>
      <c r="AC2" t="str">
        <f>IFERROR(INDEX(diakadat!$U$2:$U$50,MATCH(D2,diakadat!$J$2:$J$50),1),"")</f>
        <v>035123</v>
      </c>
      <c r="AD2" t="str">
        <f>IFERROR(INDEX(diakadat!$V$2:$V$50,MATCH(D2,diakadat!$J$2:$J$50),1),"")</f>
        <v>Kandó Téri Általános Iskola</v>
      </c>
      <c r="AE2" t="str">
        <f>IFERROR(INDEX(diakadat!$W$2:$W$50,MATCH(D2,diakadat!$J$2:$J$50),1),"")</f>
        <v>1054 Budapest, Akadémia utca 3.</v>
      </c>
      <c r="AF2">
        <v>2000</v>
      </c>
      <c r="AG2" t="s">
        <v>1154</v>
      </c>
      <c r="AH2" t="s">
        <v>1155</v>
      </c>
      <c r="AI2" t="str">
        <f>IFERROR(INDEX(diakadat!$X$2:$X$50,MATCH(D2,diakadat!$J$2:$J$50),1),"")</f>
        <v>titkarsag@kandosuli.hu</v>
      </c>
      <c r="AJ2">
        <v>333</v>
      </c>
      <c r="AK2">
        <f t="shared" ref="AK2:AK65" si="0">COUNTIF($AD$2:$AD$350,AD2)</f>
        <v>1</v>
      </c>
      <c r="AL2" t="str" cm="1">
        <f t="array" ref="AL2">ElsoBetuNagy(R2)</f>
        <v/>
      </c>
      <c r="AM2" t="s">
        <v>723</v>
      </c>
      <c r="AN2" t="s">
        <v>1156</v>
      </c>
      <c r="AO2" t="str" cm="1">
        <f t="array" ref="AO2">DatumSzovegge5(AN2)</f>
        <v>2025.</v>
      </c>
      <c r="AP2" t="str" cm="1">
        <f t="array" ref="AP2">DatumSzovegge3(AN2)</f>
        <v>június</v>
      </c>
      <c r="AQ2" t="str" cm="1">
        <f t="array" ref="AQ2">DatumSzovegge4(AN2)</f>
        <v>26.</v>
      </c>
      <c r="AR2" t="s">
        <v>912</v>
      </c>
    </row>
    <row r="3" spans="2:44" x14ac:dyDescent="0.25">
      <c r="D3" t="str" cm="1">
        <f t="array" ref="D3">SzuressNev($B$1,ROW()-1)</f>
        <v>Bán Szofi</v>
      </c>
      <c r="E3">
        <f>COUNTIF($D$2:D3,D3)</f>
        <v>1</v>
      </c>
      <c r="F3" t="str" cm="1">
        <f t="array" ref="F3">ElutasitasEgyOk2(D3,E3)</f>
        <v/>
      </c>
      <c r="G3">
        <f>IFERROR(INDEX(diakadat!$I$2:$I$50,MATCH(D3,diakadat!$J$2:$J$50,0),1),"")</f>
        <v>73254092015</v>
      </c>
      <c r="H3" t="str">
        <f>IFERROR(INDEX(diakadat!$O$2:$O$50,MATCH(D3,diakadat!$J$2:$J$50,0),1),"")</f>
        <v>Tóth Eszter Katalin</v>
      </c>
      <c r="I3" t="str">
        <f>IFERROR(INDEX(diakadat!#REF!,MATCH(D3,diakadat!$J$2:$J$50,0),1),"")</f>
        <v/>
      </c>
      <c r="J3" t="str">
        <f>IFERROR(INDEX(diakadat!$K$2:$K$50,MATCH(D3,diakadat!$J$2:$J$50,0),1),"")</f>
        <v>Budapest VI. kerület</v>
      </c>
      <c r="K3" t="str" cm="1">
        <f t="array" ref="K3">IFERROR(DatumSzovegge2(INDEX(diakadat!$L$2:$L$50,MATCH(D3,diakadat!$J$2:$J$50,0),1)),"")</f>
        <v>2014. december 1.</v>
      </c>
      <c r="L3" t="str" cm="1">
        <f t="array" ref="L3">IFERROR(DatumSzovegge5(INDEX(diakadat!$L$2:$L$50,MATCH(D3,diakadat!$J$2:$J$50,0),1)),"")</f>
        <v>2014.</v>
      </c>
      <c r="M3" t="str" cm="1">
        <f t="array" ref="M3">IFERROR(DatumSzovegge3(INDEX(diakadat!$L$2:$L$50,MATCH(D3,diakadat!$J$2:$J$50,0),1)),"")</f>
        <v>december</v>
      </c>
      <c r="N3" t="str" cm="1">
        <f t="array" ref="N3">IFERROR(DatumSzovegge4(INDEX(diakadat!$L$2:$L$50,MATCH(D3,diakadat!$J$2:$J$50,0),1)),"")</f>
        <v>1.</v>
      </c>
      <c r="O3" t="str">
        <f>IFERROR(INDEX(diakadat!$R$2:$R$50,MATCH(D3,diakadat!$J$2:$J$50,0),1),"")</f>
        <v xml:space="preserve">1112 Budapest XI. kerület, Vadon utca 18 </v>
      </c>
      <c r="P3">
        <f>IFERROR(INDEX(diakadat!$AI$2:$AI$50,MATCH(D3,diakadat!$J$2:$J$50,0),1),"")</f>
        <v>157.5</v>
      </c>
      <c r="Q3">
        <f>IFERROR(INDEX('rangsor'!$C$2:$C$343,MATCH(D3,'rangsor'!$A$2:$A$343,0),1),"")</f>
        <v>0</v>
      </c>
      <c r="T3" t="s">
        <v>831</v>
      </c>
      <c r="U3" t="str" cm="1">
        <f t="array" ref="U3">Határozat(D3)</f>
        <v>nem nyert felvételt</v>
      </c>
      <c r="AC3" t="str">
        <f>IFERROR(INDEX(diakadat!$U$2:$U$50,MATCH(D3,diakadat!$J$2:$J$50),1),"")</f>
        <v>034983</v>
      </c>
      <c r="AD3" t="str">
        <f>IFERROR(INDEX(diakadat!$V$2:$V$50,MATCH(D3,diakadat!$J$2:$J$50),1),"")</f>
        <v>Farkasréti Általános Iskola</v>
      </c>
      <c r="AE3" t="str">
        <f>IFERROR(INDEX(diakadat!$W$2:$W$50,MATCH(D3,diakadat!$J$2:$J$50),1),"")</f>
        <v>1112 Budapest XI. kerület, Érdi út 2.</v>
      </c>
      <c r="AF3">
        <v>1116</v>
      </c>
      <c r="AG3" t="s">
        <v>912</v>
      </c>
      <c r="AH3" t="s">
        <v>1157</v>
      </c>
      <c r="AI3" t="str">
        <f>IFERROR(INDEX(diakadat!$X$2:$X$50,MATCH(D3,diakadat!$J$2:$J$50),1),"")</f>
        <v>intezmenyvezeto@farkasret.dbtk.hu</v>
      </c>
      <c r="AJ3">
        <v>334</v>
      </c>
      <c r="AK3">
        <f t="shared" si="0"/>
        <v>1</v>
      </c>
      <c r="AL3" t="str" cm="1">
        <f t="array" ref="AL3">ElsoBetuNagy(R3)</f>
        <v/>
      </c>
      <c r="AM3" t="s">
        <v>726</v>
      </c>
      <c r="AN3" t="s">
        <v>1156</v>
      </c>
      <c r="AO3" t="str" cm="1">
        <f t="array" ref="AO3">DatumSzovegge5(AN3)</f>
        <v>2025.</v>
      </c>
      <c r="AP3" t="str" cm="1">
        <f t="array" ref="AP3">DatumSzovegge3(AN3)</f>
        <v>június</v>
      </c>
      <c r="AQ3" t="str" cm="1">
        <f t="array" ref="AQ3">DatumSzovegge4(AN3)</f>
        <v>26.</v>
      </c>
      <c r="AR3" t="s">
        <v>912</v>
      </c>
    </row>
    <row r="4" spans="2:44" x14ac:dyDescent="0.25">
      <c r="D4" t="str" cm="1">
        <f t="array" ref="D4">SzuressNev($B$1,ROW()-1)</f>
        <v>Cser Emma Mara</v>
      </c>
      <c r="E4">
        <f>COUNTIF($D$2:D4,D4)</f>
        <v>1</v>
      </c>
      <c r="F4" t="str" cm="1">
        <f t="array" ref="F4">ElutasitasEgyOk2(D4,E4)</f>
        <v/>
      </c>
      <c r="G4">
        <f>IFERROR(INDEX(diakadat!$I$2:$I$50,MATCH(D4,diakadat!$J$2:$J$50,0),1),"")</f>
        <v>73355348440</v>
      </c>
      <c r="H4" t="str">
        <f>IFERROR(INDEX(diakadat!$O$2:$O$50,MATCH(D4,diakadat!$J$2:$J$50,0),1),"")</f>
        <v>Cser Brigitta</v>
      </c>
      <c r="I4" t="str">
        <f>IFERROR(INDEX(diakadat!#REF!,MATCH(D4,diakadat!$J$2:$J$50,0),1),"")</f>
        <v/>
      </c>
      <c r="J4" t="str">
        <f>IFERROR(INDEX(diakadat!$K$2:$K$50,MATCH(D4,diakadat!$J$2:$J$50,0),1),"")</f>
        <v>Barcelona</v>
      </c>
      <c r="K4" t="str" cm="1">
        <f t="array" ref="K4">IFERROR(DatumSzovegge2(INDEX(diakadat!$L$2:$L$50,MATCH(D4,diakadat!$J$2:$J$50,0),1)),"")</f>
        <v>2015. február 6.</v>
      </c>
      <c r="L4" t="str" cm="1">
        <f t="array" ref="L4">IFERROR(DatumSzovegge5(INDEX(diakadat!$L$2:$L$50,MATCH(D4,diakadat!$J$2:$J$50,0),1)),"")</f>
        <v>2015.</v>
      </c>
      <c r="M4" t="str" cm="1">
        <f t="array" ref="M4">IFERROR(DatumSzovegge3(INDEX(diakadat!$L$2:$L$50,MATCH(D4,diakadat!$J$2:$J$50,0),1)),"")</f>
        <v>február</v>
      </c>
      <c r="N4" t="str" cm="1">
        <f t="array" ref="N4">IFERROR(DatumSzovegge4(INDEX(diakadat!$L$2:$L$50,MATCH(D4,diakadat!$J$2:$J$50,0),1)),"")</f>
        <v>6.</v>
      </c>
      <c r="O4" t="str">
        <f>IFERROR(INDEX(diakadat!$R$2:$R$50,MATCH(D4,diakadat!$J$2:$J$50,0),1),"")</f>
        <v xml:space="preserve">1014 Budapest I. kerület, Úri utca 6. </v>
      </c>
      <c r="P4">
        <f>IFERROR(INDEX(diakadat!$AI$2:$AI$50,MATCH(D4,diakadat!$J$2:$J$50,0),1),"")</f>
        <v>118.75</v>
      </c>
      <c r="Q4">
        <f>IFERROR(INDEX('rangsor'!$C$2:$C$343,MATCH(D4,'rangsor'!$A$2:$A$343,0),1),"")</f>
        <v>0</v>
      </c>
      <c r="T4" t="s">
        <v>831</v>
      </c>
      <c r="U4" t="str" cm="1">
        <f t="array" ref="U4">Határozat(D4)</f>
        <v>nem nyert felvételt</v>
      </c>
      <c r="AC4" t="str">
        <f>IFERROR(INDEX(diakadat!$U$2:$U$50,MATCH(D4,diakadat!$J$2:$J$50),1),"")</f>
        <v>034792</v>
      </c>
      <c r="AD4" t="str">
        <f>IFERROR(INDEX(diakadat!$V$2:$V$50,MATCH(D4,diakadat!$J$2:$J$50),1),"")</f>
        <v>Budavári Általános Iskola</v>
      </c>
      <c r="AE4" t="str">
        <f>IFERROR(INDEX(diakadat!$W$2:$W$50,MATCH(D4,diakadat!$J$2:$J$50),1),"")</f>
        <v>1014 Budapest I. kerület, Tárnok utca 9-11.</v>
      </c>
      <c r="AF4">
        <v>1025</v>
      </c>
      <c r="AG4" t="s">
        <v>912</v>
      </c>
      <c r="AH4" t="s">
        <v>1158</v>
      </c>
      <c r="AI4" t="str">
        <f>IFERROR(INDEX(diakadat!$X$2:$X$50,MATCH(D4,diakadat!$J$2:$J$50),1),"")</f>
        <v>igazgatosag@budavari.edu.hu</v>
      </c>
      <c r="AJ4">
        <v>335</v>
      </c>
      <c r="AK4">
        <f t="shared" si="0"/>
        <v>1</v>
      </c>
      <c r="AL4" t="str" cm="1">
        <f t="array" ref="AL4">ElsoBetuNagy(R4)</f>
        <v/>
      </c>
      <c r="AM4" t="s">
        <v>728</v>
      </c>
      <c r="AN4" t="s">
        <v>1156</v>
      </c>
      <c r="AO4" t="str" cm="1">
        <f t="array" ref="AO4">DatumSzovegge5(AN4)</f>
        <v>2025.</v>
      </c>
      <c r="AP4" t="str" cm="1">
        <f t="array" ref="AP4">DatumSzovegge3(AN4)</f>
        <v>június</v>
      </c>
      <c r="AQ4" t="str" cm="1">
        <f t="array" ref="AQ4">DatumSzovegge4(AN4)</f>
        <v>26.</v>
      </c>
      <c r="AR4" t="s">
        <v>912</v>
      </c>
    </row>
    <row r="5" spans="2:44" x14ac:dyDescent="0.25">
      <c r="D5" t="str" cm="1">
        <f t="array" ref="D5">SzuressNev($B$1,ROW()-1)</f>
        <v>Fazekas Nadin</v>
      </c>
      <c r="E5">
        <f>COUNTIF($D$2:D5,D5)</f>
        <v>1</v>
      </c>
      <c r="F5" t="str" cm="1">
        <f t="array" ref="F5">ElutasitasEgyOk2(D5,E5)</f>
        <v/>
      </c>
      <c r="G5" t="str">
        <f>IFERROR(INDEX(diakadat!$I$2:$I$50,MATCH(D5,diakadat!$J$2:$J$50,0),1),"")</f>
        <v/>
      </c>
      <c r="H5" t="str">
        <f>IFERROR(INDEX(diakadat!$O$2:$O$50,MATCH(D5,diakadat!$J$2:$J$50,0),1),"")</f>
        <v/>
      </c>
      <c r="I5" t="str">
        <f>IFERROR(INDEX(diakadat!#REF!,MATCH(D5,diakadat!$J$2:$J$50,0),1),"")</f>
        <v/>
      </c>
      <c r="J5" t="str">
        <f>IFERROR(INDEX(diakadat!$K$2:$K$50,MATCH(D5,diakadat!$J$2:$J$50,0),1),"")</f>
        <v/>
      </c>
      <c r="K5" t="str" cm="1">
        <f t="array" ref="K5">IFERROR(DatumSzovegge2(INDEX(diakadat!$L$2:$L$50,MATCH(D5,diakadat!$J$2:$J$50,0),1)),"")</f>
        <v/>
      </c>
      <c r="L5" t="str" cm="1">
        <f t="array" ref="L5">IFERROR(DatumSzovegge5(INDEX(diakadat!$L$2:$L$50,MATCH(D5,diakadat!$J$2:$J$50,0),1)),"")</f>
        <v/>
      </c>
      <c r="M5" t="str" cm="1">
        <f t="array" ref="M5">IFERROR(DatumSzovegge3(INDEX(diakadat!$L$2:$L$50,MATCH(D5,diakadat!$J$2:$J$50,0),1)),"")</f>
        <v/>
      </c>
      <c r="N5" t="str" cm="1">
        <f t="array" ref="N5">IFERROR(DatumSzovegge4(INDEX(diakadat!$L$2:$L$50,MATCH(D5,diakadat!$J$2:$J$50,0),1)),"")</f>
        <v/>
      </c>
      <c r="O5" t="str">
        <f>IFERROR(INDEX(diakadat!$R$2:$R$50,MATCH(D5,diakadat!$J$2:$J$50,0),1),"")</f>
        <v/>
      </c>
      <c r="P5" t="str">
        <f>IFERROR(INDEX(diakadat!$AI$2:$AI$50,MATCH(D5,diakadat!$J$2:$J$50,0),1),"")</f>
        <v/>
      </c>
      <c r="Q5">
        <f>IFERROR(INDEX('rangsor'!$C$2:$C$343,MATCH(D5,'rangsor'!$A$2:$A$343,0),1),"")</f>
        <v>0</v>
      </c>
      <c r="T5" t="s">
        <v>831</v>
      </c>
      <c r="U5" t="str" cm="1">
        <f t="array" ref="U5">Határozat(D5)</f>
        <v>nem nyert felvételt</v>
      </c>
      <c r="AC5" t="str">
        <f>IFERROR(INDEX(diakadat!$U$2:$U$50,MATCH(D5,diakadat!$J$2:$J$50),1),"")</f>
        <v>201491</v>
      </c>
      <c r="AD5" t="str">
        <f>IFERROR(INDEX(diakadat!$V$2:$V$50,MATCH(D5,diakadat!$J$2:$J$50),1),"")</f>
        <v xml:space="preserve">Erzsébetvárosi Magyar-Angol Két Tanítási Nyelvű Általános Iskola és Művészeti Szakgimnázium </v>
      </c>
      <c r="AE5" t="str">
        <f>IFERROR(INDEX(diakadat!$W$2:$W$50,MATCH(D5,diakadat!$J$2:$J$50),1),"")</f>
        <v>1073 Budapest VII. kerület, Kertész utca 30.</v>
      </c>
      <c r="AF5">
        <v>1144</v>
      </c>
      <c r="AG5" t="s">
        <v>912</v>
      </c>
      <c r="AH5" t="s">
        <v>1159</v>
      </c>
      <c r="AI5" t="str">
        <f>IFERROR(INDEX(diakadat!$X$2:$X$50,MATCH(D5,diakadat!$J$2:$J$50),1),"")</f>
        <v>harangozohajnalka@erzsebetvarosiiskola.hu</v>
      </c>
      <c r="AJ5">
        <v>336</v>
      </c>
      <c r="AK5">
        <f t="shared" si="0"/>
        <v>17</v>
      </c>
      <c r="AL5" t="str" cm="1">
        <f t="array" ref="AL5">ElsoBetuNagy(R5)</f>
        <v/>
      </c>
      <c r="AM5" t="s">
        <v>739</v>
      </c>
      <c r="AN5" t="s">
        <v>1156</v>
      </c>
      <c r="AO5" t="str" cm="1">
        <f t="array" ref="AO5">DatumSzovegge5(AN5)</f>
        <v>2025.</v>
      </c>
      <c r="AP5" t="str" cm="1">
        <f t="array" ref="AP5">DatumSzovegge3(AN5)</f>
        <v>június</v>
      </c>
      <c r="AQ5" t="str" cm="1">
        <f t="array" ref="AQ5">DatumSzovegge4(AN5)</f>
        <v>26.</v>
      </c>
      <c r="AR5" t="s">
        <v>912</v>
      </c>
    </row>
    <row r="6" spans="2:44" x14ac:dyDescent="0.25">
      <c r="D6" t="str" cm="1">
        <f t="array" ref="D6">SzuressNev($B$1,ROW()-1)</f>
        <v>Hoffmann Gellért Ádám</v>
      </c>
      <c r="E6">
        <f>COUNTIF($D$2:D6,D6)</f>
        <v>1</v>
      </c>
      <c r="F6" t="str" cm="1">
        <f t="array" ref="F6">ElutasitasEgyOk2(D6,E6)</f>
        <v/>
      </c>
      <c r="G6" t="str">
        <f>IFERROR(INDEX(diakadat!$I$2:$I$50,MATCH(D6,diakadat!$J$2:$J$50,0),1),"")</f>
        <v/>
      </c>
      <c r="H6" t="str">
        <f>IFERROR(INDEX(diakadat!$O$2:$O$50,MATCH(D6,diakadat!$J$2:$J$50,0),1),"")</f>
        <v/>
      </c>
      <c r="I6" t="str">
        <f>IFERROR(INDEX(diakadat!#REF!,MATCH(D6,diakadat!$J$2:$J$50,0),1),"")</f>
        <v/>
      </c>
      <c r="J6" t="str">
        <f>IFERROR(INDEX(diakadat!$K$2:$K$50,MATCH(D6,diakadat!$J$2:$J$50,0),1),"")</f>
        <v/>
      </c>
      <c r="K6" t="str" cm="1">
        <f t="array" ref="K6">IFERROR(DatumSzovegge2(INDEX(diakadat!$L$2:$L$50,MATCH(D6,diakadat!$J$2:$J$50,0),1)),"")</f>
        <v/>
      </c>
      <c r="L6" t="str" cm="1">
        <f t="array" ref="L6">IFERROR(DatumSzovegge5(INDEX(diakadat!$L$2:$L$50,MATCH(D6,diakadat!$J$2:$J$50,0),1)),"")</f>
        <v/>
      </c>
      <c r="M6" t="str" cm="1">
        <f t="array" ref="M6">IFERROR(DatumSzovegge3(INDEX(diakadat!$L$2:$L$50,MATCH(D6,diakadat!$J$2:$J$50,0),1)),"")</f>
        <v/>
      </c>
      <c r="N6" t="str" cm="1">
        <f t="array" ref="N6">IFERROR(DatumSzovegge4(INDEX(diakadat!$L$2:$L$50,MATCH(D6,diakadat!$J$2:$J$50,0),1)),"")</f>
        <v/>
      </c>
      <c r="O6" t="str">
        <f>IFERROR(INDEX(diakadat!$R$2:$R$50,MATCH(D6,diakadat!$J$2:$J$50,0),1),"")</f>
        <v/>
      </c>
      <c r="P6" t="str">
        <f>IFERROR(INDEX(diakadat!$AI$2:$AI$50,MATCH(D6,diakadat!$J$2:$J$50,0),1),"")</f>
        <v/>
      </c>
      <c r="Q6">
        <f>IFERROR(INDEX('rangsor'!$C$2:$C$343,MATCH(D6,'rangsor'!$A$2:$A$343,0),1),"")</f>
        <v>0</v>
      </c>
      <c r="T6" t="s">
        <v>831</v>
      </c>
      <c r="U6" t="str" cm="1">
        <f t="array" ref="U6">Határozat(D6)</f>
        <v>nem nyert felvételt</v>
      </c>
      <c r="AC6" t="str">
        <f>IFERROR(INDEX(diakadat!$U$2:$U$50,MATCH(D6,diakadat!$J$2:$J$50),1),"")</f>
        <v>201491</v>
      </c>
      <c r="AD6" t="str">
        <f>IFERROR(INDEX(diakadat!$V$2:$V$50,MATCH(D6,diakadat!$J$2:$J$50),1),"")</f>
        <v xml:space="preserve">Erzsébetvárosi Magyar-Angol Két Tanítási Nyelvű Általános Iskola és Művészeti Szakgimnázium </v>
      </c>
      <c r="AE6" t="str">
        <f>IFERROR(INDEX(diakadat!$W$2:$W$50,MATCH(D6,diakadat!$J$2:$J$50),1),"")</f>
        <v>1073 Budapest VII. kerület, Kertész utca 30.</v>
      </c>
      <c r="AF6">
        <v>1074</v>
      </c>
      <c r="AG6" t="s">
        <v>912</v>
      </c>
      <c r="AH6" t="s">
        <v>1160</v>
      </c>
      <c r="AI6" t="str">
        <f>IFERROR(INDEX(diakadat!$X$2:$X$50,MATCH(D6,diakadat!$J$2:$J$50),1),"")</f>
        <v>harangozohajnalka@erzsebetvarosiiskola.hu</v>
      </c>
      <c r="AJ6">
        <v>337</v>
      </c>
      <c r="AK6">
        <f t="shared" si="0"/>
        <v>17</v>
      </c>
      <c r="AL6" t="str" cm="1">
        <f t="array" ref="AL6">ElsoBetuNagy(R6)</f>
        <v/>
      </c>
      <c r="AM6" t="s">
        <v>742</v>
      </c>
      <c r="AN6" t="s">
        <v>1156</v>
      </c>
      <c r="AO6" t="str" cm="1">
        <f t="array" ref="AO6">DatumSzovegge5(AN6)</f>
        <v>2025.</v>
      </c>
      <c r="AP6" t="str" cm="1">
        <f t="array" ref="AP6">DatumSzovegge3(AN6)</f>
        <v>június</v>
      </c>
      <c r="AQ6" t="str" cm="1">
        <f t="array" ref="AQ6">DatumSzovegge4(AN6)</f>
        <v>26.</v>
      </c>
      <c r="AR6" t="s">
        <v>912</v>
      </c>
    </row>
    <row r="7" spans="2:44" x14ac:dyDescent="0.25">
      <c r="D7" t="str" cm="1">
        <f t="array" ref="D7">SzuressNev($B$1,ROW()-1)</f>
        <v>Hoós Hannaróza</v>
      </c>
      <c r="E7">
        <f>COUNTIF($D$2:D7,D7)</f>
        <v>1</v>
      </c>
      <c r="F7" t="str" cm="1">
        <f t="array" ref="F7">ElutasitasEgyOk2(D7,E7)</f>
        <v/>
      </c>
      <c r="G7" t="str">
        <f>IFERROR(INDEX(diakadat!$I$2:$I$50,MATCH(D7,diakadat!$J$2:$J$50,0),1),"")</f>
        <v/>
      </c>
      <c r="H7" t="str">
        <f>IFERROR(INDEX(diakadat!$O$2:$O$50,MATCH(D7,diakadat!$J$2:$J$50,0),1),"")</f>
        <v/>
      </c>
      <c r="I7" t="str">
        <f>IFERROR(INDEX(diakadat!#REF!,MATCH(D7,diakadat!$J$2:$J$50,0),1),"")</f>
        <v/>
      </c>
      <c r="J7" t="str">
        <f>IFERROR(INDEX(diakadat!$K$2:$K$50,MATCH(D7,diakadat!$J$2:$J$50,0),1),"")</f>
        <v/>
      </c>
      <c r="K7" t="str" cm="1">
        <f t="array" ref="K7">IFERROR(DatumSzovegge2(INDEX(diakadat!$L$2:$L$50,MATCH(D7,diakadat!$J$2:$J$50,0),1)),"")</f>
        <v/>
      </c>
      <c r="L7" t="str" cm="1">
        <f t="array" ref="L7">IFERROR(DatumSzovegge5(INDEX(diakadat!$L$2:$L$50,MATCH(D7,diakadat!$J$2:$J$50,0),1)),"")</f>
        <v/>
      </c>
      <c r="M7" t="str" cm="1">
        <f t="array" ref="M7">IFERROR(DatumSzovegge3(INDEX(diakadat!$L$2:$L$50,MATCH(D7,diakadat!$J$2:$J$50,0),1)),"")</f>
        <v/>
      </c>
      <c r="N7" t="str" cm="1">
        <f t="array" ref="N7">IFERROR(DatumSzovegge4(INDEX(diakadat!$L$2:$L$50,MATCH(D7,diakadat!$J$2:$J$50,0),1)),"")</f>
        <v/>
      </c>
      <c r="O7" t="str">
        <f>IFERROR(INDEX(diakadat!$R$2:$R$50,MATCH(D7,diakadat!$J$2:$J$50,0),1),"")</f>
        <v/>
      </c>
      <c r="P7" t="str">
        <f>IFERROR(INDEX(diakadat!$AI$2:$AI$50,MATCH(D7,diakadat!$J$2:$J$50,0),1),"")</f>
        <v/>
      </c>
      <c r="Q7">
        <f>IFERROR(INDEX('rangsor'!$C$2:$C$343,MATCH(D7,'rangsor'!$A$2:$A$343,0),1),"")</f>
        <v>0</v>
      </c>
      <c r="T7" t="s">
        <v>831</v>
      </c>
      <c r="U7" t="str" cm="1">
        <f t="array" ref="U7">Határozat(D7)</f>
        <v>nem nyert felvételt</v>
      </c>
      <c r="AC7" t="str">
        <f>IFERROR(INDEX(diakadat!$U$2:$U$50,MATCH(D7,diakadat!$J$2:$J$50),1),"")</f>
        <v>201491</v>
      </c>
      <c r="AD7" t="str">
        <f>IFERROR(INDEX(diakadat!$V$2:$V$50,MATCH(D7,diakadat!$J$2:$J$50),1),"")</f>
        <v xml:space="preserve">Erzsébetvárosi Magyar-Angol Két Tanítási Nyelvű Általános Iskola és Művészeti Szakgimnázium </v>
      </c>
      <c r="AE7" t="str">
        <f>IFERROR(INDEX(diakadat!$W$2:$W$50,MATCH(D7,diakadat!$J$2:$J$50),1),"")</f>
        <v>1073 Budapest VII. kerület, Kertész utca 30.</v>
      </c>
      <c r="AF7">
        <v>1036</v>
      </c>
      <c r="AG7" t="s">
        <v>912</v>
      </c>
      <c r="AH7" t="s">
        <v>1161</v>
      </c>
      <c r="AI7" t="str">
        <f>IFERROR(INDEX(diakadat!$X$2:$X$50,MATCH(D7,diakadat!$J$2:$J$50),1),"")</f>
        <v>harangozohajnalka@erzsebetvarosiiskola.hu</v>
      </c>
      <c r="AJ7">
        <v>338</v>
      </c>
      <c r="AK7">
        <f t="shared" si="0"/>
        <v>17</v>
      </c>
      <c r="AL7" t="str" cm="1">
        <f t="array" ref="AL7">ElsoBetuNagy(R7)</f>
        <v/>
      </c>
      <c r="AM7" t="s">
        <v>745</v>
      </c>
      <c r="AN7" t="s">
        <v>1156</v>
      </c>
      <c r="AO7" t="str" cm="1">
        <f t="array" ref="AO7">DatumSzovegge5(AN7)</f>
        <v>2025.</v>
      </c>
      <c r="AP7" t="str" cm="1">
        <f t="array" ref="AP7">DatumSzovegge3(AN7)</f>
        <v>június</v>
      </c>
      <c r="AQ7" t="str" cm="1">
        <f t="array" ref="AQ7">DatumSzovegge4(AN7)</f>
        <v>26.</v>
      </c>
      <c r="AR7" t="s">
        <v>912</v>
      </c>
    </row>
    <row r="8" spans="2:44" x14ac:dyDescent="0.25">
      <c r="D8" t="str" cm="1">
        <f t="array" ref="D8">SzuressNev($B$1,ROW()-1)</f>
        <v>Kakuk Tamás</v>
      </c>
      <c r="E8">
        <f>COUNTIF($D$2:D8,D8)</f>
        <v>1</v>
      </c>
      <c r="F8" t="str" cm="1">
        <f t="array" ref="F8">ElutasitasEgyOk2(D8,E8)</f>
        <v/>
      </c>
      <c r="G8" t="str">
        <f>IFERROR(INDEX(diakadat!$I$2:$I$50,MATCH(D8,diakadat!$J$2:$J$50,0),1),"")</f>
        <v/>
      </c>
      <c r="H8" t="str">
        <f>IFERROR(INDEX(diakadat!$O$2:$O$50,MATCH(D8,diakadat!$J$2:$J$50,0),1),"")</f>
        <v/>
      </c>
      <c r="I8" t="str">
        <f>IFERROR(INDEX(diakadat!#REF!,MATCH(D8,diakadat!$J$2:$J$50,0),1),"")</f>
        <v/>
      </c>
      <c r="J8" t="str">
        <f>IFERROR(INDEX(diakadat!$K$2:$K$50,MATCH(D8,diakadat!$J$2:$J$50,0),1),"")</f>
        <v/>
      </c>
      <c r="K8" t="str" cm="1">
        <f t="array" ref="K8">IFERROR(DatumSzovegge2(INDEX(diakadat!$L$2:$L$50,MATCH(D8,diakadat!$J$2:$J$50,0),1)),"")</f>
        <v/>
      </c>
      <c r="L8" t="str" cm="1">
        <f t="array" ref="L8">IFERROR(DatumSzovegge5(INDEX(diakadat!$L$2:$L$50,MATCH(D8,diakadat!$J$2:$J$50,0),1)),"")</f>
        <v/>
      </c>
      <c r="M8" t="str" cm="1">
        <f t="array" ref="M8">IFERROR(DatumSzovegge3(INDEX(diakadat!$L$2:$L$50,MATCH(D8,diakadat!$J$2:$J$50,0),1)),"")</f>
        <v/>
      </c>
      <c r="N8" t="str" cm="1">
        <f t="array" ref="N8">IFERROR(DatumSzovegge4(INDEX(diakadat!$L$2:$L$50,MATCH(D8,diakadat!$J$2:$J$50,0),1)),"")</f>
        <v/>
      </c>
      <c r="O8" t="str">
        <f>IFERROR(INDEX(diakadat!$R$2:$R$50,MATCH(D8,diakadat!$J$2:$J$50,0),1),"")</f>
        <v/>
      </c>
      <c r="P8" t="str">
        <f>IFERROR(INDEX(diakadat!$AI$2:$AI$50,MATCH(D8,diakadat!$J$2:$J$50,0),1),"")</f>
        <v/>
      </c>
      <c r="Q8">
        <f>IFERROR(INDEX('rangsor'!$C$2:$C$343,MATCH(D8,'rangsor'!$A$2:$A$343,0),1),"")</f>
        <v>0</v>
      </c>
      <c r="T8" t="s">
        <v>831</v>
      </c>
      <c r="U8" t="str" cm="1">
        <f t="array" ref="U8">Határozat(D8)</f>
        <v>nem nyert felvételt</v>
      </c>
      <c r="AC8" t="str">
        <f>IFERROR(INDEX(diakadat!$U$2:$U$50,MATCH(D8,diakadat!$J$2:$J$50),1),"")</f>
        <v>201491</v>
      </c>
      <c r="AD8" t="str">
        <f>IFERROR(INDEX(diakadat!$V$2:$V$50,MATCH(D8,diakadat!$J$2:$J$50),1),"")</f>
        <v xml:space="preserve">Erzsébetvárosi Magyar-Angol Két Tanítási Nyelvű Általános Iskola és Művészeti Szakgimnázium </v>
      </c>
      <c r="AE8" t="str">
        <f>IFERROR(INDEX(diakadat!$W$2:$W$50,MATCH(D8,diakadat!$J$2:$J$50),1),"")</f>
        <v>1073 Budapest VII. kerület, Kertész utca 30.</v>
      </c>
      <c r="AF8">
        <v>2038</v>
      </c>
      <c r="AG8" t="s">
        <v>1162</v>
      </c>
      <c r="AH8" t="s">
        <v>1163</v>
      </c>
      <c r="AI8" t="str">
        <f>IFERROR(INDEX(diakadat!$X$2:$X$50,MATCH(D8,diakadat!$J$2:$J$50),1),"")</f>
        <v>harangozohajnalka@erzsebetvarosiiskola.hu</v>
      </c>
      <c r="AJ8">
        <v>339</v>
      </c>
      <c r="AK8">
        <f t="shared" si="0"/>
        <v>17</v>
      </c>
      <c r="AL8" t="str" cm="1">
        <f t="array" ref="AL8">ElsoBetuNagy(R8)</f>
        <v/>
      </c>
      <c r="AM8" t="s">
        <v>747</v>
      </c>
      <c r="AN8" t="s">
        <v>1156</v>
      </c>
      <c r="AO8" t="str" cm="1">
        <f t="array" ref="AO8">DatumSzovegge5(AN8)</f>
        <v>2025.</v>
      </c>
      <c r="AP8" t="str" cm="1">
        <f t="array" ref="AP8">DatumSzovegge3(AN8)</f>
        <v>június</v>
      </c>
      <c r="AQ8" t="str" cm="1">
        <f t="array" ref="AQ8">DatumSzovegge4(AN8)</f>
        <v>26.</v>
      </c>
      <c r="AR8" t="s">
        <v>912</v>
      </c>
    </row>
    <row r="9" spans="2:44" x14ac:dyDescent="0.25">
      <c r="D9" t="str" cm="1">
        <f t="array" ref="D9">SzuressNev($B$1,ROW()-1)</f>
        <v>Kulcsár Soma</v>
      </c>
      <c r="E9">
        <f>COUNTIF($D$2:D9,D9)</f>
        <v>1</v>
      </c>
      <c r="F9" t="str" cm="1">
        <f t="array" ref="F9">ElutasitasEgyOk2(D9,E9)</f>
        <v/>
      </c>
      <c r="G9" t="str">
        <f>IFERROR(INDEX(diakadat!$I$2:$I$50,MATCH(D9,diakadat!$J$2:$J$50,0),1),"")</f>
        <v/>
      </c>
      <c r="H9" t="str">
        <f>IFERROR(INDEX(diakadat!$O$2:$O$50,MATCH(D9,diakadat!$J$2:$J$50,0),1),"")</f>
        <v/>
      </c>
      <c r="I9" t="str">
        <f>IFERROR(INDEX(diakadat!#REF!,MATCH(D9,diakadat!$J$2:$J$50,0),1),"")</f>
        <v/>
      </c>
      <c r="J9" t="str">
        <f>IFERROR(INDEX(diakadat!$K$2:$K$50,MATCH(D9,diakadat!$J$2:$J$50,0),1),"")</f>
        <v/>
      </c>
      <c r="K9" t="str" cm="1">
        <f t="array" ref="K9">IFERROR(DatumSzovegge2(INDEX(diakadat!$L$2:$L$50,MATCH(D9,diakadat!$J$2:$J$50,0),1)),"")</f>
        <v/>
      </c>
      <c r="L9" t="str" cm="1">
        <f t="array" ref="L9">IFERROR(DatumSzovegge5(INDEX(diakadat!$L$2:$L$50,MATCH(D9,diakadat!$J$2:$J$50,0),1)),"")</f>
        <v/>
      </c>
      <c r="M9" t="str" cm="1">
        <f t="array" ref="M9">IFERROR(DatumSzovegge3(INDEX(diakadat!$L$2:$L$50,MATCH(D9,diakadat!$J$2:$J$50,0),1)),"")</f>
        <v/>
      </c>
      <c r="N9" t="str" cm="1">
        <f t="array" ref="N9">IFERROR(DatumSzovegge4(INDEX(diakadat!$L$2:$L$50,MATCH(D9,diakadat!$J$2:$J$50,0),1)),"")</f>
        <v/>
      </c>
      <c r="O9" t="str">
        <f>IFERROR(INDEX(diakadat!$R$2:$R$50,MATCH(D9,diakadat!$J$2:$J$50,0),1),"")</f>
        <v/>
      </c>
      <c r="P9" t="str">
        <f>IFERROR(INDEX(diakadat!$AI$2:$AI$50,MATCH(D9,diakadat!$J$2:$J$50,0),1),"")</f>
        <v/>
      </c>
      <c r="Q9">
        <f>IFERROR(INDEX('rangsor'!$C$2:$C$343,MATCH(D9,'rangsor'!$A$2:$A$343,0),1),"")</f>
        <v>0</v>
      </c>
      <c r="T9" t="s">
        <v>831</v>
      </c>
      <c r="U9" t="str" cm="1">
        <f t="array" ref="U9">Határozat(D9)</f>
        <v>nem nyert felvételt</v>
      </c>
      <c r="AC9" t="str">
        <f>IFERROR(INDEX(diakadat!$U$2:$U$50,MATCH(D9,diakadat!$J$2:$J$50),1),"")</f>
        <v>201491</v>
      </c>
      <c r="AD9" t="str">
        <f>IFERROR(INDEX(diakadat!$V$2:$V$50,MATCH(D9,diakadat!$J$2:$J$50),1),"")</f>
        <v xml:space="preserve">Erzsébetvárosi Magyar-Angol Két Tanítási Nyelvű Általános Iskola és Művészeti Szakgimnázium </v>
      </c>
      <c r="AE9" t="str">
        <f>IFERROR(INDEX(diakadat!$W$2:$W$50,MATCH(D9,diakadat!$J$2:$J$50),1),"")</f>
        <v>1073 Budapest VII. kerület, Kertész utca 30.</v>
      </c>
      <c r="AF9">
        <v>1031</v>
      </c>
      <c r="AG9" t="s">
        <v>1164</v>
      </c>
      <c r="AH9" t="s">
        <v>1165</v>
      </c>
      <c r="AI9" t="str">
        <f>IFERROR(INDEX(diakadat!$X$2:$X$50,MATCH(D9,diakadat!$J$2:$J$50),1),"")</f>
        <v>harangozohajnalka@erzsebetvarosiiskola.hu</v>
      </c>
      <c r="AJ9">
        <v>340</v>
      </c>
      <c r="AK9">
        <f t="shared" si="0"/>
        <v>17</v>
      </c>
      <c r="AL9" t="str" cm="1">
        <f t="array" ref="AL9">ElsoBetuNagy(R9)</f>
        <v/>
      </c>
      <c r="AM9" t="s">
        <v>758</v>
      </c>
      <c r="AN9" t="s">
        <v>1156</v>
      </c>
      <c r="AO9" t="str" cm="1">
        <f t="array" ref="AO9">DatumSzovegge5(AN9)</f>
        <v>2025.</v>
      </c>
      <c r="AP9" t="str" cm="1">
        <f t="array" ref="AP9">DatumSzovegge3(AN9)</f>
        <v>június</v>
      </c>
      <c r="AQ9" t="str" cm="1">
        <f t="array" ref="AQ9">DatumSzovegge4(AN9)</f>
        <v>26.</v>
      </c>
      <c r="AR9" t="s">
        <v>912</v>
      </c>
    </row>
    <row r="10" spans="2:44" x14ac:dyDescent="0.25">
      <c r="D10" t="str" cm="1">
        <f t="array" ref="D10">SzuressNev($B$1,ROW()-1)</f>
        <v>Lengyel Liza</v>
      </c>
      <c r="E10">
        <f>COUNTIF($D$2:D10,D10)</f>
        <v>1</v>
      </c>
      <c r="F10" t="str" cm="1">
        <f t="array" ref="F10">ElutasitasEgyOk2(D10,E10)</f>
        <v/>
      </c>
      <c r="G10" t="str">
        <f>IFERROR(INDEX(diakadat!$I$2:$I$50,MATCH(D10,diakadat!$J$2:$J$50,0),1),"")</f>
        <v/>
      </c>
      <c r="H10" t="str">
        <f>IFERROR(INDEX(diakadat!$O$2:$O$50,MATCH(D10,diakadat!$J$2:$J$50,0),1),"")</f>
        <v/>
      </c>
      <c r="I10" t="str">
        <f>IFERROR(INDEX(diakadat!#REF!,MATCH(D10,diakadat!$J$2:$J$50,0),1),"")</f>
        <v/>
      </c>
      <c r="J10" t="str">
        <f>IFERROR(INDEX(diakadat!$K$2:$K$50,MATCH(D10,diakadat!$J$2:$J$50,0),1),"")</f>
        <v/>
      </c>
      <c r="K10" t="str" cm="1">
        <f t="array" ref="K10">IFERROR(DatumSzovegge2(INDEX(diakadat!$L$2:$L$50,MATCH(D10,diakadat!$J$2:$J$50,0),1)),"")</f>
        <v/>
      </c>
      <c r="L10" t="str" cm="1">
        <f t="array" ref="L10">IFERROR(DatumSzovegge5(INDEX(diakadat!$L$2:$L$50,MATCH(D10,diakadat!$J$2:$J$50,0),1)),"")</f>
        <v/>
      </c>
      <c r="M10" t="str" cm="1">
        <f t="array" ref="M10">IFERROR(DatumSzovegge3(INDEX(diakadat!$L$2:$L$50,MATCH(D10,diakadat!$J$2:$J$50,0),1)),"")</f>
        <v/>
      </c>
      <c r="N10" t="str" cm="1">
        <f t="array" ref="N10">IFERROR(DatumSzovegge4(INDEX(diakadat!$L$2:$L$50,MATCH(D10,diakadat!$J$2:$J$50,0),1)),"")</f>
        <v/>
      </c>
      <c r="O10" t="str">
        <f>IFERROR(INDEX(diakadat!$R$2:$R$50,MATCH(D10,diakadat!$J$2:$J$50,0),1),"")</f>
        <v/>
      </c>
      <c r="P10" t="str">
        <f>IFERROR(INDEX(diakadat!$AI$2:$AI$50,MATCH(D10,diakadat!$J$2:$J$50,0),1),"")</f>
        <v/>
      </c>
      <c r="Q10">
        <f>IFERROR(INDEX('rangsor'!$C$2:$C$343,MATCH(D10,'rangsor'!$A$2:$A$343,0),1),"")</f>
        <v>0</v>
      </c>
      <c r="T10" t="s">
        <v>831</v>
      </c>
      <c r="U10" t="str" cm="1">
        <f t="array" ref="U10">Határozat(D10)</f>
        <v>nem nyert felvételt</v>
      </c>
      <c r="AC10" t="str">
        <f>IFERROR(INDEX(diakadat!$U$2:$U$50,MATCH(D10,diakadat!$J$2:$J$50),1),"")</f>
        <v>201491</v>
      </c>
      <c r="AD10" t="str">
        <f>IFERROR(INDEX(diakadat!$V$2:$V$50,MATCH(D10,diakadat!$J$2:$J$50),1),"")</f>
        <v xml:space="preserve">Erzsébetvárosi Magyar-Angol Két Tanítási Nyelvű Általános Iskola és Művészeti Szakgimnázium </v>
      </c>
      <c r="AE10" t="str">
        <f>IFERROR(INDEX(diakadat!$W$2:$W$50,MATCH(D10,diakadat!$J$2:$J$50),1),"")</f>
        <v>1073 Budapest VII. kerület, Kertész utca 30.</v>
      </c>
      <c r="AF10">
        <v>1222</v>
      </c>
      <c r="AG10" t="s">
        <v>912</v>
      </c>
      <c r="AH10" t="s">
        <v>1166</v>
      </c>
      <c r="AI10" t="str">
        <f>IFERROR(INDEX(diakadat!$X$2:$X$50,MATCH(D10,diakadat!$J$2:$J$50),1),"")</f>
        <v>harangozohajnalka@erzsebetvarosiiskola.hu</v>
      </c>
      <c r="AJ10">
        <v>341</v>
      </c>
      <c r="AK10">
        <f t="shared" si="0"/>
        <v>17</v>
      </c>
      <c r="AL10" t="str" cm="1">
        <f t="array" ref="AL10">ElsoBetuNagy(R10)</f>
        <v/>
      </c>
      <c r="AM10" t="s">
        <v>766</v>
      </c>
      <c r="AN10" t="s">
        <v>1156</v>
      </c>
      <c r="AO10" t="str" cm="1">
        <f t="array" ref="AO10">DatumSzovegge5(AN10)</f>
        <v>2025.</v>
      </c>
      <c r="AP10" t="str" cm="1">
        <f t="array" ref="AP10">DatumSzovegge3(AN10)</f>
        <v>június</v>
      </c>
      <c r="AQ10" t="str" cm="1">
        <f t="array" ref="AQ10">DatumSzovegge4(AN10)</f>
        <v>26.</v>
      </c>
      <c r="AR10" t="s">
        <v>912</v>
      </c>
    </row>
    <row r="11" spans="2:44" x14ac:dyDescent="0.25">
      <c r="D11" t="str" cm="1">
        <f t="array" ref="D11">SzuressNev($B$1,ROW()-1)</f>
        <v>Liu Xinyi</v>
      </c>
      <c r="E11">
        <f>COUNTIF($D$2:D11,D11)</f>
        <v>1</v>
      </c>
      <c r="F11" t="str" cm="1">
        <f t="array" ref="F11">ElutasitasEgyOk2(D11,E11)</f>
        <v/>
      </c>
      <c r="G11" t="str">
        <f>IFERROR(INDEX(diakadat!$I$2:$I$50,MATCH(D11,diakadat!$J$2:$J$50,0),1),"")</f>
        <v/>
      </c>
      <c r="H11" t="str">
        <f>IFERROR(INDEX(diakadat!$O$2:$O$50,MATCH(D11,diakadat!$J$2:$J$50,0),1),"")</f>
        <v/>
      </c>
      <c r="I11" t="str">
        <f>IFERROR(INDEX(diakadat!#REF!,MATCH(D11,diakadat!$J$2:$J$50,0),1),"")</f>
        <v/>
      </c>
      <c r="J11" t="str">
        <f>IFERROR(INDEX(diakadat!$K$2:$K$50,MATCH(D11,diakadat!$J$2:$J$50,0),1),"")</f>
        <v/>
      </c>
      <c r="K11" t="str" cm="1">
        <f t="array" ref="K11">IFERROR(DatumSzovegge2(INDEX(diakadat!$L$2:$L$50,MATCH(D11,diakadat!$J$2:$J$50,0),1)),"")</f>
        <v/>
      </c>
      <c r="L11" t="str" cm="1">
        <f t="array" ref="L11">IFERROR(DatumSzovegge5(INDEX(diakadat!$L$2:$L$50,MATCH(D11,diakadat!$J$2:$J$50,0),1)),"")</f>
        <v/>
      </c>
      <c r="M11" t="str" cm="1">
        <f t="array" ref="M11">IFERROR(DatumSzovegge3(INDEX(diakadat!$L$2:$L$50,MATCH(D11,diakadat!$J$2:$J$50,0),1)),"")</f>
        <v/>
      </c>
      <c r="N11" t="str" cm="1">
        <f t="array" ref="N11">IFERROR(DatumSzovegge4(INDEX(diakadat!$L$2:$L$50,MATCH(D11,diakadat!$J$2:$J$50,0),1)),"")</f>
        <v/>
      </c>
      <c r="O11" t="str">
        <f>IFERROR(INDEX(diakadat!$R$2:$R$50,MATCH(D11,diakadat!$J$2:$J$50,0),1),"")</f>
        <v/>
      </c>
      <c r="P11" t="str">
        <f>IFERROR(INDEX(diakadat!$AI$2:$AI$50,MATCH(D11,diakadat!$J$2:$J$50,0),1),"")</f>
        <v/>
      </c>
      <c r="Q11">
        <f>IFERROR(INDEX('rangsor'!$C$2:$C$343,MATCH(D11,'rangsor'!$A$2:$A$343,0),1),"")</f>
        <v>0</v>
      </c>
      <c r="T11" t="s">
        <v>831</v>
      </c>
      <c r="U11" t="str" cm="1">
        <f t="array" ref="U11">Határozat(D11)</f>
        <v>nem nyert felvételt</v>
      </c>
      <c r="AC11" t="str">
        <f>IFERROR(INDEX(diakadat!$U$2:$U$50,MATCH(D11,diakadat!$J$2:$J$50),1),"")</f>
        <v>201491</v>
      </c>
      <c r="AD11" t="str">
        <f>IFERROR(INDEX(diakadat!$V$2:$V$50,MATCH(D11,diakadat!$J$2:$J$50),1),"")</f>
        <v xml:space="preserve">Erzsébetvárosi Magyar-Angol Két Tanítási Nyelvű Általános Iskola és Művészeti Szakgimnázium </v>
      </c>
      <c r="AE11" t="str">
        <f>IFERROR(INDEX(diakadat!$W$2:$W$50,MATCH(D11,diakadat!$J$2:$J$50),1),"")</f>
        <v>1073 Budapest VII. kerület, Kertész utca 30.</v>
      </c>
      <c r="AF11">
        <v>1021</v>
      </c>
      <c r="AG11" t="s">
        <v>912</v>
      </c>
      <c r="AH11" t="s">
        <v>1167</v>
      </c>
      <c r="AI11" t="str">
        <f>IFERROR(INDEX(diakadat!$X$2:$X$50,MATCH(D11,diakadat!$J$2:$J$50),1),"")</f>
        <v>harangozohajnalka@erzsebetvarosiiskola.hu</v>
      </c>
      <c r="AJ11">
        <v>342</v>
      </c>
      <c r="AK11">
        <f t="shared" si="0"/>
        <v>17</v>
      </c>
      <c r="AL11" t="str" cm="1">
        <f t="array" ref="AL11">ElsoBetuNagy(R11)</f>
        <v/>
      </c>
      <c r="AM11" t="s">
        <v>771</v>
      </c>
      <c r="AN11" t="s">
        <v>1156</v>
      </c>
      <c r="AO11" t="str" cm="1">
        <f t="array" ref="AO11">DatumSzovegge5(AN11)</f>
        <v>2025.</v>
      </c>
      <c r="AP11" t="str" cm="1">
        <f t="array" ref="AP11">DatumSzovegge3(AN11)</f>
        <v>június</v>
      </c>
      <c r="AQ11" t="str" cm="1">
        <f t="array" ref="AQ11">DatumSzovegge4(AN11)</f>
        <v>26.</v>
      </c>
      <c r="AR11" t="s">
        <v>912</v>
      </c>
    </row>
    <row r="12" spans="2:44" x14ac:dyDescent="0.25">
      <c r="D12" t="str" cm="1">
        <f t="array" ref="D12">SzuressNev($B$1,ROW()-1)</f>
        <v>Molnár-Szabó Marcell</v>
      </c>
      <c r="E12">
        <f>COUNTIF($D$2:D12,D12)</f>
        <v>1</v>
      </c>
      <c r="F12" t="str" cm="1">
        <f t="array" ref="F12">ElutasitasEgyOk2(D12,E12)</f>
        <v/>
      </c>
      <c r="G12" t="str">
        <f>IFERROR(INDEX(diakadat!$I$2:$I$50,MATCH(D12,diakadat!$J$2:$J$50,0),1),"")</f>
        <v/>
      </c>
      <c r="H12" t="str">
        <f>IFERROR(INDEX(diakadat!$O$2:$O$50,MATCH(D12,diakadat!$J$2:$J$50,0),1),"")</f>
        <v/>
      </c>
      <c r="I12" t="str">
        <f>IFERROR(INDEX(diakadat!#REF!,MATCH(D12,diakadat!$J$2:$J$50,0),1),"")</f>
        <v/>
      </c>
      <c r="J12" t="str">
        <f>IFERROR(INDEX(diakadat!$K$2:$K$50,MATCH(D12,diakadat!$J$2:$J$50,0),1),"")</f>
        <v/>
      </c>
      <c r="K12" t="str" cm="1">
        <f t="array" ref="K12">IFERROR(DatumSzovegge2(INDEX(diakadat!$L$2:$L$50,MATCH(D12,diakadat!$J$2:$J$50,0),1)),"")</f>
        <v/>
      </c>
      <c r="L12" t="str" cm="1">
        <f t="array" ref="L12">IFERROR(DatumSzovegge5(INDEX(diakadat!$L$2:$L$50,MATCH(D12,diakadat!$J$2:$J$50,0),1)),"")</f>
        <v/>
      </c>
      <c r="M12" t="str" cm="1">
        <f t="array" ref="M12">IFERROR(DatumSzovegge3(INDEX(diakadat!$L$2:$L$50,MATCH(D12,diakadat!$J$2:$J$50,0),1)),"")</f>
        <v/>
      </c>
      <c r="N12" t="str" cm="1">
        <f t="array" ref="N12">IFERROR(DatumSzovegge4(INDEX(diakadat!$L$2:$L$50,MATCH(D12,diakadat!$J$2:$J$50,0),1)),"")</f>
        <v/>
      </c>
      <c r="O12" t="str">
        <f>IFERROR(INDEX(diakadat!$R$2:$R$50,MATCH(D12,diakadat!$J$2:$J$50,0),1),"")</f>
        <v/>
      </c>
      <c r="P12" t="str">
        <f>IFERROR(INDEX(diakadat!$AI$2:$AI$50,MATCH(D12,diakadat!$J$2:$J$50,0),1),"")</f>
        <v/>
      </c>
      <c r="Q12">
        <f>IFERROR(INDEX('rangsor'!$C$2:$C$343,MATCH(D12,'rangsor'!$A$2:$A$343,0),1),"")</f>
        <v>0</v>
      </c>
      <c r="T12" t="s">
        <v>831</v>
      </c>
      <c r="U12" t="str" cm="1">
        <f t="array" ref="U12">Határozat(D12)</f>
        <v>nem nyert felvételt</v>
      </c>
      <c r="AC12" t="str">
        <f>IFERROR(INDEX(diakadat!$U$2:$U$50,MATCH(D12,diakadat!$J$2:$J$50),1),"")</f>
        <v>201491</v>
      </c>
      <c r="AD12" t="str">
        <f>IFERROR(INDEX(diakadat!$V$2:$V$50,MATCH(D12,diakadat!$J$2:$J$50),1),"")</f>
        <v xml:space="preserve">Erzsébetvárosi Magyar-Angol Két Tanítási Nyelvű Általános Iskola és Művészeti Szakgimnázium </v>
      </c>
      <c r="AE12" t="str">
        <f>IFERROR(INDEX(diakadat!$W$2:$W$50,MATCH(D12,diakadat!$J$2:$J$50),1),"")</f>
        <v>1073 Budapest VII. kerület, Kertész utca 30.</v>
      </c>
      <c r="AF12">
        <v>1092</v>
      </c>
      <c r="AG12" t="s">
        <v>912</v>
      </c>
      <c r="AH12" t="s">
        <v>1168</v>
      </c>
      <c r="AI12" t="str">
        <f>IFERROR(INDEX(diakadat!$X$2:$X$50,MATCH(D12,diakadat!$J$2:$J$50),1),"")</f>
        <v>harangozohajnalka@erzsebetvarosiiskola.hu</v>
      </c>
      <c r="AJ12">
        <v>343</v>
      </c>
      <c r="AK12">
        <f t="shared" si="0"/>
        <v>17</v>
      </c>
      <c r="AL12" t="str" cm="1">
        <f t="array" ref="AL12">ElsoBetuNagy(R12)</f>
        <v/>
      </c>
      <c r="AM12" t="s">
        <v>776</v>
      </c>
      <c r="AN12" t="s">
        <v>1156</v>
      </c>
      <c r="AO12" t="str" cm="1">
        <f t="array" ref="AO12">DatumSzovegge5(AN12)</f>
        <v>2025.</v>
      </c>
      <c r="AP12" t="str" cm="1">
        <f t="array" ref="AP12">DatumSzovegge3(AN12)</f>
        <v>június</v>
      </c>
      <c r="AQ12" t="str" cm="1">
        <f t="array" ref="AQ12">DatumSzovegge4(AN12)</f>
        <v>26.</v>
      </c>
      <c r="AR12" t="s">
        <v>912</v>
      </c>
    </row>
    <row r="13" spans="2:44" x14ac:dyDescent="0.25">
      <c r="D13" t="str" cm="1">
        <f t="array" ref="D13">SzuressNev($B$1,ROW()-1)</f>
        <v>Moravcsik Stella Sára</v>
      </c>
      <c r="E13">
        <f>COUNTIF($D$2:D13,D13)</f>
        <v>1</v>
      </c>
      <c r="F13" t="str" cm="1">
        <f t="array" ref="F13">ElutasitasEgyOk2(D13,E13)</f>
        <v/>
      </c>
      <c r="G13" t="str">
        <f>IFERROR(INDEX(diakadat!$I$2:$I$50,MATCH(D13,diakadat!$J$2:$J$50,0),1),"")</f>
        <v/>
      </c>
      <c r="H13" t="str">
        <f>IFERROR(INDEX(diakadat!$O$2:$O$50,MATCH(D13,diakadat!$J$2:$J$50,0),1),"")</f>
        <v/>
      </c>
      <c r="I13" t="str">
        <f>IFERROR(INDEX(diakadat!#REF!,MATCH(D13,diakadat!$J$2:$J$50,0),1),"")</f>
        <v/>
      </c>
      <c r="J13" t="str">
        <f>IFERROR(INDEX(diakadat!$K$2:$K$50,MATCH(D13,diakadat!$J$2:$J$50,0),1),"")</f>
        <v/>
      </c>
      <c r="K13" t="str" cm="1">
        <f t="array" ref="K13">IFERROR(DatumSzovegge2(INDEX(diakadat!$L$2:$L$50,MATCH(D13,diakadat!$J$2:$J$50,0),1)),"")</f>
        <v/>
      </c>
      <c r="L13" t="str" cm="1">
        <f t="array" ref="L13">IFERROR(DatumSzovegge5(INDEX(diakadat!$L$2:$L$50,MATCH(D13,diakadat!$J$2:$J$50,0),1)),"")</f>
        <v/>
      </c>
      <c r="M13" t="str" cm="1">
        <f t="array" ref="M13">IFERROR(DatumSzovegge3(INDEX(diakadat!$L$2:$L$50,MATCH(D13,diakadat!$J$2:$J$50,0),1)),"")</f>
        <v/>
      </c>
      <c r="N13" t="str" cm="1">
        <f t="array" ref="N13">IFERROR(DatumSzovegge4(INDEX(diakadat!$L$2:$L$50,MATCH(D13,diakadat!$J$2:$J$50,0),1)),"")</f>
        <v/>
      </c>
      <c r="O13" t="str">
        <f>IFERROR(INDEX(diakadat!$R$2:$R$50,MATCH(D13,diakadat!$J$2:$J$50,0),1),"")</f>
        <v/>
      </c>
      <c r="P13" t="str">
        <f>IFERROR(INDEX(diakadat!$AI$2:$AI$50,MATCH(D13,diakadat!$J$2:$J$50,0),1),"")</f>
        <v/>
      </c>
      <c r="Q13">
        <f>IFERROR(INDEX('rangsor'!$C$2:$C$343,MATCH(D13,'rangsor'!$A$2:$A$343,0),1),"")</f>
        <v>0</v>
      </c>
      <c r="T13" t="s">
        <v>831</v>
      </c>
      <c r="U13" t="str" cm="1">
        <f t="array" ref="U13">Határozat(D13)</f>
        <v>nem nyert felvételt</v>
      </c>
      <c r="AC13" t="str">
        <f>IFERROR(INDEX(diakadat!$U$2:$U$50,MATCH(D13,diakadat!$J$2:$J$50),1),"")</f>
        <v>201491</v>
      </c>
      <c r="AD13" t="str">
        <f>IFERROR(INDEX(diakadat!$V$2:$V$50,MATCH(D13,diakadat!$J$2:$J$50),1),"")</f>
        <v xml:space="preserve">Erzsébetvárosi Magyar-Angol Két Tanítási Nyelvű Általános Iskola és Művészeti Szakgimnázium </v>
      </c>
      <c r="AE13" t="str">
        <f>IFERROR(INDEX(diakadat!$W$2:$W$50,MATCH(D13,diakadat!$J$2:$J$50),1),"")</f>
        <v>1073 Budapest VII. kerület, Kertész utca 30.</v>
      </c>
      <c r="AF13">
        <v>2045</v>
      </c>
      <c r="AG13" t="s">
        <v>1169</v>
      </c>
      <c r="AH13" t="s">
        <v>1170</v>
      </c>
      <c r="AI13" t="str">
        <f>IFERROR(INDEX(diakadat!$X$2:$X$50,MATCH(D13,diakadat!$J$2:$J$50),1),"")</f>
        <v>harangozohajnalka@erzsebetvarosiiskola.hu</v>
      </c>
      <c r="AJ13">
        <v>344</v>
      </c>
      <c r="AK13">
        <f t="shared" si="0"/>
        <v>17</v>
      </c>
      <c r="AL13" t="str" cm="1">
        <f t="array" ref="AL13">ElsoBetuNagy(R13)</f>
        <v/>
      </c>
      <c r="AM13" t="s">
        <v>780</v>
      </c>
      <c r="AN13" t="s">
        <v>1156</v>
      </c>
      <c r="AO13" t="str" cm="1">
        <f t="array" ref="AO13">DatumSzovegge5(AN13)</f>
        <v>2025.</v>
      </c>
      <c r="AP13" t="str" cm="1">
        <f t="array" ref="AP13">DatumSzovegge3(AN13)</f>
        <v>június</v>
      </c>
      <c r="AQ13" t="str" cm="1">
        <f t="array" ref="AQ13">DatumSzovegge4(AN13)</f>
        <v>26.</v>
      </c>
      <c r="AR13" t="s">
        <v>912</v>
      </c>
    </row>
    <row r="14" spans="2:44" x14ac:dyDescent="0.25">
      <c r="D14" t="str" cm="1">
        <f t="array" ref="D14">SzuressNev($B$1,ROW()-1)</f>
        <v>Pantner Huba</v>
      </c>
      <c r="E14">
        <f>COUNTIF($D$2:D14,D14)</f>
        <v>1</v>
      </c>
      <c r="F14" t="str" cm="1">
        <f t="array" ref="F14">ElutasitasEgyOk2(D14,E14)</f>
        <v/>
      </c>
      <c r="G14" t="str">
        <f>IFERROR(INDEX(diakadat!$I$2:$I$50,MATCH(D14,diakadat!$J$2:$J$50,0),1),"")</f>
        <v/>
      </c>
      <c r="H14" t="str">
        <f>IFERROR(INDEX(diakadat!$O$2:$O$50,MATCH(D14,diakadat!$J$2:$J$50,0),1),"")</f>
        <v/>
      </c>
      <c r="I14" t="str">
        <f>IFERROR(INDEX(diakadat!#REF!,MATCH(D14,diakadat!$J$2:$J$50,0),1),"")</f>
        <v/>
      </c>
      <c r="J14" t="str">
        <f>IFERROR(INDEX(diakadat!$K$2:$K$50,MATCH(D14,diakadat!$J$2:$J$50,0),1),"")</f>
        <v/>
      </c>
      <c r="K14" t="str" cm="1">
        <f t="array" ref="K14">IFERROR(DatumSzovegge2(INDEX(diakadat!$L$2:$L$50,MATCH(D14,diakadat!$J$2:$J$50,0),1)),"")</f>
        <v/>
      </c>
      <c r="L14" t="str" cm="1">
        <f t="array" ref="L14">IFERROR(DatumSzovegge5(INDEX(diakadat!$L$2:$L$50,MATCH(D14,diakadat!$J$2:$J$50,0),1)),"")</f>
        <v/>
      </c>
      <c r="M14" t="str" cm="1">
        <f t="array" ref="M14">IFERROR(DatumSzovegge3(INDEX(diakadat!$L$2:$L$50,MATCH(D14,diakadat!$J$2:$J$50,0),1)),"")</f>
        <v/>
      </c>
      <c r="N14" t="str" cm="1">
        <f t="array" ref="N14">IFERROR(DatumSzovegge4(INDEX(diakadat!$L$2:$L$50,MATCH(D14,diakadat!$J$2:$J$50,0),1)),"")</f>
        <v/>
      </c>
      <c r="O14" t="str">
        <f>IFERROR(INDEX(diakadat!$R$2:$R$50,MATCH(D14,diakadat!$J$2:$J$50,0),1),"")</f>
        <v/>
      </c>
      <c r="P14" t="str">
        <f>IFERROR(INDEX(diakadat!$AI$2:$AI$50,MATCH(D14,diakadat!$J$2:$J$50,0),1),"")</f>
        <v/>
      </c>
      <c r="Q14">
        <f>IFERROR(INDEX('rangsor'!$C$2:$C$343,MATCH(D14,'rangsor'!$A$2:$A$343,0),1),"")</f>
        <v>0</v>
      </c>
      <c r="T14" t="s">
        <v>831</v>
      </c>
      <c r="U14" t="str" cm="1">
        <f t="array" ref="U14">Határozat(D14)</f>
        <v>nem nyert felvételt</v>
      </c>
      <c r="AC14" t="str">
        <f>IFERROR(INDEX(diakadat!$U$2:$U$50,MATCH(D14,diakadat!$J$2:$J$50),1),"")</f>
        <v>201491</v>
      </c>
      <c r="AD14" t="str">
        <f>IFERROR(INDEX(diakadat!$V$2:$V$50,MATCH(D14,diakadat!$J$2:$J$50),1),"")</f>
        <v xml:space="preserve">Erzsébetvárosi Magyar-Angol Két Tanítási Nyelvű Általános Iskola és Művészeti Szakgimnázium </v>
      </c>
      <c r="AE14" t="str">
        <f>IFERROR(INDEX(diakadat!$W$2:$W$50,MATCH(D14,diakadat!$J$2:$J$50),1),"")</f>
        <v>1073 Budapest VII. kerület, Kertész utca 30.</v>
      </c>
      <c r="AF14">
        <v>2471</v>
      </c>
      <c r="AG14" t="s">
        <v>1171</v>
      </c>
      <c r="AH14" t="s">
        <v>1172</v>
      </c>
      <c r="AI14" t="str">
        <f>IFERROR(INDEX(diakadat!$X$2:$X$50,MATCH(D14,diakadat!$J$2:$J$50),1),"")</f>
        <v>harangozohajnalka@erzsebetvarosiiskola.hu</v>
      </c>
      <c r="AJ14">
        <v>335</v>
      </c>
      <c r="AK14">
        <f t="shared" si="0"/>
        <v>17</v>
      </c>
      <c r="AL14" t="str" cm="1">
        <f t="array" ref="AL14">ElsoBetuNagy(R14)</f>
        <v/>
      </c>
      <c r="AM14" t="s">
        <v>790</v>
      </c>
      <c r="AN14" t="s">
        <v>1156</v>
      </c>
      <c r="AO14" t="str" cm="1">
        <f t="array" ref="AO14">DatumSzovegge5(AN14)</f>
        <v>2025.</v>
      </c>
      <c r="AP14" t="str" cm="1">
        <f t="array" ref="AP14">DatumSzovegge3(AN14)</f>
        <v>június</v>
      </c>
      <c r="AQ14" t="str" cm="1">
        <f t="array" ref="AQ14">DatumSzovegge4(AN14)</f>
        <v>26.</v>
      </c>
      <c r="AR14" t="s">
        <v>912</v>
      </c>
    </row>
    <row r="15" spans="2:44" x14ac:dyDescent="0.25">
      <c r="D15" t="str" cm="1">
        <f t="array" ref="D15">SzuressNev($B$1,ROW()-1)</f>
        <v>Répássy Sebestyén</v>
      </c>
      <c r="E15">
        <f>COUNTIF($D$2:D15,D15)</f>
        <v>1</v>
      </c>
      <c r="F15" t="str" cm="1">
        <f t="array" ref="F15">ElutasitasEgyOk2(D15,E15)</f>
        <v/>
      </c>
      <c r="G15" t="str">
        <f>IFERROR(INDEX(diakadat!$I$2:$I$50,MATCH(D15,diakadat!$J$2:$J$50,0),1),"")</f>
        <v/>
      </c>
      <c r="H15" t="str">
        <f>IFERROR(INDEX(diakadat!$O$2:$O$50,MATCH(D15,diakadat!$J$2:$J$50,0),1),"")</f>
        <v/>
      </c>
      <c r="I15" t="str">
        <f>IFERROR(INDEX(diakadat!#REF!,MATCH(D15,diakadat!$J$2:$J$50,0),1),"")</f>
        <v/>
      </c>
      <c r="J15" t="str">
        <f>IFERROR(INDEX(diakadat!$K$2:$K$50,MATCH(D15,diakadat!$J$2:$J$50,0),1),"")</f>
        <v/>
      </c>
      <c r="K15" t="str" cm="1">
        <f t="array" ref="K15">IFERROR(DatumSzovegge2(INDEX(diakadat!$L$2:$L$50,MATCH(D15,diakadat!$J$2:$J$50,0),1)),"")</f>
        <v/>
      </c>
      <c r="L15" t="str" cm="1">
        <f t="array" ref="L15">IFERROR(DatumSzovegge5(INDEX(diakadat!$L$2:$L$50,MATCH(D15,diakadat!$J$2:$J$50,0),1)),"")</f>
        <v/>
      </c>
      <c r="M15" t="str" cm="1">
        <f t="array" ref="M15">IFERROR(DatumSzovegge3(INDEX(diakadat!$L$2:$L$50,MATCH(D15,diakadat!$J$2:$J$50,0),1)),"")</f>
        <v/>
      </c>
      <c r="N15" t="str" cm="1">
        <f t="array" ref="N15">IFERROR(DatumSzovegge4(INDEX(diakadat!$L$2:$L$50,MATCH(D15,diakadat!$J$2:$J$50,0),1)),"")</f>
        <v/>
      </c>
      <c r="O15" t="str">
        <f>IFERROR(INDEX(diakadat!$R$2:$R$50,MATCH(D15,diakadat!$J$2:$J$50,0),1),"")</f>
        <v/>
      </c>
      <c r="P15" t="str">
        <f>IFERROR(INDEX(diakadat!$AI$2:$AI$50,MATCH(D15,diakadat!$J$2:$J$50,0),1),"")</f>
        <v/>
      </c>
      <c r="Q15">
        <f>IFERROR(INDEX('rangsor'!$C$2:$C$343,MATCH(D15,'rangsor'!$A$2:$A$343,0),1),"")</f>
        <v>0</v>
      </c>
      <c r="T15" t="s">
        <v>831</v>
      </c>
      <c r="U15" t="str" cm="1">
        <f t="array" ref="U15">Határozat(D15)</f>
        <v>nem nyert felvételt</v>
      </c>
      <c r="AC15" t="str">
        <f>IFERROR(INDEX(diakadat!$U$2:$U$50,MATCH(D15,diakadat!$J$2:$J$50),1),"")</f>
        <v>201491</v>
      </c>
      <c r="AD15" t="str">
        <f>IFERROR(INDEX(diakadat!$V$2:$V$50,MATCH(D15,diakadat!$J$2:$J$50),1),"")</f>
        <v xml:space="preserve">Erzsébetvárosi Magyar-Angol Két Tanítási Nyelvű Általános Iskola és Művészeti Szakgimnázium </v>
      </c>
      <c r="AE15" t="str">
        <f>IFERROR(INDEX(diakadat!$W$2:$W$50,MATCH(D15,diakadat!$J$2:$J$50),1),"")</f>
        <v>1073 Budapest VII. kerület, Kertész utca 30.</v>
      </c>
      <c r="AF15">
        <v>1043</v>
      </c>
      <c r="AG15" t="s">
        <v>912</v>
      </c>
      <c r="AH15" t="s">
        <v>1173</v>
      </c>
      <c r="AI15" t="str">
        <f>IFERROR(INDEX(diakadat!$X$2:$X$50,MATCH(D15,diakadat!$J$2:$J$50),1),"")</f>
        <v>harangozohajnalka@erzsebetvarosiiskola.hu</v>
      </c>
      <c r="AJ15">
        <v>345</v>
      </c>
      <c r="AK15">
        <f t="shared" si="0"/>
        <v>17</v>
      </c>
      <c r="AL15" t="str" cm="1">
        <f t="array" ref="AL15">ElsoBetuNagy(R15)</f>
        <v/>
      </c>
      <c r="AM15" t="s">
        <v>805</v>
      </c>
      <c r="AN15" t="s">
        <v>1156</v>
      </c>
      <c r="AO15" t="str" cm="1">
        <f t="array" ref="AO15">DatumSzovegge5(AN15)</f>
        <v>2025.</v>
      </c>
      <c r="AP15" t="str" cm="1">
        <f t="array" ref="AP15">DatumSzovegge3(AN15)</f>
        <v>június</v>
      </c>
      <c r="AQ15" t="str" cm="1">
        <f t="array" ref="AQ15">DatumSzovegge4(AN15)</f>
        <v>26.</v>
      </c>
      <c r="AR15" t="s">
        <v>912</v>
      </c>
    </row>
    <row r="16" spans="2:44" x14ac:dyDescent="0.25">
      <c r="D16" t="str" cm="1">
        <f t="array" ref="D16">SzuressNev($B$1,ROW()-1)</f>
        <v>Richter Oliver Kahu</v>
      </c>
      <c r="E16">
        <f>COUNTIF($D$2:D16,D16)</f>
        <v>1</v>
      </c>
      <c r="F16" t="str" cm="1">
        <f t="array" ref="F16">ElutasitasEgyOk2(D16,E16)</f>
        <v/>
      </c>
      <c r="G16" t="str">
        <f>IFERROR(INDEX(diakadat!$I$2:$I$50,MATCH(D16,diakadat!$J$2:$J$50,0),1),"")</f>
        <v/>
      </c>
      <c r="H16" t="str">
        <f>IFERROR(INDEX(diakadat!$O$2:$O$50,MATCH(D16,diakadat!$J$2:$J$50,0),1),"")</f>
        <v/>
      </c>
      <c r="I16" t="str">
        <f>IFERROR(INDEX(diakadat!#REF!,MATCH(D16,diakadat!$J$2:$J$50,0),1),"")</f>
        <v/>
      </c>
      <c r="J16" t="str">
        <f>IFERROR(INDEX(diakadat!$K$2:$K$50,MATCH(D16,diakadat!$J$2:$J$50,0),1),"")</f>
        <v/>
      </c>
      <c r="K16" t="str" cm="1">
        <f t="array" ref="K16">IFERROR(DatumSzovegge2(INDEX(diakadat!$L$2:$L$50,MATCH(D16,diakadat!$J$2:$J$50,0),1)),"")</f>
        <v/>
      </c>
      <c r="L16" t="str" cm="1">
        <f t="array" ref="L16">IFERROR(DatumSzovegge5(INDEX(diakadat!$L$2:$L$50,MATCH(D16,diakadat!$J$2:$J$50,0),1)),"")</f>
        <v/>
      </c>
      <c r="M16" t="str" cm="1">
        <f t="array" ref="M16">IFERROR(DatumSzovegge3(INDEX(diakadat!$L$2:$L$50,MATCH(D16,diakadat!$J$2:$J$50,0),1)),"")</f>
        <v/>
      </c>
      <c r="N16" t="str" cm="1">
        <f t="array" ref="N16">IFERROR(DatumSzovegge4(INDEX(diakadat!$L$2:$L$50,MATCH(D16,diakadat!$J$2:$J$50,0),1)),"")</f>
        <v/>
      </c>
      <c r="O16" t="str">
        <f>IFERROR(INDEX(diakadat!$R$2:$R$50,MATCH(D16,diakadat!$J$2:$J$50,0),1),"")</f>
        <v/>
      </c>
      <c r="P16" t="str">
        <f>IFERROR(INDEX(diakadat!$AI$2:$AI$50,MATCH(D16,diakadat!$J$2:$J$50,0),1),"")</f>
        <v/>
      </c>
      <c r="Q16">
        <f>IFERROR(INDEX('rangsor'!$C$2:$C$343,MATCH(D16,'rangsor'!$A$2:$A$343,0),1),"")</f>
        <v>0</v>
      </c>
      <c r="T16" t="s">
        <v>831</v>
      </c>
      <c r="U16" t="str" cm="1">
        <f t="array" ref="U16">Határozat(D16)</f>
        <v>nem nyert felvételt</v>
      </c>
      <c r="AC16" t="str">
        <f>IFERROR(INDEX(diakadat!$U$2:$U$50,MATCH(D16,diakadat!$J$2:$J$50),1),"")</f>
        <v>201491</v>
      </c>
      <c r="AD16" t="str">
        <f>IFERROR(INDEX(diakadat!$V$2:$V$50,MATCH(D16,diakadat!$J$2:$J$50),1),"")</f>
        <v xml:space="preserve">Erzsébetvárosi Magyar-Angol Két Tanítási Nyelvű Általános Iskola és Művészeti Szakgimnázium </v>
      </c>
      <c r="AE16" t="str">
        <f>IFERROR(INDEX(diakadat!$W$2:$W$50,MATCH(D16,diakadat!$J$2:$J$50),1),"")</f>
        <v>1073 Budapest VII. kerület, Kertész utca 30.</v>
      </c>
      <c r="AF16">
        <v>1119</v>
      </c>
      <c r="AG16" t="s">
        <v>912</v>
      </c>
      <c r="AH16" t="s">
        <v>1174</v>
      </c>
      <c r="AI16" t="str">
        <f>IFERROR(INDEX(diakadat!$X$2:$X$50,MATCH(D16,diakadat!$J$2:$J$50),1),"")</f>
        <v>harangozohajnalka@erzsebetvarosiiskola.hu</v>
      </c>
      <c r="AJ16">
        <v>346</v>
      </c>
      <c r="AK16">
        <f t="shared" si="0"/>
        <v>17</v>
      </c>
      <c r="AL16" t="str" cm="1">
        <f t="array" ref="AL16">ElsoBetuNagy(R16)</f>
        <v/>
      </c>
      <c r="AM16" t="s">
        <v>810</v>
      </c>
      <c r="AN16" t="s">
        <v>1156</v>
      </c>
      <c r="AO16" t="str" cm="1">
        <f t="array" ref="AO16">DatumSzovegge5(AN16)</f>
        <v>2025.</v>
      </c>
      <c r="AP16" t="str" cm="1">
        <f t="array" ref="AP16">DatumSzovegge3(AN16)</f>
        <v>június</v>
      </c>
      <c r="AQ16" t="str" cm="1">
        <f t="array" ref="AQ16">DatumSzovegge4(AN16)</f>
        <v>26.</v>
      </c>
      <c r="AR16" t="s">
        <v>912</v>
      </c>
    </row>
    <row r="17" spans="4:44" x14ac:dyDescent="0.25">
      <c r="D17" t="str" cm="1">
        <f t="array" ref="D17">SzuressNev($B$1,ROW()-1)</f>
        <v>Tölgyesi Bíborka</v>
      </c>
      <c r="E17">
        <f>COUNTIF($D$2:D17,D17)</f>
        <v>1</v>
      </c>
      <c r="F17" t="str" cm="1">
        <f t="array" ref="F17">ElutasitasEgyOk2(D17,E17)</f>
        <v/>
      </c>
      <c r="G17" t="str">
        <f>IFERROR(INDEX(diakadat!$I$2:$I$50,MATCH(D17,diakadat!$J$2:$J$50,0),1),"")</f>
        <v/>
      </c>
      <c r="H17" t="str">
        <f>IFERROR(INDEX(diakadat!$O$2:$O$50,MATCH(D17,diakadat!$J$2:$J$50,0),1),"")</f>
        <v/>
      </c>
      <c r="I17" t="str">
        <f>IFERROR(INDEX(diakadat!#REF!,MATCH(D17,diakadat!$J$2:$J$50,0),1),"")</f>
        <v/>
      </c>
      <c r="J17" t="str">
        <f>IFERROR(INDEX(diakadat!$K$2:$K$50,MATCH(D17,diakadat!$J$2:$J$50,0),1),"")</f>
        <v/>
      </c>
      <c r="K17" t="str" cm="1">
        <f t="array" ref="K17">IFERROR(DatumSzovegge2(INDEX(diakadat!$L$2:$L$50,MATCH(D17,diakadat!$J$2:$J$50,0),1)),"")</f>
        <v/>
      </c>
      <c r="L17" t="str" cm="1">
        <f t="array" ref="L17">IFERROR(DatumSzovegge5(INDEX(diakadat!$L$2:$L$50,MATCH(D17,diakadat!$J$2:$J$50,0),1)),"")</f>
        <v/>
      </c>
      <c r="M17" t="str" cm="1">
        <f t="array" ref="M17">IFERROR(DatumSzovegge3(INDEX(diakadat!$L$2:$L$50,MATCH(D17,diakadat!$J$2:$J$50,0),1)),"")</f>
        <v/>
      </c>
      <c r="N17" t="str" cm="1">
        <f t="array" ref="N17">IFERROR(DatumSzovegge4(INDEX(diakadat!$L$2:$L$50,MATCH(D17,diakadat!$J$2:$J$50,0),1)),"")</f>
        <v/>
      </c>
      <c r="O17" t="str">
        <f>IFERROR(INDEX(diakadat!$R$2:$R$50,MATCH(D17,diakadat!$J$2:$J$50,0),1),"")</f>
        <v/>
      </c>
      <c r="P17" t="str">
        <f>IFERROR(INDEX(diakadat!$AI$2:$AI$50,MATCH(D17,diakadat!$J$2:$J$50,0),1),"")</f>
        <v/>
      </c>
      <c r="Q17">
        <f>IFERROR(INDEX('rangsor'!$C$2:$C$343,MATCH(D17,'rangsor'!$A$2:$A$343,0),1),"")</f>
        <v>0</v>
      </c>
      <c r="T17" t="s">
        <v>831</v>
      </c>
      <c r="U17" t="str" cm="1">
        <f t="array" ref="U17">Határozat(D17)</f>
        <v>nem nyert felvételt</v>
      </c>
      <c r="AC17" t="str">
        <f>IFERROR(INDEX(diakadat!$U$2:$U$50,MATCH(D17,diakadat!$J$2:$J$50),1),"")</f>
        <v>201491</v>
      </c>
      <c r="AD17" t="str">
        <f>IFERROR(INDEX(diakadat!$V$2:$V$50,MATCH(D17,diakadat!$J$2:$J$50),1),"")</f>
        <v xml:space="preserve">Erzsébetvárosi Magyar-Angol Két Tanítási Nyelvű Általános Iskola és Művészeti Szakgimnázium </v>
      </c>
      <c r="AE17" t="str">
        <f>IFERROR(INDEX(diakadat!$W$2:$W$50,MATCH(D17,diakadat!$J$2:$J$50),1),"")</f>
        <v>1073 Budapest VII. kerület, Kertész utca 30.</v>
      </c>
      <c r="AF17">
        <v>1119</v>
      </c>
      <c r="AG17" t="s">
        <v>912</v>
      </c>
      <c r="AH17" t="s">
        <v>1175</v>
      </c>
      <c r="AI17" t="str">
        <f>IFERROR(INDEX(diakadat!$X$2:$X$50,MATCH(D17,diakadat!$J$2:$J$50),1),"")</f>
        <v>harangozohajnalka@erzsebetvarosiiskola.hu</v>
      </c>
      <c r="AJ17">
        <v>341</v>
      </c>
      <c r="AK17">
        <f t="shared" si="0"/>
        <v>17</v>
      </c>
      <c r="AL17" t="str" cm="1">
        <f t="array" ref="AL17">ElsoBetuNagy(R17)</f>
        <v/>
      </c>
      <c r="AM17" t="s">
        <v>822</v>
      </c>
      <c r="AN17" t="s">
        <v>1156</v>
      </c>
      <c r="AO17" t="str" cm="1">
        <f t="array" ref="AO17">DatumSzovegge5(AN17)</f>
        <v>2025.</v>
      </c>
      <c r="AP17" t="str" cm="1">
        <f t="array" ref="AP17">DatumSzovegge3(AN17)</f>
        <v>június</v>
      </c>
      <c r="AQ17" t="str" cm="1">
        <f t="array" ref="AQ17">DatumSzovegge4(AN17)</f>
        <v>26.</v>
      </c>
      <c r="AR17" t="s">
        <v>912</v>
      </c>
    </row>
    <row r="18" spans="4:44" x14ac:dyDescent="0.25">
      <c r="D18" t="str" cm="1">
        <f t="array" ref="D18">SzuressNev($B$1,ROW()-1)</f>
        <v>Tudlik Domán Bendegúz</v>
      </c>
      <c r="E18">
        <f>COUNTIF($D$2:D18,D18)</f>
        <v>1</v>
      </c>
      <c r="F18" t="str" cm="1">
        <f t="array" ref="F18">ElutasitasEgyOk2(D18,E18)</f>
        <v/>
      </c>
      <c r="G18" t="str">
        <f>IFERROR(INDEX(diakadat!$I$2:$I$50,MATCH(D18,diakadat!$J$2:$J$50,0),1),"")</f>
        <v/>
      </c>
      <c r="H18" t="str">
        <f>IFERROR(INDEX(diakadat!$O$2:$O$50,MATCH(D18,diakadat!$J$2:$J$50,0),1),"")</f>
        <v/>
      </c>
      <c r="I18" t="str">
        <f>IFERROR(INDEX(diakadat!#REF!,MATCH(D18,diakadat!$J$2:$J$50,0),1),"")</f>
        <v/>
      </c>
      <c r="J18" t="str">
        <f>IFERROR(INDEX(diakadat!$K$2:$K$50,MATCH(D18,diakadat!$J$2:$J$50,0),1),"")</f>
        <v/>
      </c>
      <c r="K18" t="str" cm="1">
        <f t="array" ref="K18">IFERROR(DatumSzovegge2(INDEX(diakadat!$L$2:$L$50,MATCH(D18,diakadat!$J$2:$J$50,0),1)),"")</f>
        <v/>
      </c>
      <c r="L18" t="str" cm="1">
        <f t="array" ref="L18">IFERROR(DatumSzovegge5(INDEX(diakadat!$L$2:$L$50,MATCH(D18,diakadat!$J$2:$J$50,0),1)),"")</f>
        <v/>
      </c>
      <c r="M18" t="str" cm="1">
        <f t="array" ref="M18">IFERROR(DatumSzovegge3(INDEX(diakadat!$L$2:$L$50,MATCH(D18,diakadat!$J$2:$J$50,0),1)),"")</f>
        <v/>
      </c>
      <c r="N18" t="str" cm="1">
        <f t="array" ref="N18">IFERROR(DatumSzovegge4(INDEX(diakadat!$L$2:$L$50,MATCH(D18,diakadat!$J$2:$J$50,0),1)),"")</f>
        <v/>
      </c>
      <c r="O18" t="str">
        <f>IFERROR(INDEX(diakadat!$R$2:$R$50,MATCH(D18,diakadat!$J$2:$J$50,0),1),"")</f>
        <v/>
      </c>
      <c r="P18" t="str">
        <f>IFERROR(INDEX(diakadat!$AI$2:$AI$50,MATCH(D18,diakadat!$J$2:$J$50,0),1),"")</f>
        <v/>
      </c>
      <c r="Q18">
        <f>IFERROR(INDEX('rangsor'!$C$2:$C$343,MATCH(D18,'rangsor'!$A$2:$A$343,0),1),"")</f>
        <v>0</v>
      </c>
      <c r="T18" t="s">
        <v>831</v>
      </c>
      <c r="U18" t="str" cm="1">
        <f t="array" ref="U18">Határozat(D18)</f>
        <v>nem nyert felvételt</v>
      </c>
      <c r="AC18" t="str">
        <f>IFERROR(INDEX(diakadat!$U$2:$U$50,MATCH(D18,diakadat!$J$2:$J$50),1),"")</f>
        <v>201491</v>
      </c>
      <c r="AD18" t="str">
        <f>IFERROR(INDEX(diakadat!$V$2:$V$50,MATCH(D18,diakadat!$J$2:$J$50),1),"")</f>
        <v xml:space="preserve">Erzsébetvárosi Magyar-Angol Két Tanítási Nyelvű Általános Iskola és Művészeti Szakgimnázium </v>
      </c>
      <c r="AE18" t="str">
        <f>IFERROR(INDEX(diakadat!$W$2:$W$50,MATCH(D18,diakadat!$J$2:$J$50),1),"")</f>
        <v>1073 Budapest VII. kerület, Kertész utca 30.</v>
      </c>
      <c r="AF18">
        <v>2051</v>
      </c>
      <c r="AG18" t="s">
        <v>1176</v>
      </c>
      <c r="AH18" t="s">
        <v>1177</v>
      </c>
      <c r="AI18" t="str">
        <f>IFERROR(INDEX(diakadat!$X$2:$X$50,MATCH(D18,diakadat!$J$2:$J$50),1),"")</f>
        <v>harangozohajnalka@erzsebetvarosiiskola.hu</v>
      </c>
      <c r="AJ18">
        <v>347</v>
      </c>
      <c r="AK18">
        <f t="shared" si="0"/>
        <v>17</v>
      </c>
      <c r="AL18" t="str" cm="1">
        <f t="array" ref="AL18">ElsoBetuNagy(R18)</f>
        <v/>
      </c>
      <c r="AM18" t="s">
        <v>832</v>
      </c>
      <c r="AN18" t="s">
        <v>1156</v>
      </c>
      <c r="AO18" t="str" cm="1">
        <f t="array" ref="AO18">DatumSzovegge5(AN18)</f>
        <v>2025.</v>
      </c>
      <c r="AP18" t="str" cm="1">
        <f t="array" ref="AP18">DatumSzovegge3(AN18)</f>
        <v>június</v>
      </c>
      <c r="AQ18" t="str" cm="1">
        <f t="array" ref="AQ18">DatumSzovegge4(AN18)</f>
        <v>26.</v>
      </c>
      <c r="AR18" t="s">
        <v>912</v>
      </c>
    </row>
    <row r="19" spans="4:44" x14ac:dyDescent="0.25">
      <c r="D19" t="str" cm="1">
        <f t="array" ref="D19">SzuressNev($B$1,ROW()-1)</f>
        <v>Tuli Balázs Péter</v>
      </c>
      <c r="E19">
        <f>COUNTIF($D$2:D19,D19)</f>
        <v>1</v>
      </c>
      <c r="F19" t="str" cm="1">
        <f t="array" ref="F19">ElutasitasEgyOk2(D19,E19)</f>
        <v/>
      </c>
      <c r="G19" t="str">
        <f>IFERROR(INDEX(diakadat!$I$2:$I$50,MATCH(D19,diakadat!$J$2:$J$50,0),1),"")</f>
        <v/>
      </c>
      <c r="H19" t="str">
        <f>IFERROR(INDEX(diakadat!$O$2:$O$50,MATCH(D19,diakadat!$J$2:$J$50,0),1),"")</f>
        <v/>
      </c>
      <c r="I19" t="str">
        <f>IFERROR(INDEX(diakadat!#REF!,MATCH(D19,diakadat!$J$2:$J$50,0),1),"")</f>
        <v/>
      </c>
      <c r="J19" t="str">
        <f>IFERROR(INDEX(diakadat!$K$2:$K$50,MATCH(D19,diakadat!$J$2:$J$50,0),1),"")</f>
        <v/>
      </c>
      <c r="K19" t="str" cm="1">
        <f t="array" ref="K19">IFERROR(DatumSzovegge2(INDEX(diakadat!$L$2:$L$50,MATCH(D19,diakadat!$J$2:$J$50,0),1)),"")</f>
        <v/>
      </c>
      <c r="L19" t="str" cm="1">
        <f t="array" ref="L19">IFERROR(DatumSzovegge5(INDEX(diakadat!$L$2:$L$50,MATCH(D19,diakadat!$J$2:$J$50,0),1)),"")</f>
        <v/>
      </c>
      <c r="M19" t="str" cm="1">
        <f t="array" ref="M19">IFERROR(DatumSzovegge3(INDEX(diakadat!$L$2:$L$50,MATCH(D19,diakadat!$J$2:$J$50,0),1)),"")</f>
        <v/>
      </c>
      <c r="N19" t="str" cm="1">
        <f t="array" ref="N19">IFERROR(DatumSzovegge4(INDEX(diakadat!$L$2:$L$50,MATCH(D19,diakadat!$J$2:$J$50,0),1)),"")</f>
        <v/>
      </c>
      <c r="O19" t="str">
        <f>IFERROR(INDEX(diakadat!$R$2:$R$50,MATCH(D19,diakadat!$J$2:$J$50,0),1),"")</f>
        <v/>
      </c>
      <c r="P19" t="str">
        <f>IFERROR(INDEX(diakadat!$AI$2:$AI$50,MATCH(D19,diakadat!$J$2:$J$50,0),1),"")</f>
        <v/>
      </c>
      <c r="Q19">
        <f>IFERROR(INDEX('rangsor'!$C$2:$C$343,MATCH(D19,'rangsor'!$A$2:$A$343,0),1),"")</f>
        <v>0</v>
      </c>
      <c r="T19" t="s">
        <v>831</v>
      </c>
      <c r="U19" t="str" cm="1">
        <f t="array" ref="U19">Határozat(D19)</f>
        <v>nem nyert felvételt</v>
      </c>
      <c r="AC19" t="str">
        <f>IFERROR(INDEX(diakadat!$U$2:$U$50,MATCH(D19,diakadat!$J$2:$J$50),1),"")</f>
        <v>201491</v>
      </c>
      <c r="AD19" t="str">
        <f>IFERROR(INDEX(diakadat!$V$2:$V$50,MATCH(D19,diakadat!$J$2:$J$50),1),"")</f>
        <v xml:space="preserve">Erzsébetvárosi Magyar-Angol Két Tanítási Nyelvű Általános Iskola és Művészeti Szakgimnázium </v>
      </c>
      <c r="AE19" t="str">
        <f>IFERROR(INDEX(diakadat!$W$2:$W$50,MATCH(D19,diakadat!$J$2:$J$50),1),"")</f>
        <v>1073 Budapest VII. kerület, Kertész utca 30.</v>
      </c>
      <c r="AF19">
        <v>2040</v>
      </c>
      <c r="AG19" t="s">
        <v>1178</v>
      </c>
      <c r="AH19" t="s">
        <v>1179</v>
      </c>
      <c r="AI19" t="str">
        <f>IFERROR(INDEX(diakadat!$X$2:$X$50,MATCH(D19,diakadat!$J$2:$J$50),1),"")</f>
        <v>harangozohajnalka@erzsebetvarosiiskola.hu</v>
      </c>
      <c r="AJ19">
        <v>348</v>
      </c>
      <c r="AK19">
        <f t="shared" si="0"/>
        <v>17</v>
      </c>
      <c r="AL19" t="str" cm="1">
        <f t="array" ref="AL19">ElsoBetuNagy(R19)</f>
        <v/>
      </c>
      <c r="AM19" t="s">
        <v>836</v>
      </c>
      <c r="AN19" t="s">
        <v>1156</v>
      </c>
      <c r="AO19" t="str" cm="1">
        <f t="array" ref="AO19">DatumSzovegge5(AN19)</f>
        <v>2025.</v>
      </c>
      <c r="AP19" t="str" cm="1">
        <f t="array" ref="AP19">DatumSzovegge3(AN19)</f>
        <v>június</v>
      </c>
      <c r="AQ19" t="str" cm="1">
        <f t="array" ref="AQ19">DatumSzovegge4(AN19)</f>
        <v>26.</v>
      </c>
      <c r="AR19" t="s">
        <v>912</v>
      </c>
    </row>
    <row r="20" spans="4:44" x14ac:dyDescent="0.25">
      <c r="D20" t="str" cm="1">
        <f t="array" ref="D20">SzuressNev($B$1,ROW()-1)</f>
        <v>Vincze Patrik</v>
      </c>
      <c r="E20">
        <f>COUNTIF($D$2:D20,D20)</f>
        <v>1</v>
      </c>
      <c r="F20" t="str" cm="1">
        <f t="array" ref="F20">ElutasitasEgyOk2(D20,E20)</f>
        <v/>
      </c>
      <c r="G20" t="str">
        <f>IFERROR(INDEX(diakadat!$I$2:$I$50,MATCH(D20,diakadat!$J$2:$J$50,0),1),"")</f>
        <v/>
      </c>
      <c r="H20" t="str">
        <f>IFERROR(INDEX(diakadat!$O$2:$O$50,MATCH(D20,diakadat!$J$2:$J$50,0),1),"")</f>
        <v/>
      </c>
      <c r="I20" t="str">
        <f>IFERROR(INDEX(diakadat!#REF!,MATCH(D20,diakadat!$J$2:$J$50,0),1),"")</f>
        <v/>
      </c>
      <c r="J20" t="str">
        <f>IFERROR(INDEX(diakadat!$K$2:$K$50,MATCH(D20,diakadat!$J$2:$J$50,0),1),"")</f>
        <v/>
      </c>
      <c r="K20" t="str" cm="1">
        <f t="array" ref="K20">IFERROR(DatumSzovegge2(INDEX(diakadat!$L$2:$L$50,MATCH(D20,diakadat!$J$2:$J$50,0),1)),"")</f>
        <v/>
      </c>
      <c r="L20" t="str" cm="1">
        <f t="array" ref="L20">IFERROR(DatumSzovegge5(INDEX(diakadat!$L$2:$L$50,MATCH(D20,diakadat!$J$2:$J$50,0),1)),"")</f>
        <v/>
      </c>
      <c r="M20" t="str" cm="1">
        <f t="array" ref="M20">IFERROR(DatumSzovegge3(INDEX(diakadat!$L$2:$L$50,MATCH(D20,diakadat!$J$2:$J$50,0),1)),"")</f>
        <v/>
      </c>
      <c r="N20" t="str" cm="1">
        <f t="array" ref="N20">IFERROR(DatumSzovegge4(INDEX(diakadat!$L$2:$L$50,MATCH(D20,diakadat!$J$2:$J$50,0),1)),"")</f>
        <v/>
      </c>
      <c r="O20" t="str">
        <f>IFERROR(INDEX(diakadat!$R$2:$R$50,MATCH(D20,diakadat!$J$2:$J$50,0),1),"")</f>
        <v/>
      </c>
      <c r="P20" t="str">
        <f>IFERROR(INDEX(diakadat!$AI$2:$AI$50,MATCH(D20,diakadat!$J$2:$J$50,0),1),"")</f>
        <v/>
      </c>
      <c r="Q20">
        <f>IFERROR(INDEX('rangsor'!$C$2:$C$343,MATCH(D20,'rangsor'!$A$2:$A$343,0),1),"")</f>
        <v>0</v>
      </c>
      <c r="T20" t="s">
        <v>831</v>
      </c>
      <c r="U20" t="str" cm="1">
        <f t="array" ref="U20">Határozat(D20)</f>
        <v>nem nyert felvételt</v>
      </c>
      <c r="AC20" t="str">
        <f>IFERROR(INDEX(diakadat!$U$2:$U$50,MATCH(D20,diakadat!$J$2:$J$50),1),"")</f>
        <v>201491</v>
      </c>
      <c r="AD20" t="str">
        <f>IFERROR(INDEX(diakadat!$V$2:$V$50,MATCH(D20,diakadat!$J$2:$J$50),1),"")</f>
        <v xml:space="preserve">Erzsébetvárosi Magyar-Angol Két Tanítási Nyelvű Általános Iskola és Művészeti Szakgimnázium </v>
      </c>
      <c r="AE20" t="str">
        <f>IFERROR(INDEX(diakadat!$W$2:$W$50,MATCH(D20,diakadat!$J$2:$J$50),1),"")</f>
        <v>1073 Budapest VII. kerület, Kertész utca 30.</v>
      </c>
      <c r="AF20">
        <v>2071</v>
      </c>
      <c r="AG20" t="s">
        <v>1180</v>
      </c>
      <c r="AH20" t="s">
        <v>1181</v>
      </c>
      <c r="AI20" t="str">
        <f>IFERROR(INDEX(diakadat!$X$2:$X$50,MATCH(D20,diakadat!$J$2:$J$50),1),"")</f>
        <v>harangozohajnalka@erzsebetvarosiiskola.hu</v>
      </c>
      <c r="AJ20">
        <v>349</v>
      </c>
      <c r="AK20">
        <f t="shared" si="0"/>
        <v>17</v>
      </c>
      <c r="AL20" t="str" cm="1">
        <f t="array" ref="AL20">ElsoBetuNagy(R20)</f>
        <v/>
      </c>
      <c r="AM20" t="s">
        <v>841</v>
      </c>
      <c r="AN20" t="s">
        <v>1156</v>
      </c>
      <c r="AO20" t="str" cm="1">
        <f t="array" ref="AO20">DatumSzovegge5(AN20)</f>
        <v>2025.</v>
      </c>
      <c r="AP20" t="str" cm="1">
        <f t="array" ref="AP20">DatumSzovegge3(AN20)</f>
        <v>június</v>
      </c>
      <c r="AQ20" t="str" cm="1">
        <f t="array" ref="AQ20">DatumSzovegge4(AN20)</f>
        <v>26.</v>
      </c>
      <c r="AR20" t="s">
        <v>912</v>
      </c>
    </row>
    <row r="21" spans="4:44" x14ac:dyDescent="0.25">
      <c r="D21" t="str" cm="1">
        <f t="array" ref="D21">SzuressNev($B$1,ROW()-1)</f>
        <v>Zseli Áron</v>
      </c>
      <c r="E21">
        <f>COUNTIF($D$2:D21,D21)</f>
        <v>1</v>
      </c>
      <c r="F21" t="str" cm="1">
        <f t="array" ref="F21">ElutasitasEgyOk2(D21,E21)</f>
        <v/>
      </c>
      <c r="G21" t="str">
        <f>IFERROR(INDEX(diakadat!$I$2:$I$50,MATCH(D21,diakadat!$J$2:$J$50,0),1),"")</f>
        <v/>
      </c>
      <c r="H21" t="str">
        <f>IFERROR(INDEX(diakadat!$O$2:$O$50,MATCH(D21,diakadat!$J$2:$J$50,0),1),"")</f>
        <v/>
      </c>
      <c r="I21" t="str">
        <f>IFERROR(INDEX(diakadat!#REF!,MATCH(D21,diakadat!$J$2:$J$50,0),1),"")</f>
        <v/>
      </c>
      <c r="J21" t="str">
        <f>IFERROR(INDEX(diakadat!$K$2:$K$50,MATCH(D21,diakadat!$J$2:$J$50,0),1),"")</f>
        <v/>
      </c>
      <c r="K21" t="str" cm="1">
        <f t="array" ref="K21">IFERROR(DatumSzovegge2(INDEX(diakadat!$L$2:$L$50,MATCH(D21,diakadat!$J$2:$J$50,0),1)),"")</f>
        <v/>
      </c>
      <c r="L21" t="str" cm="1">
        <f t="array" ref="L21">IFERROR(DatumSzovegge5(INDEX(diakadat!$L$2:$L$50,MATCH(D21,diakadat!$J$2:$J$50,0),1)),"")</f>
        <v/>
      </c>
      <c r="M21" t="str" cm="1">
        <f t="array" ref="M21">IFERROR(DatumSzovegge3(INDEX(diakadat!$L$2:$L$50,MATCH(D21,diakadat!$J$2:$J$50,0),1)),"")</f>
        <v/>
      </c>
      <c r="N21" t="str" cm="1">
        <f t="array" ref="N21">IFERROR(DatumSzovegge4(INDEX(diakadat!$L$2:$L$50,MATCH(D21,diakadat!$J$2:$J$50,0),1)),"")</f>
        <v/>
      </c>
      <c r="O21" t="str">
        <f>IFERROR(INDEX(diakadat!$R$2:$R$50,MATCH(D21,diakadat!$J$2:$J$50,0),1),"")</f>
        <v/>
      </c>
      <c r="P21" t="str">
        <f>IFERROR(INDEX(diakadat!$AI$2:$AI$50,MATCH(D21,diakadat!$J$2:$J$50,0),1),"")</f>
        <v/>
      </c>
      <c r="Q21">
        <f>IFERROR(INDEX('rangsor'!$C$2:$C$343,MATCH(D21,'rangsor'!$A$2:$A$343,0),1),"")</f>
        <v>0</v>
      </c>
      <c r="T21" t="s">
        <v>831</v>
      </c>
      <c r="U21" t="str" cm="1">
        <f t="array" ref="U21">Határozat(D21)</f>
        <v>nem nyert felvételt</v>
      </c>
      <c r="AC21" t="str">
        <f>IFERROR(INDEX(diakadat!$U$2:$U$50,MATCH(D21,diakadat!$J$2:$J$50),1),"")</f>
        <v>201491</v>
      </c>
      <c r="AD21" t="str">
        <f>IFERROR(INDEX(diakadat!$V$2:$V$50,MATCH(D21,diakadat!$J$2:$J$50),1),"")</f>
        <v xml:space="preserve">Erzsébetvárosi Magyar-Angol Két Tanítási Nyelvű Általános Iskola és Művészeti Szakgimnázium </v>
      </c>
      <c r="AE21" t="str">
        <f>IFERROR(INDEX(diakadat!$W$2:$W$50,MATCH(D21,diakadat!$J$2:$J$50),1),"")</f>
        <v>1073 Budapest VII. kerület, Kertész utca 30.</v>
      </c>
      <c r="AF21">
        <v>1037</v>
      </c>
      <c r="AG21" t="s">
        <v>912</v>
      </c>
      <c r="AH21" t="s">
        <v>1182</v>
      </c>
      <c r="AI21" t="str">
        <f>IFERROR(INDEX(diakadat!$X$2:$X$50,MATCH(D21,diakadat!$J$2:$J$50),1),"")</f>
        <v>harangozohajnalka@erzsebetvarosiiskola.hu</v>
      </c>
      <c r="AJ21">
        <v>350</v>
      </c>
      <c r="AK21">
        <f t="shared" si="0"/>
        <v>17</v>
      </c>
      <c r="AL21" t="str" cm="1">
        <f t="array" ref="AL21">ElsoBetuNagy(R21)</f>
        <v/>
      </c>
      <c r="AM21" t="s">
        <v>856</v>
      </c>
      <c r="AN21" t="s">
        <v>1156</v>
      </c>
      <c r="AO21" t="str" cm="1">
        <f t="array" ref="AO21">DatumSzovegge5(AN21)</f>
        <v>2025.</v>
      </c>
      <c r="AP21" t="str" cm="1">
        <f t="array" ref="AP21">DatumSzovegge3(AN21)</f>
        <v>június</v>
      </c>
      <c r="AQ21" t="str" cm="1">
        <f t="array" ref="AQ21">DatumSzovegge4(AN21)</f>
        <v>26.</v>
      </c>
      <c r="AR21" t="s">
        <v>912</v>
      </c>
    </row>
    <row r="22" spans="4:44" x14ac:dyDescent="0.25">
      <c r="D22" t="str" cm="1">
        <f t="array" ref="D22">SzuressNev($B$1,ROW()-1)</f>
        <v/>
      </c>
      <c r="E22">
        <f>COUNTIF($D$2:D22,D22)</f>
        <v>1</v>
      </c>
      <c r="F22" t="str" cm="1">
        <f t="array" ref="F22">ElutasitasEgyOk2(D22,E22)</f>
        <v/>
      </c>
      <c r="G22" t="str">
        <f>IFERROR(INDEX(diakadat!$I$2:$I$50,MATCH(D22,diakadat!$J$2:$J$50,0),1),"")</f>
        <v/>
      </c>
      <c r="H22" t="str">
        <f>IFERROR(INDEX(diakadat!$O$2:$O$50,MATCH(D22,diakadat!$J$2:$J$50,0),1),"")</f>
        <v/>
      </c>
      <c r="I22" t="str">
        <f>IFERROR(INDEX(diakadat!#REF!,MATCH(D22,diakadat!$J$2:$J$50,0),1),"")</f>
        <v/>
      </c>
      <c r="J22" t="str">
        <f>IFERROR(INDEX(diakadat!$K$2:$K$50,MATCH(D22,diakadat!$J$2:$J$50,0),1),"")</f>
        <v/>
      </c>
      <c r="K22" t="str" cm="1">
        <f t="array" ref="K22">IFERROR(DatumSzovegge2(INDEX(diakadat!$L$2:$L$50,MATCH(D22,diakadat!$J$2:$J$50,0),1)),"")</f>
        <v/>
      </c>
      <c r="L22" t="str" cm="1">
        <f t="array" ref="L22">IFERROR(DatumSzovegge5(INDEX(diakadat!$L$2:$L$50,MATCH(D22,diakadat!$J$2:$J$50,0),1)),"")</f>
        <v/>
      </c>
      <c r="M22" t="str" cm="1">
        <f t="array" ref="M22">IFERROR(DatumSzovegge3(INDEX(diakadat!$L$2:$L$50,MATCH(D22,diakadat!$J$2:$J$50,0),1)),"")</f>
        <v/>
      </c>
      <c r="N22" t="str" cm="1">
        <f t="array" ref="N22">IFERROR(DatumSzovegge4(INDEX(diakadat!$L$2:$L$50,MATCH(D22,diakadat!$J$2:$J$50,0),1)),"")</f>
        <v/>
      </c>
      <c r="O22" t="str">
        <f>IFERROR(INDEX(diakadat!$R$2:$R$50,MATCH(D22,diakadat!$J$2:$J$50,0),1),"")</f>
        <v/>
      </c>
      <c r="P22" t="str">
        <f>IFERROR(INDEX(diakadat!$AI$2:$AI$50,MATCH(D22,diakadat!$J$2:$J$50,0),1),"")</f>
        <v/>
      </c>
      <c r="Q22" t="str">
        <f>IFERROR(INDEX('rangsor'!$C$2:$C$343,MATCH(D22,'rangsor'!$A$2:$A$343,0),1),"")</f>
        <v/>
      </c>
      <c r="T22" t="s">
        <v>831</v>
      </c>
      <c r="U22" t="str" cm="1">
        <f t="array" ref="U22">Határozat(D22)</f>
        <v/>
      </c>
      <c r="AC22" t="str">
        <f>IFERROR(INDEX(diakadat!$U$2:$U$50,MATCH(D22,diakadat!$J$2:$J$50),1),"")</f>
        <v/>
      </c>
      <c r="AD22" t="str">
        <f>IFERROR(INDEX(diakadat!$V$2:$V$50,MATCH(D22,diakadat!$J$2:$J$50),1),"")</f>
        <v/>
      </c>
      <c r="AE22" t="str">
        <f>IFERROR(INDEX(diakadat!$W$2:$W$50,MATCH(D22,diakadat!$J$2:$J$50),1),"")</f>
        <v/>
      </c>
      <c r="AF22">
        <v>1021</v>
      </c>
      <c r="AG22" t="s">
        <v>912</v>
      </c>
      <c r="AH22" t="s">
        <v>1183</v>
      </c>
      <c r="AI22" t="str">
        <f>IFERROR(INDEX(diakadat!$X$2:$X$50,MATCH(D22,diakadat!$J$2:$J$50),1),"")</f>
        <v/>
      </c>
      <c r="AJ22">
        <v>351</v>
      </c>
      <c r="AK22">
        <f t="shared" si="0"/>
        <v>329</v>
      </c>
      <c r="AL22" t="str" cm="1">
        <f t="array" ref="AL22">ElsoBetuNagy(R22)</f>
        <v/>
      </c>
      <c r="AM22" t="s">
        <v>861</v>
      </c>
      <c r="AN22" t="s">
        <v>1156</v>
      </c>
      <c r="AO22" t="str" cm="1">
        <f t="array" ref="AO22">DatumSzovegge5(AN22)</f>
        <v>2025.</v>
      </c>
      <c r="AP22" t="str" cm="1">
        <f t="array" ref="AP22">DatumSzovegge3(AN22)</f>
        <v>június</v>
      </c>
      <c r="AQ22" t="str" cm="1">
        <f t="array" ref="AQ22">DatumSzovegge4(AN22)</f>
        <v>26.</v>
      </c>
      <c r="AR22" t="s">
        <v>912</v>
      </c>
    </row>
    <row r="23" spans="4:44" x14ac:dyDescent="0.25">
      <c r="D23" t="str" cm="1">
        <f t="array" ref="D23">SzuressNev($B$1,ROW()-1)</f>
        <v/>
      </c>
      <c r="E23">
        <f>COUNTIF($D$2:D23,D23)</f>
        <v>2</v>
      </c>
      <c r="F23" t="str" cm="1">
        <f t="array" ref="F23">ElutasitasEgyOk2(D23,E23)</f>
        <v/>
      </c>
      <c r="G23" t="str">
        <f>IFERROR(INDEX(diakadat!$I$2:$I$50,MATCH(D23,diakadat!$J$2:$J$50,0),1),"")</f>
        <v/>
      </c>
      <c r="H23" t="str">
        <f>IFERROR(INDEX(diakadat!$O$2:$O$50,MATCH(D23,diakadat!$J$2:$J$50,0),1),"")</f>
        <v/>
      </c>
      <c r="I23" t="str">
        <f>IFERROR(INDEX(diakadat!#REF!,MATCH(D23,diakadat!$J$2:$J$50,0),1),"")</f>
        <v/>
      </c>
      <c r="J23" t="str">
        <f>IFERROR(INDEX(diakadat!$K$2:$K$50,MATCH(D23,diakadat!$J$2:$J$50,0),1),"")</f>
        <v/>
      </c>
      <c r="K23" t="str" cm="1">
        <f t="array" ref="K23">IFERROR(DatumSzovegge2(INDEX(diakadat!$L$2:$L$50,MATCH(D23,diakadat!$J$2:$J$50,0),1)),"")</f>
        <v/>
      </c>
      <c r="L23" t="str" cm="1">
        <f t="array" ref="L23">IFERROR(DatumSzovegge5(INDEX(diakadat!$L$2:$L$50,MATCH(D23,diakadat!$J$2:$J$50,0),1)),"")</f>
        <v/>
      </c>
      <c r="M23" t="str" cm="1">
        <f t="array" ref="M23">IFERROR(DatumSzovegge3(INDEX(diakadat!$L$2:$L$50,MATCH(D23,diakadat!$J$2:$J$50,0),1)),"")</f>
        <v/>
      </c>
      <c r="N23" t="str" cm="1">
        <f t="array" ref="N23">IFERROR(DatumSzovegge4(INDEX(diakadat!$L$2:$L$50,MATCH(D23,diakadat!$J$2:$J$50,0),1)),"")</f>
        <v/>
      </c>
      <c r="O23" t="str">
        <f>IFERROR(INDEX(diakadat!$R$2:$R$50,MATCH(D23,diakadat!$J$2:$J$50,0),1),"")</f>
        <v/>
      </c>
      <c r="P23" t="str">
        <f>IFERROR(INDEX(diakadat!$AI$2:$AI$50,MATCH(D23,diakadat!$J$2:$J$50,0),1),"")</f>
        <v/>
      </c>
      <c r="Q23" t="str">
        <f>IFERROR(INDEX('rangsor'!$C$2:$C$343,MATCH(D23,'rangsor'!$A$2:$A$343,0),1),"")</f>
        <v/>
      </c>
      <c r="T23" t="s">
        <v>831</v>
      </c>
      <c r="U23" t="str" cm="1">
        <f t="array" ref="U23">Határozat(D23)</f>
        <v/>
      </c>
      <c r="AC23" t="str">
        <f>IFERROR(INDEX(diakadat!$U$2:$U$50,MATCH(D23,diakadat!$J$2:$J$50),1),"")</f>
        <v/>
      </c>
      <c r="AD23" t="str">
        <f>IFERROR(INDEX(diakadat!$V$2:$V$50,MATCH(D23,diakadat!$J$2:$J$50),1),"")</f>
        <v/>
      </c>
      <c r="AE23" t="str">
        <f>IFERROR(INDEX(diakadat!$W$2:$W$50,MATCH(D23,diakadat!$J$2:$J$50),1),"")</f>
        <v/>
      </c>
      <c r="AF23">
        <v>1222</v>
      </c>
      <c r="AG23" t="s">
        <v>912</v>
      </c>
      <c r="AH23" t="s">
        <v>1184</v>
      </c>
      <c r="AI23" t="str">
        <f>IFERROR(INDEX(diakadat!$X$2:$X$50,MATCH(D23,diakadat!$J$2:$J$50),1),"")</f>
        <v/>
      </c>
      <c r="AJ23">
        <v>352</v>
      </c>
      <c r="AK23">
        <f t="shared" si="0"/>
        <v>329</v>
      </c>
      <c r="AL23" t="str" cm="1">
        <f t="array" ref="AL23">ElsoBetuNagy(R23)</f>
        <v/>
      </c>
      <c r="AM23" t="s">
        <v>863</v>
      </c>
      <c r="AN23" t="s">
        <v>1156</v>
      </c>
      <c r="AO23" t="str" cm="1">
        <f t="array" ref="AO23">DatumSzovegge5(AN23)</f>
        <v>2025.</v>
      </c>
      <c r="AP23" t="str" cm="1">
        <f t="array" ref="AP23">DatumSzovegge3(AN23)</f>
        <v>június</v>
      </c>
      <c r="AQ23" t="str" cm="1">
        <f t="array" ref="AQ23">DatumSzovegge4(AN23)</f>
        <v>26.</v>
      </c>
      <c r="AR23" t="s">
        <v>912</v>
      </c>
    </row>
    <row r="24" spans="4:44" x14ac:dyDescent="0.25">
      <c r="D24" t="str" cm="1">
        <f t="array" ref="D24">SzuressNev($B$1,ROW()-1)</f>
        <v/>
      </c>
      <c r="E24">
        <f>COUNTIF($D$2:D24,D24)</f>
        <v>3</v>
      </c>
      <c r="F24" t="str" cm="1">
        <f t="array" ref="F24">ElutasitasEgyOk2(D24,E24)</f>
        <v/>
      </c>
      <c r="G24" t="str">
        <f>IFERROR(INDEX(diakadat!$I$2:$I$50,MATCH(D24,diakadat!$J$2:$J$50,0),1),"")</f>
        <v/>
      </c>
      <c r="H24" t="str">
        <f>IFERROR(INDEX(diakadat!$O$2:$O$50,MATCH(D24,diakadat!$J$2:$J$50,0),1),"")</f>
        <v/>
      </c>
      <c r="I24" t="str">
        <f>IFERROR(INDEX(diakadat!#REF!,MATCH(D24,diakadat!$J$2:$J$50,0),1),"")</f>
        <v/>
      </c>
      <c r="J24" t="str">
        <f>IFERROR(INDEX(diakadat!$K$2:$K$50,MATCH(D24,diakadat!$J$2:$J$50,0),1),"")</f>
        <v/>
      </c>
      <c r="K24" t="str" cm="1">
        <f t="array" ref="K24">IFERROR(DatumSzovegge2(INDEX(diakadat!$L$2:$L$50,MATCH(D24,diakadat!$J$2:$J$50,0),1)),"")</f>
        <v/>
      </c>
      <c r="L24" t="str" cm="1">
        <f t="array" ref="L24">IFERROR(DatumSzovegge5(INDEX(diakadat!$L$2:$L$50,MATCH(D24,diakadat!$J$2:$J$50,0),1)),"")</f>
        <v/>
      </c>
      <c r="M24" t="str" cm="1">
        <f t="array" ref="M24">IFERROR(DatumSzovegge3(INDEX(diakadat!$L$2:$L$50,MATCH(D24,diakadat!$J$2:$J$50,0),1)),"")</f>
        <v/>
      </c>
      <c r="N24" t="str" cm="1">
        <f t="array" ref="N24">IFERROR(DatumSzovegge4(INDEX(diakadat!$L$2:$L$50,MATCH(D24,diakadat!$J$2:$J$50,0),1)),"")</f>
        <v/>
      </c>
      <c r="O24" t="str">
        <f>IFERROR(INDEX(diakadat!$R$2:$R$50,MATCH(D24,diakadat!$J$2:$J$50,0),1),"")</f>
        <v/>
      </c>
      <c r="P24" t="str">
        <f>IFERROR(INDEX(diakadat!$AI$2:$AI$50,MATCH(D24,diakadat!$J$2:$J$50,0),1),"")</f>
        <v/>
      </c>
      <c r="Q24" t="str">
        <f>IFERROR(INDEX('rangsor'!$C$2:$C$343,MATCH(D24,'rangsor'!$A$2:$A$343,0),1),"")</f>
        <v/>
      </c>
      <c r="T24" t="s">
        <v>831</v>
      </c>
      <c r="U24" t="str" cm="1">
        <f t="array" ref="U24">Határozat(D24)</f>
        <v/>
      </c>
      <c r="AC24" t="str">
        <f>IFERROR(INDEX(diakadat!$U$2:$U$50,MATCH(D24,diakadat!$J$2:$J$50),1),"")</f>
        <v/>
      </c>
      <c r="AD24" t="str">
        <f>IFERROR(INDEX(diakadat!$V$2:$V$50,MATCH(D24,diakadat!$J$2:$J$50),1),"")</f>
        <v/>
      </c>
      <c r="AE24" t="str">
        <f>IFERROR(INDEX(diakadat!$W$2:$W$50,MATCH(D24,diakadat!$J$2:$J$50),1),"")</f>
        <v/>
      </c>
      <c r="AF24">
        <v>1222</v>
      </c>
      <c r="AG24" t="s">
        <v>912</v>
      </c>
      <c r="AH24" t="s">
        <v>1185</v>
      </c>
      <c r="AI24" t="str">
        <f>IFERROR(INDEX(diakadat!$X$2:$X$50,MATCH(D24,diakadat!$J$2:$J$50),1),"")</f>
        <v/>
      </c>
      <c r="AJ24">
        <v>353</v>
      </c>
      <c r="AK24">
        <f t="shared" si="0"/>
        <v>329</v>
      </c>
      <c r="AL24" t="str" cm="1">
        <f t="array" ref="AL24">ElsoBetuNagy(R24)</f>
        <v/>
      </c>
      <c r="AM24" t="s">
        <v>871</v>
      </c>
      <c r="AN24" t="s">
        <v>1156</v>
      </c>
      <c r="AO24" t="str" cm="1">
        <f t="array" ref="AO24">DatumSzovegge5(AN24)</f>
        <v>2025.</v>
      </c>
      <c r="AP24" t="str" cm="1">
        <f t="array" ref="AP24">DatumSzovegge3(AN24)</f>
        <v>június</v>
      </c>
      <c r="AQ24" t="str" cm="1">
        <f t="array" ref="AQ24">DatumSzovegge4(AN24)</f>
        <v>26.</v>
      </c>
      <c r="AR24" t="s">
        <v>912</v>
      </c>
    </row>
    <row r="25" spans="4:44" x14ac:dyDescent="0.25">
      <c r="D25" t="str" cm="1">
        <f t="array" ref="D25">SzuressNev($B$1,ROW()-1)</f>
        <v/>
      </c>
      <c r="E25">
        <f>COUNTIF($D$2:D25,D25)</f>
        <v>4</v>
      </c>
      <c r="F25" t="str" cm="1">
        <f t="array" ref="F25">ElutasitasEgyOk2(D25,E25)</f>
        <v/>
      </c>
      <c r="G25" t="str">
        <f>IFERROR(INDEX(diakadat!$I$2:$I$50,MATCH(D25,diakadat!$J$2:$J$50,0),1),"")</f>
        <v/>
      </c>
      <c r="H25" t="str">
        <f>IFERROR(INDEX(diakadat!$O$2:$O$50,MATCH(D25,diakadat!$J$2:$J$50,0),1),"")</f>
        <v/>
      </c>
      <c r="I25" t="str">
        <f>IFERROR(INDEX(diakadat!#REF!,MATCH(D25,diakadat!$J$2:$J$50,0),1),"")</f>
        <v/>
      </c>
      <c r="J25" t="str">
        <f>IFERROR(INDEX(diakadat!$K$2:$K$50,MATCH(D25,diakadat!$J$2:$J$50,0),1),"")</f>
        <v/>
      </c>
      <c r="K25" t="str" cm="1">
        <f t="array" ref="K25">IFERROR(DatumSzovegge2(INDEX(diakadat!$L$2:$L$50,MATCH(D25,diakadat!$J$2:$J$50,0),1)),"")</f>
        <v/>
      </c>
      <c r="L25" t="str" cm="1">
        <f t="array" ref="L25">IFERROR(DatumSzovegge5(INDEX(diakadat!$L$2:$L$50,MATCH(D25,diakadat!$J$2:$J$50,0),1)),"")</f>
        <v/>
      </c>
      <c r="M25" t="str" cm="1">
        <f t="array" ref="M25">IFERROR(DatumSzovegge3(INDEX(diakadat!$L$2:$L$50,MATCH(D25,diakadat!$J$2:$J$50,0),1)),"")</f>
        <v/>
      </c>
      <c r="N25" t="str" cm="1">
        <f t="array" ref="N25">IFERROR(DatumSzovegge4(INDEX(diakadat!$L$2:$L$50,MATCH(D25,diakadat!$J$2:$J$50,0),1)),"")</f>
        <v/>
      </c>
      <c r="O25" t="str">
        <f>IFERROR(INDEX(diakadat!$R$2:$R$50,MATCH(D25,diakadat!$J$2:$J$50,0),1),"")</f>
        <v/>
      </c>
      <c r="P25" t="str">
        <f>IFERROR(INDEX(diakadat!$AI$2:$AI$50,MATCH(D25,diakadat!$J$2:$J$50,0),1),"")</f>
        <v/>
      </c>
      <c r="Q25" t="str">
        <f>IFERROR(INDEX('rangsor'!$C$2:$C$343,MATCH(D25,'rangsor'!$A$2:$A$343,0),1),"")</f>
        <v/>
      </c>
      <c r="T25" t="s">
        <v>831</v>
      </c>
      <c r="U25" t="str" cm="1">
        <f t="array" ref="U25">Határozat(D25)</f>
        <v/>
      </c>
      <c r="AC25" t="str">
        <f>IFERROR(INDEX(diakadat!$U$2:$U$50,MATCH(D25,diakadat!$J$2:$J$50),1),"")</f>
        <v/>
      </c>
      <c r="AD25" t="str">
        <f>IFERROR(INDEX(diakadat!$V$2:$V$50,MATCH(D25,diakadat!$J$2:$J$50),1),"")</f>
        <v/>
      </c>
      <c r="AE25" t="str">
        <f>IFERROR(INDEX(diakadat!$W$2:$W$50,MATCH(D25,diakadat!$J$2:$J$50),1),"")</f>
        <v/>
      </c>
      <c r="AF25">
        <v>1221</v>
      </c>
      <c r="AG25" t="s">
        <v>912</v>
      </c>
      <c r="AH25" t="s">
        <v>1186</v>
      </c>
      <c r="AI25" t="str">
        <f>IFERROR(INDEX(diakadat!$X$2:$X$50,MATCH(D25,diakadat!$J$2:$J$50),1),"")</f>
        <v/>
      </c>
      <c r="AJ25">
        <v>354</v>
      </c>
      <c r="AK25">
        <f t="shared" si="0"/>
        <v>329</v>
      </c>
      <c r="AL25" t="str" cm="1">
        <f t="array" ref="AL25">ElsoBetuNagy(R25)</f>
        <v/>
      </c>
      <c r="AM25" t="s">
        <v>875</v>
      </c>
      <c r="AN25" t="s">
        <v>1156</v>
      </c>
      <c r="AO25" t="str" cm="1">
        <f t="array" ref="AO25">DatumSzovegge5(AN25)</f>
        <v>2025.</v>
      </c>
      <c r="AP25" t="str" cm="1">
        <f t="array" ref="AP25">DatumSzovegge3(AN25)</f>
        <v>június</v>
      </c>
      <c r="AQ25" t="str" cm="1">
        <f t="array" ref="AQ25">DatumSzovegge4(AN25)</f>
        <v>26.</v>
      </c>
      <c r="AR25" t="s">
        <v>912</v>
      </c>
    </row>
    <row r="26" spans="4:44" x14ac:dyDescent="0.25">
      <c r="D26" t="str" cm="1">
        <f t="array" ref="D26">SzuressNev($B$1,ROW()-1)</f>
        <v/>
      </c>
      <c r="E26">
        <f>COUNTIF($D$2:D26,D26)</f>
        <v>5</v>
      </c>
      <c r="F26" t="str" cm="1">
        <f t="array" ref="F26">ElutasitasEgyOk2(D26,E26)</f>
        <v/>
      </c>
      <c r="G26" t="str">
        <f>IFERROR(INDEX(diakadat!$I$2:$I$50,MATCH(D26,diakadat!$J$2:$J$50,0),1),"")</f>
        <v/>
      </c>
      <c r="H26" t="str">
        <f>IFERROR(INDEX(diakadat!$O$2:$O$50,MATCH(D26,diakadat!$J$2:$J$50,0),1),"")</f>
        <v/>
      </c>
      <c r="I26" t="str">
        <f>IFERROR(INDEX(diakadat!#REF!,MATCH(D26,diakadat!$J$2:$J$50,0),1),"")</f>
        <v/>
      </c>
      <c r="J26" t="str">
        <f>IFERROR(INDEX(diakadat!$K$2:$K$50,MATCH(D26,diakadat!$J$2:$J$50,0),1),"")</f>
        <v/>
      </c>
      <c r="K26" t="str" cm="1">
        <f t="array" ref="K26">IFERROR(DatumSzovegge2(INDEX(diakadat!$L$2:$L$50,MATCH(D26,diakadat!$J$2:$J$50,0),1)),"")</f>
        <v/>
      </c>
      <c r="L26" t="str" cm="1">
        <f t="array" ref="L26">IFERROR(DatumSzovegge5(INDEX(diakadat!$L$2:$L$50,MATCH(D26,diakadat!$J$2:$J$50,0),1)),"")</f>
        <v/>
      </c>
      <c r="M26" t="str" cm="1">
        <f t="array" ref="M26">IFERROR(DatumSzovegge3(INDEX(diakadat!$L$2:$L$50,MATCH(D26,diakadat!$J$2:$J$50,0),1)),"")</f>
        <v/>
      </c>
      <c r="N26" t="str" cm="1">
        <f t="array" ref="N26">IFERROR(DatumSzovegge4(INDEX(diakadat!$L$2:$L$50,MATCH(D26,diakadat!$J$2:$J$50,0),1)),"")</f>
        <v/>
      </c>
      <c r="O26" t="str">
        <f>IFERROR(INDEX(diakadat!$R$2:$R$50,MATCH(D26,diakadat!$J$2:$J$50,0),1),"")</f>
        <v/>
      </c>
      <c r="P26" t="str">
        <f>IFERROR(INDEX(diakadat!$AI$2:$AI$50,MATCH(D26,diakadat!$J$2:$J$50,0),1),"")</f>
        <v/>
      </c>
      <c r="Q26" t="str">
        <f>IFERROR(INDEX('rangsor'!$C$2:$C$343,MATCH(D26,'rangsor'!$A$2:$A$343,0),1),"")</f>
        <v/>
      </c>
      <c r="T26" t="s">
        <v>831</v>
      </c>
      <c r="U26" t="str" cm="1">
        <f t="array" ref="U26">Határozat(D26)</f>
        <v/>
      </c>
      <c r="AC26" t="str">
        <f>IFERROR(INDEX(diakadat!$U$2:$U$50,MATCH(D26,diakadat!$J$2:$J$50),1),"")</f>
        <v/>
      </c>
      <c r="AD26" t="str">
        <f>IFERROR(INDEX(diakadat!$V$2:$V$50,MATCH(D26,diakadat!$J$2:$J$50),1),"")</f>
        <v/>
      </c>
      <c r="AE26" t="str">
        <f>IFERROR(INDEX(diakadat!$W$2:$W$50,MATCH(D26,diakadat!$J$2:$J$50),1),"")</f>
        <v/>
      </c>
      <c r="AF26">
        <v>1224</v>
      </c>
      <c r="AG26" t="s">
        <v>912</v>
      </c>
      <c r="AH26" t="s">
        <v>1187</v>
      </c>
      <c r="AI26" t="str">
        <f>IFERROR(INDEX(diakadat!$X$2:$X$50,MATCH(D26,diakadat!$J$2:$J$50),1),"")</f>
        <v/>
      </c>
      <c r="AJ26">
        <v>355</v>
      </c>
      <c r="AK26">
        <f t="shared" si="0"/>
        <v>329</v>
      </c>
      <c r="AL26" t="str" cm="1">
        <f t="array" ref="AL26">ElsoBetuNagy(R26)</f>
        <v/>
      </c>
      <c r="AM26" t="s">
        <v>889</v>
      </c>
      <c r="AN26" t="s">
        <v>1156</v>
      </c>
      <c r="AO26" t="str" cm="1">
        <f t="array" ref="AO26">DatumSzovegge5(AN26)</f>
        <v>2025.</v>
      </c>
      <c r="AP26" t="str" cm="1">
        <f t="array" ref="AP26">DatumSzovegge3(AN26)</f>
        <v>június</v>
      </c>
      <c r="AQ26" t="str" cm="1">
        <f t="array" ref="AQ26">DatumSzovegge4(AN26)</f>
        <v>26.</v>
      </c>
      <c r="AR26" t="s">
        <v>912</v>
      </c>
    </row>
    <row r="27" spans="4:44" x14ac:dyDescent="0.25">
      <c r="D27" t="str" cm="1">
        <f t="array" ref="D27">SzuressNev($B$1,ROW()-1)</f>
        <v/>
      </c>
      <c r="E27">
        <f>COUNTIF($D$2:D27,D27)</f>
        <v>6</v>
      </c>
      <c r="F27" t="str" cm="1">
        <f t="array" ref="F27">ElutasitasEgyOk2(D27,E27)</f>
        <v/>
      </c>
      <c r="G27" t="str">
        <f>IFERROR(INDEX(diakadat!$I$2:$I$50,MATCH(D27,diakadat!$J$2:$J$50,0),1),"")</f>
        <v/>
      </c>
      <c r="H27" t="str">
        <f>IFERROR(INDEX(diakadat!$O$2:$O$50,MATCH(D27,diakadat!$J$2:$J$50,0),1),"")</f>
        <v/>
      </c>
      <c r="I27" t="str">
        <f>IFERROR(INDEX(diakadat!#REF!,MATCH(D27,diakadat!$J$2:$J$50,0),1),"")</f>
        <v/>
      </c>
      <c r="J27" t="str">
        <f>IFERROR(INDEX(diakadat!$K$2:$K$50,MATCH(D27,diakadat!$J$2:$J$50,0),1),"")</f>
        <v/>
      </c>
      <c r="K27" t="str" cm="1">
        <f t="array" ref="K27">IFERROR(DatumSzovegge2(INDEX(diakadat!$L$2:$L$50,MATCH(D27,diakadat!$J$2:$J$50,0),1)),"")</f>
        <v/>
      </c>
      <c r="L27" t="str" cm="1">
        <f t="array" ref="L27">IFERROR(DatumSzovegge5(INDEX(diakadat!$L$2:$L$50,MATCH(D27,diakadat!$J$2:$J$50,0),1)),"")</f>
        <v/>
      </c>
      <c r="M27" t="str" cm="1">
        <f t="array" ref="M27">IFERROR(DatumSzovegge3(INDEX(diakadat!$L$2:$L$50,MATCH(D27,diakadat!$J$2:$J$50,0),1)),"")</f>
        <v/>
      </c>
      <c r="N27" t="str" cm="1">
        <f t="array" ref="N27">IFERROR(DatumSzovegge4(INDEX(diakadat!$L$2:$L$50,MATCH(D27,diakadat!$J$2:$J$50,0),1)),"")</f>
        <v/>
      </c>
      <c r="O27" t="str">
        <f>IFERROR(INDEX(diakadat!$R$2:$R$50,MATCH(D27,diakadat!$J$2:$J$50,0),1),"")</f>
        <v/>
      </c>
      <c r="P27" t="str">
        <f>IFERROR(INDEX(diakadat!$AI$2:$AI$50,MATCH(D27,diakadat!$J$2:$J$50,0),1),"")</f>
        <v/>
      </c>
      <c r="Q27" t="str">
        <f>IFERROR(INDEX('rangsor'!$C$2:$C$343,MATCH(D27,'rangsor'!$A$2:$A$343,0),1),"")</f>
        <v/>
      </c>
      <c r="T27" t="s">
        <v>831</v>
      </c>
      <c r="U27" t="str" cm="1">
        <f t="array" ref="U27">Határozat(D27)</f>
        <v/>
      </c>
      <c r="AC27" t="str">
        <f>IFERROR(INDEX(diakadat!$U$2:$U$50,MATCH(D27,diakadat!$J$2:$J$50),1),"")</f>
        <v/>
      </c>
      <c r="AD27" t="str">
        <f>IFERROR(INDEX(diakadat!$V$2:$V$50,MATCH(D27,diakadat!$J$2:$J$50),1),"")</f>
        <v/>
      </c>
      <c r="AE27" t="str">
        <f>IFERROR(INDEX(diakadat!$W$2:$W$50,MATCH(D27,diakadat!$J$2:$J$50),1),"")</f>
        <v/>
      </c>
      <c r="AF27">
        <v>2093</v>
      </c>
      <c r="AG27" t="s">
        <v>1188</v>
      </c>
      <c r="AH27" t="s">
        <v>1189</v>
      </c>
      <c r="AI27" t="str">
        <f>IFERROR(INDEX(diakadat!$X$2:$X$50,MATCH(D27,diakadat!$J$2:$J$50),1),"")</f>
        <v/>
      </c>
      <c r="AJ27">
        <v>352</v>
      </c>
      <c r="AK27">
        <f t="shared" si="0"/>
        <v>329</v>
      </c>
      <c r="AL27" t="str" cm="1">
        <f t="array" ref="AL27">ElsoBetuNagy(R27)</f>
        <v/>
      </c>
      <c r="AM27" t="s">
        <v>893</v>
      </c>
      <c r="AN27" t="s">
        <v>1156</v>
      </c>
      <c r="AO27" t="str" cm="1">
        <f t="array" ref="AO27">DatumSzovegge5(AN27)</f>
        <v>2025.</v>
      </c>
      <c r="AP27" t="str" cm="1">
        <f t="array" ref="AP27">DatumSzovegge3(AN27)</f>
        <v>június</v>
      </c>
      <c r="AQ27" t="str" cm="1">
        <f t="array" ref="AQ27">DatumSzovegge4(AN27)</f>
        <v>26.</v>
      </c>
      <c r="AR27" t="s">
        <v>912</v>
      </c>
    </row>
    <row r="28" spans="4:44" x14ac:dyDescent="0.25">
      <c r="D28" t="str" cm="1">
        <f t="array" ref="D28">SzuressNev($B$1,ROW()-1)</f>
        <v/>
      </c>
      <c r="E28">
        <f>COUNTIF($D$2:D28,D28)</f>
        <v>7</v>
      </c>
      <c r="F28" t="str" cm="1">
        <f t="array" ref="F28">ElutasitasEgyOk2(D28,E28)</f>
        <v/>
      </c>
      <c r="G28" t="str">
        <f>IFERROR(INDEX(diakadat!$I$2:$I$50,MATCH(D28,diakadat!$J$2:$J$50,0),1),"")</f>
        <v/>
      </c>
      <c r="H28" t="str">
        <f>IFERROR(INDEX(diakadat!$O$2:$O$50,MATCH(D28,diakadat!$J$2:$J$50,0),1),"")</f>
        <v/>
      </c>
      <c r="I28" t="str">
        <f>IFERROR(INDEX(diakadat!#REF!,MATCH(D28,diakadat!$J$2:$J$50,0),1),"")</f>
        <v/>
      </c>
      <c r="J28" t="str">
        <f>IFERROR(INDEX(diakadat!$K$2:$K$50,MATCH(D28,diakadat!$J$2:$J$50,0),1),"")</f>
        <v/>
      </c>
      <c r="K28" t="str" cm="1">
        <f t="array" ref="K28">IFERROR(DatumSzovegge2(INDEX(diakadat!$L$2:$L$50,MATCH(D28,diakadat!$J$2:$J$50,0),1)),"")</f>
        <v/>
      </c>
      <c r="L28" t="str" cm="1">
        <f t="array" ref="L28">IFERROR(DatumSzovegge5(INDEX(diakadat!$L$2:$L$50,MATCH(D28,diakadat!$J$2:$J$50,0),1)),"")</f>
        <v/>
      </c>
      <c r="M28" t="str" cm="1">
        <f t="array" ref="M28">IFERROR(DatumSzovegge3(INDEX(diakadat!$L$2:$L$50,MATCH(D28,diakadat!$J$2:$J$50,0),1)),"")</f>
        <v/>
      </c>
      <c r="N28" t="str" cm="1">
        <f t="array" ref="N28">IFERROR(DatumSzovegge4(INDEX(diakadat!$L$2:$L$50,MATCH(D28,diakadat!$J$2:$J$50,0),1)),"")</f>
        <v/>
      </c>
      <c r="O28" t="str">
        <f>IFERROR(INDEX(diakadat!$R$2:$R$50,MATCH(D28,diakadat!$J$2:$J$50,0),1),"")</f>
        <v/>
      </c>
      <c r="P28" t="str">
        <f>IFERROR(INDEX(diakadat!$AI$2:$AI$50,MATCH(D28,diakadat!$J$2:$J$50,0),1),"")</f>
        <v/>
      </c>
      <c r="Q28" t="str">
        <f>IFERROR(INDEX('rangsor'!$C$2:$C$343,MATCH(D28,'rangsor'!$A$2:$A$343,0),1),"")</f>
        <v/>
      </c>
      <c r="T28" t="s">
        <v>831</v>
      </c>
      <c r="U28" t="str" cm="1">
        <f t="array" ref="U28">Határozat(D28)</f>
        <v/>
      </c>
      <c r="AC28" t="str">
        <f>IFERROR(INDEX(diakadat!$U$2:$U$50,MATCH(D28,diakadat!$J$2:$J$50),1),"")</f>
        <v/>
      </c>
      <c r="AD28" t="str">
        <f>IFERROR(INDEX(diakadat!$V$2:$V$50,MATCH(D28,diakadat!$J$2:$J$50),1),"")</f>
        <v/>
      </c>
      <c r="AE28" t="str">
        <f>IFERROR(INDEX(diakadat!$W$2:$W$50,MATCH(D28,diakadat!$J$2:$J$50),1),"")</f>
        <v/>
      </c>
      <c r="AF28">
        <v>2092</v>
      </c>
      <c r="AG28" t="s">
        <v>1190</v>
      </c>
      <c r="AH28" t="s">
        <v>1191</v>
      </c>
      <c r="AI28" t="str">
        <f>IFERROR(INDEX(diakadat!$X$2:$X$50,MATCH(D28,diakadat!$J$2:$J$50),1),"")</f>
        <v/>
      </c>
      <c r="AJ28">
        <v>337</v>
      </c>
      <c r="AK28">
        <f t="shared" si="0"/>
        <v>329</v>
      </c>
      <c r="AL28" t="str" cm="1">
        <f t="array" ref="AL28">ElsoBetuNagy(R28)</f>
        <v/>
      </c>
      <c r="AM28" t="s">
        <v>896</v>
      </c>
      <c r="AN28" t="s">
        <v>1156</v>
      </c>
      <c r="AO28" t="str" cm="1">
        <f t="array" ref="AO28">DatumSzovegge5(AN28)</f>
        <v>2025.</v>
      </c>
      <c r="AP28" t="str" cm="1">
        <f t="array" ref="AP28">DatumSzovegge3(AN28)</f>
        <v>június</v>
      </c>
      <c r="AQ28" t="str" cm="1">
        <f t="array" ref="AQ28">DatumSzovegge4(AN28)</f>
        <v>26.</v>
      </c>
      <c r="AR28" t="s">
        <v>912</v>
      </c>
    </row>
    <row r="29" spans="4:44" x14ac:dyDescent="0.25">
      <c r="D29" t="str" cm="1">
        <f t="array" ref="D29">SzuressNev($B$1,ROW()-1)</f>
        <v/>
      </c>
      <c r="E29">
        <f>COUNTIF($D$2:D29,D29)</f>
        <v>8</v>
      </c>
      <c r="F29" t="str" cm="1">
        <f t="array" ref="F29">ElutasitasEgyOk2(D29,E29)</f>
        <v/>
      </c>
      <c r="G29" t="str">
        <f>IFERROR(INDEX(diakadat!$I$2:$I$50,MATCH(D29,diakadat!$J$2:$J$50,0),1),"")</f>
        <v/>
      </c>
      <c r="H29" t="str">
        <f>IFERROR(INDEX(diakadat!$O$2:$O$50,MATCH(D29,diakadat!$J$2:$J$50,0),1),"")</f>
        <v/>
      </c>
      <c r="I29" t="str">
        <f>IFERROR(INDEX(diakadat!#REF!,MATCH(D29,diakadat!$J$2:$J$50,0),1),"")</f>
        <v/>
      </c>
      <c r="J29" t="str">
        <f>IFERROR(INDEX(diakadat!$K$2:$K$50,MATCH(D29,diakadat!$J$2:$J$50,0),1),"")</f>
        <v/>
      </c>
      <c r="K29" t="str" cm="1">
        <f t="array" ref="K29">IFERROR(DatumSzovegge2(INDEX(diakadat!$L$2:$L$50,MATCH(D29,diakadat!$J$2:$J$50,0),1)),"")</f>
        <v/>
      </c>
      <c r="L29" t="str" cm="1">
        <f t="array" ref="L29">IFERROR(DatumSzovegge5(INDEX(diakadat!$L$2:$L$50,MATCH(D29,diakadat!$J$2:$J$50,0),1)),"")</f>
        <v/>
      </c>
      <c r="M29" t="str" cm="1">
        <f t="array" ref="M29">IFERROR(DatumSzovegge3(INDEX(diakadat!$L$2:$L$50,MATCH(D29,diakadat!$J$2:$J$50,0),1)),"")</f>
        <v/>
      </c>
      <c r="N29" t="str" cm="1">
        <f t="array" ref="N29">IFERROR(DatumSzovegge4(INDEX(diakadat!$L$2:$L$50,MATCH(D29,diakadat!$J$2:$J$50,0),1)),"")</f>
        <v/>
      </c>
      <c r="O29" t="str">
        <f>IFERROR(INDEX(diakadat!$R$2:$R$50,MATCH(D29,diakadat!$J$2:$J$50,0),1),"")</f>
        <v/>
      </c>
      <c r="P29" t="str">
        <f>IFERROR(INDEX(diakadat!$AI$2:$AI$50,MATCH(D29,diakadat!$J$2:$J$50,0),1),"")</f>
        <v/>
      </c>
      <c r="Q29" t="str">
        <f>IFERROR(INDEX('rangsor'!$C$2:$C$343,MATCH(D29,'rangsor'!$A$2:$A$343,0),1),"")</f>
        <v/>
      </c>
      <c r="T29" t="s">
        <v>831</v>
      </c>
      <c r="U29" t="str" cm="1">
        <f t="array" ref="U29">Határozat(D29)</f>
        <v/>
      </c>
      <c r="AC29" t="str">
        <f>IFERROR(INDEX(diakadat!$U$2:$U$50,MATCH(D29,diakadat!$J$2:$J$50),1),"")</f>
        <v/>
      </c>
      <c r="AD29" t="str">
        <f>IFERROR(INDEX(diakadat!$V$2:$V$50,MATCH(D29,diakadat!$J$2:$J$50),1),"")</f>
        <v/>
      </c>
      <c r="AE29" t="str">
        <f>IFERROR(INDEX(diakadat!$W$2:$W$50,MATCH(D29,diakadat!$J$2:$J$50),1),"")</f>
        <v/>
      </c>
      <c r="AF29">
        <v>2092</v>
      </c>
      <c r="AG29" t="s">
        <v>1190</v>
      </c>
      <c r="AH29" t="s">
        <v>1192</v>
      </c>
      <c r="AI29" t="str">
        <f>IFERROR(INDEX(diakadat!$X$2:$X$50,MATCH(D29,diakadat!$J$2:$J$50),1),"")</f>
        <v/>
      </c>
      <c r="AJ29">
        <v>335</v>
      </c>
      <c r="AK29">
        <f t="shared" si="0"/>
        <v>329</v>
      </c>
      <c r="AL29" t="str" cm="1">
        <f t="array" ref="AL29">ElsoBetuNagy(R29)</f>
        <v/>
      </c>
      <c r="AM29" t="s">
        <v>898</v>
      </c>
      <c r="AN29" t="s">
        <v>1156</v>
      </c>
      <c r="AO29" t="str" cm="1">
        <f t="array" ref="AO29">DatumSzovegge5(AN29)</f>
        <v>2025.</v>
      </c>
      <c r="AP29" t="str" cm="1">
        <f t="array" ref="AP29">DatumSzovegge3(AN29)</f>
        <v>június</v>
      </c>
      <c r="AQ29" t="str" cm="1">
        <f t="array" ref="AQ29">DatumSzovegge4(AN29)</f>
        <v>26.</v>
      </c>
      <c r="AR29" t="s">
        <v>912</v>
      </c>
    </row>
    <row r="30" spans="4:44" x14ac:dyDescent="0.25">
      <c r="D30" t="str" cm="1">
        <f t="array" ref="D30">SzuressNev($B$1,ROW()-1)</f>
        <v/>
      </c>
      <c r="E30">
        <f>COUNTIF($D$2:D30,D30)</f>
        <v>9</v>
      </c>
      <c r="F30" t="str" cm="1">
        <f t="array" ref="F30">ElutasitasEgyOk2(D30,E30)</f>
        <v/>
      </c>
      <c r="G30" t="str">
        <f>IFERROR(INDEX(diakadat!$I$2:$I$50,MATCH(D30,diakadat!$J$2:$J$50,0),1),"")</f>
        <v/>
      </c>
      <c r="H30" t="str">
        <f>IFERROR(INDEX(diakadat!$O$2:$O$50,MATCH(D30,diakadat!$J$2:$J$50,0),1),"")</f>
        <v/>
      </c>
      <c r="I30" t="str">
        <f>IFERROR(INDEX(diakadat!#REF!,MATCH(D30,diakadat!$J$2:$J$50,0),1),"")</f>
        <v/>
      </c>
      <c r="J30" t="str">
        <f>IFERROR(INDEX(diakadat!$K$2:$K$50,MATCH(D30,diakadat!$J$2:$J$50,0),1),"")</f>
        <v/>
      </c>
      <c r="K30" t="str" cm="1">
        <f t="array" ref="K30">IFERROR(DatumSzovegge2(INDEX(diakadat!$L$2:$L$50,MATCH(D30,diakadat!$J$2:$J$50,0),1)),"")</f>
        <v/>
      </c>
      <c r="L30" t="str" cm="1">
        <f t="array" ref="L30">IFERROR(DatumSzovegge5(INDEX(diakadat!$L$2:$L$50,MATCH(D30,diakadat!$J$2:$J$50,0),1)),"")</f>
        <v/>
      </c>
      <c r="M30" t="str" cm="1">
        <f t="array" ref="M30">IFERROR(DatumSzovegge3(INDEX(diakadat!$L$2:$L$50,MATCH(D30,diakadat!$J$2:$J$50,0),1)),"")</f>
        <v/>
      </c>
      <c r="N30" t="str" cm="1">
        <f t="array" ref="N30">IFERROR(DatumSzovegge4(INDEX(diakadat!$L$2:$L$50,MATCH(D30,diakadat!$J$2:$J$50,0),1)),"")</f>
        <v/>
      </c>
      <c r="O30" t="str">
        <f>IFERROR(INDEX(diakadat!$R$2:$R$50,MATCH(D30,diakadat!$J$2:$J$50,0),1),"")</f>
        <v/>
      </c>
      <c r="P30" t="str">
        <f>IFERROR(INDEX(diakadat!$AI$2:$AI$50,MATCH(D30,diakadat!$J$2:$J$50,0),1),"")</f>
        <v/>
      </c>
      <c r="Q30" t="str">
        <f>IFERROR(INDEX('rangsor'!$C$2:$C$343,MATCH(D30,'rangsor'!$A$2:$A$343,0),1),"")</f>
        <v/>
      </c>
      <c r="T30" t="s">
        <v>831</v>
      </c>
      <c r="U30" t="str" cm="1">
        <f t="array" ref="U30">Határozat(D30)</f>
        <v/>
      </c>
      <c r="AC30" t="str">
        <f>IFERROR(INDEX(diakadat!$U$2:$U$50,MATCH(D30,diakadat!$J$2:$J$50),1),"")</f>
        <v/>
      </c>
      <c r="AD30" t="str">
        <f>IFERROR(INDEX(diakadat!$V$2:$V$50,MATCH(D30,diakadat!$J$2:$J$50),1),"")</f>
        <v/>
      </c>
      <c r="AE30" t="str">
        <f>IFERROR(INDEX(diakadat!$W$2:$W$50,MATCH(D30,diakadat!$J$2:$J$50),1),"")</f>
        <v/>
      </c>
      <c r="AF30">
        <v>2040</v>
      </c>
      <c r="AG30" t="s">
        <v>1178</v>
      </c>
      <c r="AH30" t="s">
        <v>1193</v>
      </c>
      <c r="AI30" t="str">
        <f>IFERROR(INDEX(diakadat!$X$2:$X$50,MATCH(D30,diakadat!$J$2:$J$50),1),"")</f>
        <v/>
      </c>
      <c r="AJ30">
        <v>339</v>
      </c>
      <c r="AK30">
        <f t="shared" si="0"/>
        <v>329</v>
      </c>
      <c r="AL30" t="str" cm="1">
        <f t="array" ref="AL30">ElsoBetuNagy(R30)</f>
        <v/>
      </c>
      <c r="AM30" t="s">
        <v>903</v>
      </c>
      <c r="AN30" t="s">
        <v>1156</v>
      </c>
      <c r="AO30" t="str" cm="1">
        <f t="array" ref="AO30">DatumSzovegge5(AN30)</f>
        <v>2025.</v>
      </c>
      <c r="AP30" t="str" cm="1">
        <f t="array" ref="AP30">DatumSzovegge3(AN30)</f>
        <v>június</v>
      </c>
      <c r="AQ30" t="str" cm="1">
        <f t="array" ref="AQ30">DatumSzovegge4(AN30)</f>
        <v>26.</v>
      </c>
      <c r="AR30" t="s">
        <v>912</v>
      </c>
    </row>
    <row r="31" spans="4:44" x14ac:dyDescent="0.25">
      <c r="D31" t="str" cm="1">
        <f t="array" ref="D31">SzuressNev($B$1,ROW()-1)</f>
        <v/>
      </c>
      <c r="E31">
        <f>COUNTIF($D$2:D31,D31)</f>
        <v>10</v>
      </c>
      <c r="F31" t="str" cm="1">
        <f t="array" ref="F31">ElutasitasEgyOk2(D31,E31)</f>
        <v/>
      </c>
      <c r="G31" t="str">
        <f>IFERROR(INDEX(diakadat!$I$2:$I$50,MATCH(D31,diakadat!$J$2:$J$50,0),1),"")</f>
        <v/>
      </c>
      <c r="H31" t="str">
        <f>IFERROR(INDEX(diakadat!$O$2:$O$50,MATCH(D31,diakadat!$J$2:$J$50,0),1),"")</f>
        <v/>
      </c>
      <c r="I31" t="str">
        <f>IFERROR(INDEX(diakadat!#REF!,MATCH(D31,diakadat!$J$2:$J$50,0),1),"")</f>
        <v/>
      </c>
      <c r="J31" t="str">
        <f>IFERROR(INDEX(diakadat!$K$2:$K$50,MATCH(D31,diakadat!$J$2:$J$50,0),1),"")</f>
        <v/>
      </c>
      <c r="K31" t="str" cm="1">
        <f t="array" ref="K31">IFERROR(DatumSzovegge2(INDEX(diakadat!$L$2:$L$50,MATCH(D31,diakadat!$J$2:$J$50,0),1)),"")</f>
        <v/>
      </c>
      <c r="L31" t="str" cm="1">
        <f t="array" ref="L31">IFERROR(DatumSzovegge5(INDEX(diakadat!$L$2:$L$50,MATCH(D31,diakadat!$J$2:$J$50,0),1)),"")</f>
        <v/>
      </c>
      <c r="M31" t="str" cm="1">
        <f t="array" ref="M31">IFERROR(DatumSzovegge3(INDEX(diakadat!$L$2:$L$50,MATCH(D31,diakadat!$J$2:$J$50,0),1)),"")</f>
        <v/>
      </c>
      <c r="N31" t="str" cm="1">
        <f t="array" ref="N31">IFERROR(DatumSzovegge4(INDEX(diakadat!$L$2:$L$50,MATCH(D31,diakadat!$J$2:$J$50,0),1)),"")</f>
        <v/>
      </c>
      <c r="O31" t="str">
        <f>IFERROR(INDEX(diakadat!$R$2:$R$50,MATCH(D31,diakadat!$J$2:$J$50,0),1),"")</f>
        <v/>
      </c>
      <c r="P31" t="str">
        <f>IFERROR(INDEX(diakadat!$AI$2:$AI$50,MATCH(D31,diakadat!$J$2:$J$50,0),1),"")</f>
        <v/>
      </c>
      <c r="Q31" t="str">
        <f>IFERROR(INDEX('rangsor'!$C$2:$C$343,MATCH(D31,'rangsor'!$A$2:$A$343,0),1),"")</f>
        <v/>
      </c>
      <c r="T31" t="s">
        <v>831</v>
      </c>
      <c r="U31" t="str" cm="1">
        <f t="array" ref="U31">Határozat(D31)</f>
        <v/>
      </c>
      <c r="AC31" t="str">
        <f>IFERROR(INDEX(diakadat!$U$2:$U$50,MATCH(D31,diakadat!$J$2:$J$50),1),"")</f>
        <v/>
      </c>
      <c r="AD31" t="str">
        <f>IFERROR(INDEX(diakadat!$V$2:$V$50,MATCH(D31,diakadat!$J$2:$J$50),1),"")</f>
        <v/>
      </c>
      <c r="AE31" t="str">
        <f>IFERROR(INDEX(diakadat!$W$2:$W$50,MATCH(D31,diakadat!$J$2:$J$50),1),"")</f>
        <v/>
      </c>
      <c r="AF31">
        <v>2040</v>
      </c>
      <c r="AG31" t="s">
        <v>1178</v>
      </c>
      <c r="AH31" t="s">
        <v>1194</v>
      </c>
      <c r="AI31" t="str">
        <f>IFERROR(INDEX(diakadat!$X$2:$X$50,MATCH(D31,diakadat!$J$2:$J$50),1),"")</f>
        <v/>
      </c>
      <c r="AJ31">
        <v>353</v>
      </c>
      <c r="AK31">
        <f t="shared" si="0"/>
        <v>329</v>
      </c>
      <c r="AL31" t="str" cm="1">
        <f t="array" ref="AL31">ElsoBetuNagy(R31)</f>
        <v/>
      </c>
      <c r="AM31" t="s">
        <v>918</v>
      </c>
      <c r="AN31" t="s">
        <v>1156</v>
      </c>
      <c r="AO31" t="str" cm="1">
        <f t="array" ref="AO31">DatumSzovegge5(AN31)</f>
        <v>2025.</v>
      </c>
      <c r="AP31" t="str" cm="1">
        <f t="array" ref="AP31">DatumSzovegge3(AN31)</f>
        <v>június</v>
      </c>
      <c r="AQ31" t="str" cm="1">
        <f t="array" ref="AQ31">DatumSzovegge4(AN31)</f>
        <v>26.</v>
      </c>
      <c r="AR31" t="s">
        <v>912</v>
      </c>
    </row>
    <row r="32" spans="4:44" x14ac:dyDescent="0.25">
      <c r="D32" t="str" cm="1">
        <f t="array" ref="D32">SzuressNev($B$1,ROW()-1)</f>
        <v/>
      </c>
      <c r="E32">
        <f>COUNTIF($D$2:D32,D32)</f>
        <v>11</v>
      </c>
      <c r="F32" t="str" cm="1">
        <f t="array" ref="F32">ElutasitasEgyOk2(D32,E32)</f>
        <v/>
      </c>
      <c r="G32" t="str">
        <f>IFERROR(INDEX(diakadat!$I$2:$I$50,MATCH(D32,diakadat!$J$2:$J$50,0),1),"")</f>
        <v/>
      </c>
      <c r="H32" t="str">
        <f>IFERROR(INDEX(diakadat!$O$2:$O$50,MATCH(D32,diakadat!$J$2:$J$50,0),1),"")</f>
        <v/>
      </c>
      <c r="I32" t="str">
        <f>IFERROR(INDEX(diakadat!#REF!,MATCH(D32,diakadat!$J$2:$J$50,0),1),"")</f>
        <v/>
      </c>
      <c r="J32" t="str">
        <f>IFERROR(INDEX(diakadat!$K$2:$K$50,MATCH(D32,diakadat!$J$2:$J$50,0),1),"")</f>
        <v/>
      </c>
      <c r="K32" t="str" cm="1">
        <f t="array" ref="K32">IFERROR(DatumSzovegge2(INDEX(diakadat!$L$2:$L$50,MATCH(D32,diakadat!$J$2:$J$50,0),1)),"")</f>
        <v/>
      </c>
      <c r="L32" t="str" cm="1">
        <f t="array" ref="L32">IFERROR(DatumSzovegge5(INDEX(diakadat!$L$2:$L$50,MATCH(D32,diakadat!$J$2:$J$50,0),1)),"")</f>
        <v/>
      </c>
      <c r="M32" t="str" cm="1">
        <f t="array" ref="M32">IFERROR(DatumSzovegge3(INDEX(diakadat!$L$2:$L$50,MATCH(D32,diakadat!$J$2:$J$50,0),1)),"")</f>
        <v/>
      </c>
      <c r="N32" t="str" cm="1">
        <f t="array" ref="N32">IFERROR(DatumSzovegge4(INDEX(diakadat!$L$2:$L$50,MATCH(D32,diakadat!$J$2:$J$50,0),1)),"")</f>
        <v/>
      </c>
      <c r="O32" t="str">
        <f>IFERROR(INDEX(diakadat!$R$2:$R$50,MATCH(D32,diakadat!$J$2:$J$50,0),1),"")</f>
        <v/>
      </c>
      <c r="P32" t="str">
        <f>IFERROR(INDEX(diakadat!$AI$2:$AI$50,MATCH(D32,diakadat!$J$2:$J$50,0),1),"")</f>
        <v/>
      </c>
      <c r="Q32" t="str">
        <f>IFERROR(INDEX('rangsor'!$C$2:$C$343,MATCH(D32,'rangsor'!$A$2:$A$343,0),1),"")</f>
        <v/>
      </c>
      <c r="T32" t="s">
        <v>831</v>
      </c>
      <c r="U32" t="str" cm="1">
        <f t="array" ref="U32">Határozat(D32)</f>
        <v/>
      </c>
      <c r="AC32" t="str">
        <f>IFERROR(INDEX(diakadat!$U$2:$U$50,MATCH(D32,diakadat!$J$2:$J$50),1),"")</f>
        <v/>
      </c>
      <c r="AD32" t="str">
        <f>IFERROR(INDEX(diakadat!$V$2:$V$50,MATCH(D32,diakadat!$J$2:$J$50),1),"")</f>
        <v/>
      </c>
      <c r="AE32" t="str">
        <f>IFERROR(INDEX(diakadat!$W$2:$W$50,MATCH(D32,diakadat!$J$2:$J$50),1),"")</f>
        <v/>
      </c>
      <c r="AF32">
        <v>1025</v>
      </c>
      <c r="AG32" t="s">
        <v>1164</v>
      </c>
      <c r="AH32" t="s">
        <v>1195</v>
      </c>
      <c r="AI32" t="str">
        <f>IFERROR(INDEX(diakadat!$X$2:$X$50,MATCH(D32,diakadat!$J$2:$J$50),1),"")</f>
        <v/>
      </c>
      <c r="AJ32">
        <v>356</v>
      </c>
      <c r="AK32">
        <f t="shared" si="0"/>
        <v>329</v>
      </c>
      <c r="AL32" t="str" cm="1">
        <f t="array" ref="AL32">ElsoBetuNagy(R32)</f>
        <v/>
      </c>
      <c r="AM32" t="s">
        <v>920</v>
      </c>
      <c r="AN32" t="s">
        <v>1156</v>
      </c>
      <c r="AO32" t="str" cm="1">
        <f t="array" ref="AO32">DatumSzovegge5(AN32)</f>
        <v>2025.</v>
      </c>
      <c r="AP32" t="str" cm="1">
        <f t="array" ref="AP32">DatumSzovegge3(AN32)</f>
        <v>június</v>
      </c>
      <c r="AQ32" t="str" cm="1">
        <f t="array" ref="AQ32">DatumSzovegge4(AN32)</f>
        <v>26.</v>
      </c>
      <c r="AR32" t="s">
        <v>912</v>
      </c>
    </row>
    <row r="33" spans="4:44" x14ac:dyDescent="0.25">
      <c r="D33" t="str" cm="1">
        <f t="array" ref="D33">SzuressNev($B$1,ROW()-1)</f>
        <v/>
      </c>
      <c r="E33">
        <f>COUNTIF($D$2:D33,D33)</f>
        <v>12</v>
      </c>
      <c r="F33" t="str" cm="1">
        <f t="array" ref="F33">ElutasitasEgyOk2(D33,E33)</f>
        <v/>
      </c>
      <c r="G33" t="str">
        <f>IFERROR(INDEX(diakadat!$I$2:$I$50,MATCH(D33,diakadat!$J$2:$J$50,0),1),"")</f>
        <v/>
      </c>
      <c r="H33" t="str">
        <f>IFERROR(INDEX(diakadat!$O$2:$O$50,MATCH(D33,diakadat!$J$2:$J$50,0),1),"")</f>
        <v/>
      </c>
      <c r="I33" t="str">
        <f>IFERROR(INDEX(diakadat!#REF!,MATCH(D33,diakadat!$J$2:$J$50,0),1),"")</f>
        <v/>
      </c>
      <c r="J33" t="str">
        <f>IFERROR(INDEX(diakadat!$K$2:$K$50,MATCH(D33,diakadat!$J$2:$J$50,0),1),"")</f>
        <v/>
      </c>
      <c r="K33" t="str" cm="1">
        <f t="array" ref="K33">IFERROR(DatumSzovegge2(INDEX(diakadat!$L$2:$L$50,MATCH(D33,diakadat!$J$2:$J$50,0),1)),"")</f>
        <v/>
      </c>
      <c r="L33" t="str" cm="1">
        <f t="array" ref="L33">IFERROR(DatumSzovegge5(INDEX(diakadat!$L$2:$L$50,MATCH(D33,diakadat!$J$2:$J$50,0),1)),"")</f>
        <v/>
      </c>
      <c r="M33" t="str" cm="1">
        <f t="array" ref="M33">IFERROR(DatumSzovegge3(INDEX(diakadat!$L$2:$L$50,MATCH(D33,diakadat!$J$2:$J$50,0),1)),"")</f>
        <v/>
      </c>
      <c r="N33" t="str" cm="1">
        <f t="array" ref="N33">IFERROR(DatumSzovegge4(INDEX(diakadat!$L$2:$L$50,MATCH(D33,diakadat!$J$2:$J$50,0),1)),"")</f>
        <v/>
      </c>
      <c r="O33" t="str">
        <f>IFERROR(INDEX(diakadat!$R$2:$R$50,MATCH(D33,diakadat!$J$2:$J$50,0),1),"")</f>
        <v/>
      </c>
      <c r="P33" t="str">
        <f>IFERROR(INDEX(diakadat!$AI$2:$AI$50,MATCH(D33,diakadat!$J$2:$J$50,0),1),"")</f>
        <v/>
      </c>
      <c r="Q33" t="str">
        <f>IFERROR(INDEX('rangsor'!$C$2:$C$343,MATCH(D33,'rangsor'!$A$2:$A$343,0),1),"")</f>
        <v/>
      </c>
      <c r="T33" t="s">
        <v>831</v>
      </c>
      <c r="U33" t="str" cm="1">
        <f t="array" ref="U33">Határozat(D33)</f>
        <v/>
      </c>
      <c r="AC33" t="str">
        <f>IFERROR(INDEX(diakadat!$U$2:$U$50,MATCH(D33,diakadat!$J$2:$J$50),1),"")</f>
        <v/>
      </c>
      <c r="AD33" t="str">
        <f>IFERROR(INDEX(diakadat!$V$2:$V$50,MATCH(D33,diakadat!$J$2:$J$50),1),"")</f>
        <v/>
      </c>
      <c r="AE33" t="str">
        <f>IFERROR(INDEX(diakadat!$W$2:$W$50,MATCH(D33,diakadat!$J$2:$J$50),1),"")</f>
        <v/>
      </c>
      <c r="AF33">
        <v>1015</v>
      </c>
      <c r="AG33" t="s">
        <v>912</v>
      </c>
      <c r="AH33" t="s">
        <v>1196</v>
      </c>
      <c r="AI33" t="str">
        <f>IFERROR(INDEX(diakadat!$X$2:$X$50,MATCH(D33,diakadat!$J$2:$J$50),1),"")</f>
        <v/>
      </c>
      <c r="AJ33">
        <v>349</v>
      </c>
      <c r="AK33">
        <f t="shared" si="0"/>
        <v>329</v>
      </c>
      <c r="AL33" t="str" cm="1">
        <f t="array" ref="AL33">ElsoBetuNagy(R33)</f>
        <v/>
      </c>
      <c r="AM33" t="s">
        <v>924</v>
      </c>
      <c r="AN33" t="s">
        <v>1156</v>
      </c>
      <c r="AO33" t="str" cm="1">
        <f t="array" ref="AO33">DatumSzovegge5(AN33)</f>
        <v>2025.</v>
      </c>
      <c r="AP33" t="str" cm="1">
        <f t="array" ref="AP33">DatumSzovegge3(AN33)</f>
        <v>június</v>
      </c>
      <c r="AQ33" t="str" cm="1">
        <f t="array" ref="AQ33">DatumSzovegge4(AN33)</f>
        <v>26.</v>
      </c>
      <c r="AR33" t="s">
        <v>912</v>
      </c>
    </row>
    <row r="34" spans="4:44" x14ac:dyDescent="0.25">
      <c r="D34" t="str" cm="1">
        <f t="array" ref="D34">SzuressNev($B$1,ROW()-1)</f>
        <v/>
      </c>
      <c r="E34">
        <f>COUNTIF($D$2:D34,D34)</f>
        <v>13</v>
      </c>
      <c r="F34" t="str" cm="1">
        <f t="array" ref="F34">ElutasitasEgyOk2(D34,E34)</f>
        <v/>
      </c>
      <c r="G34" t="str">
        <f>IFERROR(INDEX(diakadat!$I$2:$I$50,MATCH(D34,diakadat!$J$2:$J$50,0),1),"")</f>
        <v/>
      </c>
      <c r="H34" t="str">
        <f>IFERROR(INDEX(diakadat!$O$2:$O$50,MATCH(D34,diakadat!$J$2:$J$50,0),1),"")</f>
        <v/>
      </c>
      <c r="I34" t="str">
        <f>IFERROR(INDEX(diakadat!#REF!,MATCH(D34,diakadat!$J$2:$J$50,0),1),"")</f>
        <v/>
      </c>
      <c r="J34" t="str">
        <f>IFERROR(INDEX(diakadat!$K$2:$K$50,MATCH(D34,diakadat!$J$2:$J$50,0),1),"")</f>
        <v/>
      </c>
      <c r="K34" t="str" cm="1">
        <f t="array" ref="K34">IFERROR(DatumSzovegge2(INDEX(diakadat!$L$2:$L$50,MATCH(D34,diakadat!$J$2:$J$50,0),1)),"")</f>
        <v/>
      </c>
      <c r="L34" t="str" cm="1">
        <f t="array" ref="L34">IFERROR(DatumSzovegge5(INDEX(diakadat!$L$2:$L$50,MATCH(D34,diakadat!$J$2:$J$50,0),1)),"")</f>
        <v/>
      </c>
      <c r="M34" t="str" cm="1">
        <f t="array" ref="M34">IFERROR(DatumSzovegge3(INDEX(diakadat!$L$2:$L$50,MATCH(D34,diakadat!$J$2:$J$50,0),1)),"")</f>
        <v/>
      </c>
      <c r="N34" t="str" cm="1">
        <f t="array" ref="N34">IFERROR(DatumSzovegge4(INDEX(diakadat!$L$2:$L$50,MATCH(D34,diakadat!$J$2:$J$50,0),1)),"")</f>
        <v/>
      </c>
      <c r="O34" t="str">
        <f>IFERROR(INDEX(diakadat!$R$2:$R$50,MATCH(D34,diakadat!$J$2:$J$50,0),1),"")</f>
        <v/>
      </c>
      <c r="P34" t="str">
        <f>IFERROR(INDEX(diakadat!$AI$2:$AI$50,MATCH(D34,diakadat!$J$2:$J$50,0),1),"")</f>
        <v/>
      </c>
      <c r="Q34" t="str">
        <f>IFERROR(INDEX('rangsor'!$C$2:$C$343,MATCH(D34,'rangsor'!$A$2:$A$343,0),1),"")</f>
        <v/>
      </c>
      <c r="T34" t="s">
        <v>831</v>
      </c>
      <c r="U34" t="str" cm="1">
        <f t="array" ref="U34">Határozat(D34)</f>
        <v/>
      </c>
      <c r="AC34" t="str">
        <f>IFERROR(INDEX(diakadat!$U$2:$U$50,MATCH(D34,diakadat!$J$2:$J$50),1),"")</f>
        <v/>
      </c>
      <c r="AD34" t="str">
        <f>IFERROR(INDEX(diakadat!$V$2:$V$50,MATCH(D34,diakadat!$J$2:$J$50),1),"")</f>
        <v/>
      </c>
      <c r="AE34" t="str">
        <f>IFERROR(INDEX(diakadat!$W$2:$W$50,MATCH(D34,diakadat!$J$2:$J$50),1),"")</f>
        <v/>
      </c>
      <c r="AF34">
        <v>1025</v>
      </c>
      <c r="AG34" t="s">
        <v>912</v>
      </c>
      <c r="AH34" t="s">
        <v>1197</v>
      </c>
      <c r="AI34" t="str">
        <f>IFERROR(INDEX(diakadat!$X$2:$X$50,MATCH(D34,diakadat!$J$2:$J$50),1),"")</f>
        <v/>
      </c>
      <c r="AJ34">
        <v>352</v>
      </c>
      <c r="AK34">
        <f t="shared" si="0"/>
        <v>329</v>
      </c>
      <c r="AL34" t="str" cm="1">
        <f t="array" ref="AL34">ElsoBetuNagy(R34)</f>
        <v/>
      </c>
      <c r="AM34" t="s">
        <v>928</v>
      </c>
      <c r="AN34" t="s">
        <v>1156</v>
      </c>
      <c r="AO34" t="str" cm="1">
        <f t="array" ref="AO34">DatumSzovegge5(AN34)</f>
        <v>2025.</v>
      </c>
      <c r="AP34" t="str" cm="1">
        <f t="array" ref="AP34">DatumSzovegge3(AN34)</f>
        <v>június</v>
      </c>
      <c r="AQ34" t="str" cm="1">
        <f t="array" ref="AQ34">DatumSzovegge4(AN34)</f>
        <v>26.</v>
      </c>
      <c r="AR34" t="s">
        <v>912</v>
      </c>
    </row>
    <row r="35" spans="4:44" x14ac:dyDescent="0.25">
      <c r="D35" t="str" cm="1">
        <f t="array" ref="D35">SzuressNev($B$1,ROW()-1)</f>
        <v/>
      </c>
      <c r="E35">
        <f>COUNTIF($D$2:D35,D35)</f>
        <v>14</v>
      </c>
      <c r="F35" t="str" cm="1">
        <f t="array" ref="F35">ElutasitasEgyOk2(D35,E35)</f>
        <v/>
      </c>
      <c r="G35" t="str">
        <f>IFERROR(INDEX(diakadat!$I$2:$I$50,MATCH(D35,diakadat!$J$2:$J$50,0),1),"")</f>
        <v/>
      </c>
      <c r="H35" t="str">
        <f>IFERROR(INDEX(diakadat!$O$2:$O$50,MATCH(D35,diakadat!$J$2:$J$50,0),1),"")</f>
        <v/>
      </c>
      <c r="I35" t="str">
        <f>IFERROR(INDEX(diakadat!#REF!,MATCH(D35,diakadat!$J$2:$J$50,0),1),"")</f>
        <v/>
      </c>
      <c r="J35" t="str">
        <f>IFERROR(INDEX(diakadat!$K$2:$K$50,MATCH(D35,diakadat!$J$2:$J$50,0),1),"")</f>
        <v/>
      </c>
      <c r="K35" t="str" cm="1">
        <f t="array" ref="K35">IFERROR(DatumSzovegge2(INDEX(diakadat!$L$2:$L$50,MATCH(D35,diakadat!$J$2:$J$50,0),1)),"")</f>
        <v/>
      </c>
      <c r="L35" t="str" cm="1">
        <f t="array" ref="L35">IFERROR(DatumSzovegge5(INDEX(diakadat!$L$2:$L$50,MATCH(D35,diakadat!$J$2:$J$50,0),1)),"")</f>
        <v/>
      </c>
      <c r="M35" t="str" cm="1">
        <f t="array" ref="M35">IFERROR(DatumSzovegge3(INDEX(diakadat!$L$2:$L$50,MATCH(D35,diakadat!$J$2:$J$50,0),1)),"")</f>
        <v/>
      </c>
      <c r="N35" t="str" cm="1">
        <f t="array" ref="N35">IFERROR(DatumSzovegge4(INDEX(diakadat!$L$2:$L$50,MATCH(D35,diakadat!$J$2:$J$50,0),1)),"")</f>
        <v/>
      </c>
      <c r="O35" t="str">
        <f>IFERROR(INDEX(diakadat!$R$2:$R$50,MATCH(D35,diakadat!$J$2:$J$50,0),1),"")</f>
        <v/>
      </c>
      <c r="P35" t="str">
        <f>IFERROR(INDEX(diakadat!$AI$2:$AI$50,MATCH(D35,diakadat!$J$2:$J$50,0),1),"")</f>
        <v/>
      </c>
      <c r="Q35" t="str">
        <f>IFERROR(INDEX('rangsor'!$C$2:$C$343,MATCH(D35,'rangsor'!$A$2:$A$343,0),1),"")</f>
        <v/>
      </c>
      <c r="T35" t="s">
        <v>831</v>
      </c>
      <c r="U35" t="str" cm="1">
        <f t="array" ref="U35">Határozat(D35)</f>
        <v/>
      </c>
      <c r="AC35" t="str">
        <f>IFERROR(INDEX(diakadat!$U$2:$U$50,MATCH(D35,diakadat!$J$2:$J$50),1),"")</f>
        <v/>
      </c>
      <c r="AD35" t="str">
        <f>IFERROR(INDEX(diakadat!$V$2:$V$50,MATCH(D35,diakadat!$J$2:$J$50),1),"")</f>
        <v/>
      </c>
      <c r="AE35" t="str">
        <f>IFERROR(INDEX(diakadat!$W$2:$W$50,MATCH(D35,diakadat!$J$2:$J$50),1),"")</f>
        <v/>
      </c>
      <c r="AF35">
        <v>1033</v>
      </c>
      <c r="AG35" t="s">
        <v>912</v>
      </c>
      <c r="AH35" t="s">
        <v>1198</v>
      </c>
      <c r="AI35" t="str">
        <f>IFERROR(INDEX(diakadat!$X$2:$X$50,MATCH(D35,diakadat!$J$2:$J$50),1),"")</f>
        <v/>
      </c>
      <c r="AJ35">
        <v>357</v>
      </c>
      <c r="AK35">
        <f t="shared" si="0"/>
        <v>329</v>
      </c>
      <c r="AL35" t="str" cm="1">
        <f t="array" ref="AL35">ElsoBetuNagy(R35)</f>
        <v/>
      </c>
      <c r="AM35" t="s">
        <v>937</v>
      </c>
      <c r="AN35" t="s">
        <v>1156</v>
      </c>
      <c r="AO35" t="str" cm="1">
        <f t="array" ref="AO35">DatumSzovegge5(AN35)</f>
        <v>2025.</v>
      </c>
      <c r="AP35" t="str" cm="1">
        <f t="array" ref="AP35">DatumSzovegge3(AN35)</f>
        <v>június</v>
      </c>
      <c r="AQ35" t="str" cm="1">
        <f t="array" ref="AQ35">DatumSzovegge4(AN35)</f>
        <v>26.</v>
      </c>
      <c r="AR35" t="s">
        <v>912</v>
      </c>
    </row>
    <row r="36" spans="4:44" x14ac:dyDescent="0.25">
      <c r="D36" t="str" cm="1">
        <f t="array" ref="D36">SzuressNev($B$1,ROW()-1)</f>
        <v/>
      </c>
      <c r="E36">
        <f>COUNTIF($D$2:D36,D36)</f>
        <v>15</v>
      </c>
      <c r="F36" t="str" cm="1">
        <f t="array" ref="F36">ElutasitasEgyOk2(D36,E36)</f>
        <v/>
      </c>
      <c r="G36" t="str">
        <f>IFERROR(INDEX(diakadat!$I$2:$I$50,MATCH(D36,diakadat!$J$2:$J$50,0),1),"")</f>
        <v/>
      </c>
      <c r="H36" t="str">
        <f>IFERROR(INDEX(diakadat!$O$2:$O$50,MATCH(D36,diakadat!$J$2:$J$50,0),1),"")</f>
        <v/>
      </c>
      <c r="I36" t="str">
        <f>IFERROR(INDEX(diakadat!#REF!,MATCH(D36,diakadat!$J$2:$J$50,0),1),"")</f>
        <v/>
      </c>
      <c r="J36" t="str">
        <f>IFERROR(INDEX(diakadat!$K$2:$K$50,MATCH(D36,diakadat!$J$2:$J$50,0),1),"")</f>
        <v/>
      </c>
      <c r="K36" t="str" cm="1">
        <f t="array" ref="K36">IFERROR(DatumSzovegge2(INDEX(diakadat!$L$2:$L$50,MATCH(D36,diakadat!$J$2:$J$50,0),1)),"")</f>
        <v/>
      </c>
      <c r="L36" t="str" cm="1">
        <f t="array" ref="L36">IFERROR(DatumSzovegge5(INDEX(diakadat!$L$2:$L$50,MATCH(D36,diakadat!$J$2:$J$50,0),1)),"")</f>
        <v/>
      </c>
      <c r="M36" t="str" cm="1">
        <f t="array" ref="M36">IFERROR(DatumSzovegge3(INDEX(diakadat!$L$2:$L$50,MATCH(D36,diakadat!$J$2:$J$50,0),1)),"")</f>
        <v/>
      </c>
      <c r="N36" t="str" cm="1">
        <f t="array" ref="N36">IFERROR(DatumSzovegge4(INDEX(diakadat!$L$2:$L$50,MATCH(D36,diakadat!$J$2:$J$50,0),1)),"")</f>
        <v/>
      </c>
      <c r="O36" t="str">
        <f>IFERROR(INDEX(diakadat!$R$2:$R$50,MATCH(D36,diakadat!$J$2:$J$50,0),1),"")</f>
        <v/>
      </c>
      <c r="P36" t="str">
        <f>IFERROR(INDEX(diakadat!$AI$2:$AI$50,MATCH(D36,diakadat!$J$2:$J$50,0),1),"")</f>
        <v/>
      </c>
      <c r="Q36" t="str">
        <f>IFERROR(INDEX('rangsor'!$C$2:$C$343,MATCH(D36,'rangsor'!$A$2:$A$343,0),1),"")</f>
        <v/>
      </c>
      <c r="T36" t="s">
        <v>831</v>
      </c>
      <c r="U36" t="str" cm="1">
        <f t="array" ref="U36">Határozat(D36)</f>
        <v/>
      </c>
      <c r="AC36" t="str">
        <f>IFERROR(INDEX(diakadat!$U$2:$U$50,MATCH(D36,diakadat!$J$2:$J$50),1),"")</f>
        <v/>
      </c>
      <c r="AD36" t="str">
        <f>IFERROR(INDEX(diakadat!$V$2:$V$50,MATCH(D36,diakadat!$J$2:$J$50),1),"")</f>
        <v/>
      </c>
      <c r="AE36" t="str">
        <f>IFERROR(INDEX(diakadat!$W$2:$W$50,MATCH(D36,diakadat!$J$2:$J$50),1),"")</f>
        <v/>
      </c>
      <c r="AF36">
        <v>1037</v>
      </c>
      <c r="AG36" t="s">
        <v>912</v>
      </c>
      <c r="AH36" t="s">
        <v>1199</v>
      </c>
      <c r="AI36" t="str">
        <f>IFERROR(INDEX(diakadat!$X$2:$X$50,MATCH(D36,diakadat!$J$2:$J$50),1),"")</f>
        <v/>
      </c>
      <c r="AJ36">
        <v>358</v>
      </c>
      <c r="AK36">
        <f t="shared" si="0"/>
        <v>329</v>
      </c>
      <c r="AL36" t="str" cm="1">
        <f t="array" ref="AL36">ElsoBetuNagy(R36)</f>
        <v/>
      </c>
      <c r="AM36" t="s">
        <v>939</v>
      </c>
      <c r="AN36" t="s">
        <v>1156</v>
      </c>
      <c r="AO36" t="str" cm="1">
        <f t="array" ref="AO36">DatumSzovegge5(AN36)</f>
        <v>2025.</v>
      </c>
      <c r="AP36" t="str" cm="1">
        <f t="array" ref="AP36">DatumSzovegge3(AN36)</f>
        <v>június</v>
      </c>
      <c r="AQ36" t="str" cm="1">
        <f t="array" ref="AQ36">DatumSzovegge4(AN36)</f>
        <v>26.</v>
      </c>
      <c r="AR36" t="s">
        <v>912</v>
      </c>
    </row>
    <row r="37" spans="4:44" x14ac:dyDescent="0.25">
      <c r="D37" t="str" cm="1">
        <f t="array" ref="D37">SzuressNev($B$1,ROW()-1)</f>
        <v/>
      </c>
      <c r="E37">
        <f>COUNTIF($D$2:D37,D37)</f>
        <v>16</v>
      </c>
      <c r="F37" t="str" cm="1">
        <f t="array" ref="F37">ElutasitasEgyOk2(D37,E37)</f>
        <v/>
      </c>
      <c r="G37" t="str">
        <f>IFERROR(INDEX(diakadat!$I$2:$I$50,MATCH(D37,diakadat!$J$2:$J$50,0),1),"")</f>
        <v/>
      </c>
      <c r="H37" t="str">
        <f>IFERROR(INDEX(diakadat!$O$2:$O$50,MATCH(D37,diakadat!$J$2:$J$50,0),1),"")</f>
        <v/>
      </c>
      <c r="I37" t="str">
        <f>IFERROR(INDEX(diakadat!#REF!,MATCH(D37,diakadat!$J$2:$J$50,0),1),"")</f>
        <v/>
      </c>
      <c r="J37" t="str">
        <f>IFERROR(INDEX(diakadat!$K$2:$K$50,MATCH(D37,diakadat!$J$2:$J$50,0),1),"")</f>
        <v/>
      </c>
      <c r="K37" t="str" cm="1">
        <f t="array" ref="K37">IFERROR(DatumSzovegge2(INDEX(diakadat!$L$2:$L$50,MATCH(D37,diakadat!$J$2:$J$50,0),1)),"")</f>
        <v/>
      </c>
      <c r="L37" t="str" cm="1">
        <f t="array" ref="L37">IFERROR(DatumSzovegge5(INDEX(diakadat!$L$2:$L$50,MATCH(D37,diakadat!$J$2:$J$50,0),1)),"")</f>
        <v/>
      </c>
      <c r="M37" t="str" cm="1">
        <f t="array" ref="M37">IFERROR(DatumSzovegge3(INDEX(diakadat!$L$2:$L$50,MATCH(D37,diakadat!$J$2:$J$50,0),1)),"")</f>
        <v/>
      </c>
      <c r="N37" t="str" cm="1">
        <f t="array" ref="N37">IFERROR(DatumSzovegge4(INDEX(diakadat!$L$2:$L$50,MATCH(D37,diakadat!$J$2:$J$50,0),1)),"")</f>
        <v/>
      </c>
      <c r="O37" t="str">
        <f>IFERROR(INDEX(diakadat!$R$2:$R$50,MATCH(D37,diakadat!$J$2:$J$50,0),1),"")</f>
        <v/>
      </c>
      <c r="P37" t="str">
        <f>IFERROR(INDEX(diakadat!$AI$2:$AI$50,MATCH(D37,diakadat!$J$2:$J$50,0),1),"")</f>
        <v/>
      </c>
      <c r="Q37" t="str">
        <f>IFERROR(INDEX('rangsor'!$C$2:$C$343,MATCH(D37,'rangsor'!$A$2:$A$343,0),1),"")</f>
        <v/>
      </c>
      <c r="T37" t="s">
        <v>831</v>
      </c>
      <c r="U37" t="str" cm="1">
        <f t="array" ref="U37">Határozat(D37)</f>
        <v/>
      </c>
      <c r="AC37" t="str">
        <f>IFERROR(INDEX(diakadat!$U$2:$U$50,MATCH(D37,diakadat!$J$2:$J$50),1),"")</f>
        <v/>
      </c>
      <c r="AD37" t="str">
        <f>IFERROR(INDEX(diakadat!$V$2:$V$50,MATCH(D37,diakadat!$J$2:$J$50),1),"")</f>
        <v/>
      </c>
      <c r="AE37" t="str">
        <f>IFERROR(INDEX(diakadat!$W$2:$W$50,MATCH(D37,diakadat!$J$2:$J$50),1),"")</f>
        <v/>
      </c>
      <c r="AF37">
        <v>1091</v>
      </c>
      <c r="AG37" t="s">
        <v>912</v>
      </c>
      <c r="AH37" t="s">
        <v>1200</v>
      </c>
      <c r="AI37" t="str">
        <f>IFERROR(INDEX(diakadat!$X$2:$X$50,MATCH(D37,diakadat!$J$2:$J$50),1),"")</f>
        <v/>
      </c>
      <c r="AJ37">
        <v>359</v>
      </c>
      <c r="AK37">
        <f t="shared" si="0"/>
        <v>329</v>
      </c>
      <c r="AL37" t="str" cm="1">
        <f t="array" ref="AL37">ElsoBetuNagy(R37)</f>
        <v/>
      </c>
      <c r="AM37" t="s">
        <v>944</v>
      </c>
      <c r="AN37" t="s">
        <v>1156</v>
      </c>
      <c r="AO37" t="str" cm="1">
        <f t="array" ref="AO37">DatumSzovegge5(AN37)</f>
        <v>2025.</v>
      </c>
      <c r="AP37" t="str" cm="1">
        <f t="array" ref="AP37">DatumSzovegge3(AN37)</f>
        <v>június</v>
      </c>
      <c r="AQ37" t="str" cm="1">
        <f t="array" ref="AQ37">DatumSzovegge4(AN37)</f>
        <v>26.</v>
      </c>
      <c r="AR37" t="s">
        <v>912</v>
      </c>
    </row>
    <row r="38" spans="4:44" x14ac:dyDescent="0.25">
      <c r="D38" t="str" cm="1">
        <f t="array" ref="D38">SzuressNev($B$1,ROW()-1)</f>
        <v/>
      </c>
      <c r="E38">
        <f>COUNTIF($D$2:D38,D38)</f>
        <v>17</v>
      </c>
      <c r="F38" t="str" cm="1">
        <f t="array" ref="F38">ElutasitasEgyOk2(D38,E38)</f>
        <v/>
      </c>
      <c r="G38" t="str">
        <f>IFERROR(INDEX(diakadat!$I$2:$I$50,MATCH(D38,diakadat!$J$2:$J$50,0),1),"")</f>
        <v/>
      </c>
      <c r="H38" t="str">
        <f>IFERROR(INDEX(diakadat!$O$2:$O$50,MATCH(D38,diakadat!$J$2:$J$50,0),1),"")</f>
        <v/>
      </c>
      <c r="I38" t="str">
        <f>IFERROR(INDEX(diakadat!#REF!,MATCH(D38,diakadat!$J$2:$J$50,0),1),"")</f>
        <v/>
      </c>
      <c r="J38" t="str">
        <f>IFERROR(INDEX(diakadat!$K$2:$K$50,MATCH(D38,diakadat!$J$2:$J$50,0),1),"")</f>
        <v/>
      </c>
      <c r="K38" t="str" cm="1">
        <f t="array" ref="K38">IFERROR(DatumSzovegge2(INDEX(diakadat!$L$2:$L$50,MATCH(D38,diakadat!$J$2:$J$50,0),1)),"")</f>
        <v/>
      </c>
      <c r="L38" t="str" cm="1">
        <f t="array" ref="L38">IFERROR(DatumSzovegge5(INDEX(diakadat!$L$2:$L$50,MATCH(D38,diakadat!$J$2:$J$50,0),1)),"")</f>
        <v/>
      </c>
      <c r="M38" t="str" cm="1">
        <f t="array" ref="M38">IFERROR(DatumSzovegge3(INDEX(diakadat!$L$2:$L$50,MATCH(D38,diakadat!$J$2:$J$50,0),1)),"")</f>
        <v/>
      </c>
      <c r="N38" t="str" cm="1">
        <f t="array" ref="N38">IFERROR(DatumSzovegge4(INDEX(diakadat!$L$2:$L$50,MATCH(D38,diakadat!$J$2:$J$50,0),1)),"")</f>
        <v/>
      </c>
      <c r="O38" t="str">
        <f>IFERROR(INDEX(diakadat!$R$2:$R$50,MATCH(D38,diakadat!$J$2:$J$50,0),1),"")</f>
        <v/>
      </c>
      <c r="P38" t="str">
        <f>IFERROR(INDEX(diakadat!$AI$2:$AI$50,MATCH(D38,diakadat!$J$2:$J$50,0),1),"")</f>
        <v/>
      </c>
      <c r="Q38" t="str">
        <f>IFERROR(INDEX('rangsor'!$C$2:$C$343,MATCH(D38,'rangsor'!$A$2:$A$343,0),1),"")</f>
        <v/>
      </c>
      <c r="T38" t="s">
        <v>831</v>
      </c>
      <c r="U38" t="str" cm="1">
        <f t="array" ref="U38">Határozat(D38)</f>
        <v/>
      </c>
      <c r="AC38" t="str">
        <f>IFERROR(INDEX(diakadat!$U$2:$U$50,MATCH(D38,diakadat!$J$2:$J$50),1),"")</f>
        <v/>
      </c>
      <c r="AD38" t="str">
        <f>IFERROR(INDEX(diakadat!$V$2:$V$50,MATCH(D38,diakadat!$J$2:$J$50),1),"")</f>
        <v/>
      </c>
      <c r="AE38" t="str">
        <f>IFERROR(INDEX(diakadat!$W$2:$W$50,MATCH(D38,diakadat!$J$2:$J$50),1),"")</f>
        <v/>
      </c>
      <c r="AF38">
        <v>1091</v>
      </c>
      <c r="AG38" t="s">
        <v>912</v>
      </c>
      <c r="AH38" t="s">
        <v>1201</v>
      </c>
      <c r="AI38" t="str">
        <f>IFERROR(INDEX(diakadat!$X$2:$X$50,MATCH(D38,diakadat!$J$2:$J$50),1),"")</f>
        <v/>
      </c>
      <c r="AJ38">
        <v>360</v>
      </c>
      <c r="AK38">
        <f t="shared" si="0"/>
        <v>329</v>
      </c>
      <c r="AL38" t="str" cm="1">
        <f t="array" ref="AL38">ElsoBetuNagy(R38)</f>
        <v/>
      </c>
      <c r="AM38" t="s">
        <v>946</v>
      </c>
      <c r="AN38" t="s">
        <v>1156</v>
      </c>
      <c r="AO38" t="str" cm="1">
        <f t="array" ref="AO38">DatumSzovegge5(AN38)</f>
        <v>2025.</v>
      </c>
      <c r="AP38" t="str" cm="1">
        <f t="array" ref="AP38">DatumSzovegge3(AN38)</f>
        <v>június</v>
      </c>
      <c r="AQ38" t="str" cm="1">
        <f t="array" ref="AQ38">DatumSzovegge4(AN38)</f>
        <v>26.</v>
      </c>
      <c r="AR38" t="s">
        <v>912</v>
      </c>
    </row>
    <row r="39" spans="4:44" x14ac:dyDescent="0.25">
      <c r="D39" t="str" cm="1">
        <f t="array" ref="D39">SzuressNev($B$1,ROW()-1)</f>
        <v/>
      </c>
      <c r="E39">
        <f>COUNTIF($D$2:D39,D39)</f>
        <v>18</v>
      </c>
      <c r="F39" t="str" cm="1">
        <f t="array" ref="F39">ElutasitasEgyOk2(D39,E39)</f>
        <v/>
      </c>
      <c r="G39" t="str">
        <f>IFERROR(INDEX(diakadat!$I$2:$I$50,MATCH(D39,diakadat!$J$2:$J$50,0),1),"")</f>
        <v/>
      </c>
      <c r="H39" t="str">
        <f>IFERROR(INDEX(diakadat!$O$2:$O$50,MATCH(D39,diakadat!$J$2:$J$50,0),1),"")</f>
        <v/>
      </c>
      <c r="I39" t="str">
        <f>IFERROR(INDEX(diakadat!#REF!,MATCH(D39,diakadat!$J$2:$J$50,0),1),"")</f>
        <v/>
      </c>
      <c r="J39" t="str">
        <f>IFERROR(INDEX(diakadat!$K$2:$K$50,MATCH(D39,diakadat!$J$2:$J$50,0),1),"")</f>
        <v/>
      </c>
      <c r="K39" t="str" cm="1">
        <f t="array" ref="K39">IFERROR(DatumSzovegge2(INDEX(diakadat!$L$2:$L$50,MATCH(D39,diakadat!$J$2:$J$50,0),1)),"")</f>
        <v/>
      </c>
      <c r="L39" t="str" cm="1">
        <f t="array" ref="L39">IFERROR(DatumSzovegge5(INDEX(diakadat!$L$2:$L$50,MATCH(D39,diakadat!$J$2:$J$50,0),1)),"")</f>
        <v/>
      </c>
      <c r="M39" t="str" cm="1">
        <f t="array" ref="M39">IFERROR(DatumSzovegge3(INDEX(diakadat!$L$2:$L$50,MATCH(D39,diakadat!$J$2:$J$50,0),1)),"")</f>
        <v/>
      </c>
      <c r="N39" t="str" cm="1">
        <f t="array" ref="N39">IFERROR(DatumSzovegge4(INDEX(diakadat!$L$2:$L$50,MATCH(D39,diakadat!$J$2:$J$50,0),1)),"")</f>
        <v/>
      </c>
      <c r="O39" t="str">
        <f>IFERROR(INDEX(diakadat!$R$2:$R$50,MATCH(D39,diakadat!$J$2:$J$50,0),1),"")</f>
        <v/>
      </c>
      <c r="P39" t="str">
        <f>IFERROR(INDEX(diakadat!$AI$2:$AI$50,MATCH(D39,diakadat!$J$2:$J$50,0),1),"")</f>
        <v/>
      </c>
      <c r="Q39" t="str">
        <f>IFERROR(INDEX('rangsor'!$C$2:$C$343,MATCH(D39,'rangsor'!$A$2:$A$343,0),1),"")</f>
        <v/>
      </c>
      <c r="T39" t="s">
        <v>831</v>
      </c>
      <c r="U39" t="str" cm="1">
        <f t="array" ref="U39">Határozat(D39)</f>
        <v/>
      </c>
      <c r="AC39" t="str">
        <f>IFERROR(INDEX(diakadat!$U$2:$U$50,MATCH(D39,diakadat!$J$2:$J$50),1),"")</f>
        <v/>
      </c>
      <c r="AD39" t="str">
        <f>IFERROR(INDEX(diakadat!$V$2:$V$50,MATCH(D39,diakadat!$J$2:$J$50),1),"")</f>
        <v/>
      </c>
      <c r="AE39" t="str">
        <f>IFERROR(INDEX(diakadat!$W$2:$W$50,MATCH(D39,diakadat!$J$2:$J$50),1),"")</f>
        <v/>
      </c>
      <c r="AF39">
        <v>1095</v>
      </c>
      <c r="AG39" t="s">
        <v>912</v>
      </c>
      <c r="AH39" t="s">
        <v>1202</v>
      </c>
      <c r="AI39" t="str">
        <f>IFERROR(INDEX(diakadat!$X$2:$X$50,MATCH(D39,diakadat!$J$2:$J$50),1),"")</f>
        <v/>
      </c>
      <c r="AJ39">
        <v>353</v>
      </c>
      <c r="AK39">
        <f t="shared" si="0"/>
        <v>329</v>
      </c>
      <c r="AL39" t="str" cm="1">
        <f t="array" ref="AL39">ElsoBetuNagy(R39)</f>
        <v/>
      </c>
      <c r="AM39" t="s">
        <v>949</v>
      </c>
      <c r="AN39" t="s">
        <v>1156</v>
      </c>
      <c r="AO39" t="str" cm="1">
        <f t="array" ref="AO39">DatumSzovegge5(AN39)</f>
        <v>2025.</v>
      </c>
      <c r="AP39" t="str" cm="1">
        <f t="array" ref="AP39">DatumSzovegge3(AN39)</f>
        <v>június</v>
      </c>
      <c r="AQ39" t="str" cm="1">
        <f t="array" ref="AQ39">DatumSzovegge4(AN39)</f>
        <v>26.</v>
      </c>
      <c r="AR39" t="s">
        <v>912</v>
      </c>
    </row>
    <row r="40" spans="4:44" x14ac:dyDescent="0.25">
      <c r="D40" t="str" cm="1">
        <f t="array" ref="D40">SzuressNev($B$1,ROW()-1)</f>
        <v/>
      </c>
      <c r="E40">
        <f>COUNTIF($D$2:D40,D40)</f>
        <v>19</v>
      </c>
      <c r="F40" t="str" cm="1">
        <f t="array" ref="F40">ElutasitasEgyOk2(D40,E40)</f>
        <v/>
      </c>
      <c r="G40" t="str">
        <f>IFERROR(INDEX(diakadat!$I$2:$I$50,MATCH(D40,diakadat!$J$2:$J$50,0),1),"")</f>
        <v/>
      </c>
      <c r="H40" t="str">
        <f>IFERROR(INDEX(diakadat!$O$2:$O$50,MATCH(D40,diakadat!$J$2:$J$50,0),1),"")</f>
        <v/>
      </c>
      <c r="I40" t="str">
        <f>IFERROR(INDEX(diakadat!#REF!,MATCH(D40,diakadat!$J$2:$J$50,0),1),"")</f>
        <v/>
      </c>
      <c r="J40" t="str">
        <f>IFERROR(INDEX(diakadat!$K$2:$K$50,MATCH(D40,diakadat!$J$2:$J$50,0),1),"")</f>
        <v/>
      </c>
      <c r="K40" t="str" cm="1">
        <f t="array" ref="K40">IFERROR(DatumSzovegge2(INDEX(diakadat!$L$2:$L$50,MATCH(D40,diakadat!$J$2:$J$50,0),1)),"")</f>
        <v/>
      </c>
      <c r="L40" t="str" cm="1">
        <f t="array" ref="L40">IFERROR(DatumSzovegge5(INDEX(diakadat!$L$2:$L$50,MATCH(D40,diakadat!$J$2:$J$50,0),1)),"")</f>
        <v/>
      </c>
      <c r="M40" t="str" cm="1">
        <f t="array" ref="M40">IFERROR(DatumSzovegge3(INDEX(diakadat!$L$2:$L$50,MATCH(D40,diakadat!$J$2:$J$50,0),1)),"")</f>
        <v/>
      </c>
      <c r="N40" t="str" cm="1">
        <f t="array" ref="N40">IFERROR(DatumSzovegge4(INDEX(diakadat!$L$2:$L$50,MATCH(D40,diakadat!$J$2:$J$50,0),1)),"")</f>
        <v/>
      </c>
      <c r="O40" t="str">
        <f>IFERROR(INDEX(diakadat!$R$2:$R$50,MATCH(D40,diakadat!$J$2:$J$50,0),1),"")</f>
        <v/>
      </c>
      <c r="P40" t="str">
        <f>IFERROR(INDEX(diakadat!$AI$2:$AI$50,MATCH(D40,diakadat!$J$2:$J$50,0),1),"")</f>
        <v/>
      </c>
      <c r="Q40" t="str">
        <f>IFERROR(INDEX('rangsor'!$C$2:$C$343,MATCH(D40,'rangsor'!$A$2:$A$343,0),1),"")</f>
        <v/>
      </c>
      <c r="T40" t="s">
        <v>831</v>
      </c>
      <c r="U40" t="str" cm="1">
        <f t="array" ref="U40">Határozat(D40)</f>
        <v/>
      </c>
      <c r="AC40" t="str">
        <f>IFERROR(INDEX(diakadat!$U$2:$U$50,MATCH(D40,diakadat!$J$2:$J$50),1),"")</f>
        <v/>
      </c>
      <c r="AD40" t="str">
        <f>IFERROR(INDEX(diakadat!$V$2:$V$50,MATCH(D40,diakadat!$J$2:$J$50),1),"")</f>
        <v/>
      </c>
      <c r="AE40" t="str">
        <f>IFERROR(INDEX(diakadat!$W$2:$W$50,MATCH(D40,diakadat!$J$2:$J$50),1),"")</f>
        <v/>
      </c>
      <c r="AF40">
        <v>1093</v>
      </c>
      <c r="AG40" t="s">
        <v>1164</v>
      </c>
      <c r="AH40" t="s">
        <v>1203</v>
      </c>
      <c r="AI40" t="str">
        <f>IFERROR(INDEX(diakadat!$X$2:$X$50,MATCH(D40,diakadat!$J$2:$J$50),1),"")</f>
        <v/>
      </c>
      <c r="AJ40">
        <v>361</v>
      </c>
      <c r="AK40">
        <f t="shared" si="0"/>
        <v>329</v>
      </c>
      <c r="AL40" t="str" cm="1">
        <f t="array" ref="AL40">ElsoBetuNagy(R40)</f>
        <v/>
      </c>
      <c r="AM40" t="s">
        <v>954</v>
      </c>
      <c r="AN40" t="s">
        <v>1156</v>
      </c>
      <c r="AO40" t="str" cm="1">
        <f t="array" ref="AO40">DatumSzovegge5(AN40)</f>
        <v>2025.</v>
      </c>
      <c r="AP40" t="str" cm="1">
        <f t="array" ref="AP40">DatumSzovegge3(AN40)</f>
        <v>június</v>
      </c>
      <c r="AQ40" t="str" cm="1">
        <f t="array" ref="AQ40">DatumSzovegge4(AN40)</f>
        <v>26.</v>
      </c>
      <c r="AR40" t="s">
        <v>912</v>
      </c>
    </row>
    <row r="41" spans="4:44" x14ac:dyDescent="0.25">
      <c r="D41" t="str" cm="1">
        <f t="array" ref="D41">SzuressNev($B$1,ROW()-1)</f>
        <v/>
      </c>
      <c r="E41">
        <f>COUNTIF($D$2:D41,D41)</f>
        <v>20</v>
      </c>
      <c r="F41" t="str" cm="1">
        <f t="array" ref="F41">ElutasitasEgyOk2(D41,E41)</f>
        <v/>
      </c>
      <c r="G41" t="str">
        <f>IFERROR(INDEX(diakadat!$I$2:$I$50,MATCH(D41,diakadat!$J$2:$J$50,0),1),"")</f>
        <v/>
      </c>
      <c r="H41" t="str">
        <f>IFERROR(INDEX(diakadat!$O$2:$O$50,MATCH(D41,diakadat!$J$2:$J$50,0),1),"")</f>
        <v/>
      </c>
      <c r="I41" t="str">
        <f>IFERROR(INDEX(diakadat!#REF!,MATCH(D41,diakadat!$J$2:$J$50,0),1),"")</f>
        <v/>
      </c>
      <c r="J41" t="str">
        <f>IFERROR(INDEX(diakadat!$K$2:$K$50,MATCH(D41,diakadat!$J$2:$J$50,0),1),"")</f>
        <v/>
      </c>
      <c r="K41" t="str" cm="1">
        <f t="array" ref="K41">IFERROR(DatumSzovegge2(INDEX(diakadat!$L$2:$L$50,MATCH(D41,diakadat!$J$2:$J$50,0),1)),"")</f>
        <v/>
      </c>
      <c r="L41" t="str" cm="1">
        <f t="array" ref="L41">IFERROR(DatumSzovegge5(INDEX(diakadat!$L$2:$L$50,MATCH(D41,diakadat!$J$2:$J$50,0),1)),"")</f>
        <v/>
      </c>
      <c r="M41" t="str" cm="1">
        <f t="array" ref="M41">IFERROR(DatumSzovegge3(INDEX(diakadat!$L$2:$L$50,MATCH(D41,diakadat!$J$2:$J$50,0),1)),"")</f>
        <v/>
      </c>
      <c r="N41" t="str" cm="1">
        <f t="array" ref="N41">IFERROR(DatumSzovegge4(INDEX(diakadat!$L$2:$L$50,MATCH(D41,diakadat!$J$2:$J$50,0),1)),"")</f>
        <v/>
      </c>
      <c r="O41" t="str">
        <f>IFERROR(INDEX(diakadat!$R$2:$R$50,MATCH(D41,diakadat!$J$2:$J$50,0),1),"")</f>
        <v/>
      </c>
      <c r="P41" t="str">
        <f>IFERROR(INDEX(diakadat!$AI$2:$AI$50,MATCH(D41,diakadat!$J$2:$J$50,0),1),"")</f>
        <v/>
      </c>
      <c r="Q41" t="str">
        <f>IFERROR(INDEX('rangsor'!$C$2:$C$343,MATCH(D41,'rangsor'!$A$2:$A$343,0),1),"")</f>
        <v/>
      </c>
      <c r="T41" t="s">
        <v>831</v>
      </c>
      <c r="U41" t="str" cm="1">
        <f t="array" ref="U41">Határozat(D41)</f>
        <v/>
      </c>
      <c r="AC41" t="str">
        <f>IFERROR(INDEX(diakadat!$U$2:$U$50,MATCH(D41,diakadat!$J$2:$J$50),1),"")</f>
        <v/>
      </c>
      <c r="AD41" t="str">
        <f>IFERROR(INDEX(diakadat!$V$2:$V$50,MATCH(D41,diakadat!$J$2:$J$50),1),"")</f>
        <v/>
      </c>
      <c r="AE41" t="str">
        <f>IFERROR(INDEX(diakadat!$W$2:$W$50,MATCH(D41,diakadat!$J$2:$J$50),1),"")</f>
        <v/>
      </c>
      <c r="AF41">
        <v>1137</v>
      </c>
      <c r="AG41" t="s">
        <v>912</v>
      </c>
      <c r="AH41" t="s">
        <v>1204</v>
      </c>
      <c r="AI41" t="str">
        <f>IFERROR(INDEX(diakadat!$X$2:$X$50,MATCH(D41,diakadat!$J$2:$J$50),1),"")</f>
        <v/>
      </c>
      <c r="AJ41">
        <v>342</v>
      </c>
      <c r="AK41">
        <f t="shared" si="0"/>
        <v>329</v>
      </c>
      <c r="AL41" t="str" cm="1">
        <f t="array" ref="AL41">ElsoBetuNagy(R41)</f>
        <v/>
      </c>
      <c r="AM41" t="s">
        <v>956</v>
      </c>
      <c r="AN41" t="s">
        <v>1156</v>
      </c>
      <c r="AO41" t="str" cm="1">
        <f t="array" ref="AO41">DatumSzovegge5(AN41)</f>
        <v>2025.</v>
      </c>
      <c r="AP41" t="str" cm="1">
        <f t="array" ref="AP41">DatumSzovegge3(AN41)</f>
        <v>június</v>
      </c>
      <c r="AQ41" t="str" cm="1">
        <f t="array" ref="AQ41">DatumSzovegge4(AN41)</f>
        <v>26.</v>
      </c>
      <c r="AR41" t="s">
        <v>912</v>
      </c>
    </row>
    <row r="42" spans="4:44" x14ac:dyDescent="0.25">
      <c r="D42" t="str" cm="1">
        <f t="array" ref="D42">SzuressNev($B$1,ROW()-1)</f>
        <v/>
      </c>
      <c r="E42">
        <f>COUNTIF($D$2:D42,D42)</f>
        <v>21</v>
      </c>
      <c r="F42" t="str" cm="1">
        <f t="array" ref="F42">ElutasitasEgyOk2(D42,E42)</f>
        <v/>
      </c>
      <c r="G42" t="str">
        <f>IFERROR(INDEX(diakadat!$I$2:$I$50,MATCH(D42,diakadat!$J$2:$J$50,0),1),"")</f>
        <v/>
      </c>
      <c r="H42" t="str">
        <f>IFERROR(INDEX(diakadat!$O$2:$O$50,MATCH(D42,diakadat!$J$2:$J$50,0),1),"")</f>
        <v/>
      </c>
      <c r="I42" t="str">
        <f>IFERROR(INDEX(diakadat!#REF!,MATCH(D42,diakadat!$J$2:$J$50,0),1),"")</f>
        <v/>
      </c>
      <c r="J42" t="str">
        <f>IFERROR(INDEX(diakadat!$K$2:$K$50,MATCH(D42,diakadat!$J$2:$J$50,0),1),"")</f>
        <v/>
      </c>
      <c r="K42" t="str" cm="1">
        <f t="array" ref="K42">IFERROR(DatumSzovegge2(INDEX(diakadat!$L$2:$L$50,MATCH(D42,diakadat!$J$2:$J$50,0),1)),"")</f>
        <v/>
      </c>
      <c r="L42" t="str" cm="1">
        <f t="array" ref="L42">IFERROR(DatumSzovegge5(INDEX(diakadat!$L$2:$L$50,MATCH(D42,diakadat!$J$2:$J$50,0),1)),"")</f>
        <v/>
      </c>
      <c r="M42" t="str" cm="1">
        <f t="array" ref="M42">IFERROR(DatumSzovegge3(INDEX(diakadat!$L$2:$L$50,MATCH(D42,diakadat!$J$2:$J$50,0),1)),"")</f>
        <v/>
      </c>
      <c r="N42" t="str" cm="1">
        <f t="array" ref="N42">IFERROR(DatumSzovegge4(INDEX(diakadat!$L$2:$L$50,MATCH(D42,diakadat!$J$2:$J$50,0),1)),"")</f>
        <v/>
      </c>
      <c r="O42" t="str">
        <f>IFERROR(INDEX(diakadat!$R$2:$R$50,MATCH(D42,diakadat!$J$2:$J$50,0),1),"")</f>
        <v/>
      </c>
      <c r="P42" t="str">
        <f>IFERROR(INDEX(diakadat!$AI$2:$AI$50,MATCH(D42,diakadat!$J$2:$J$50,0),1),"")</f>
        <v/>
      </c>
      <c r="Q42" t="str">
        <f>IFERROR(INDEX('rangsor'!$C$2:$C$343,MATCH(D42,'rangsor'!$A$2:$A$343,0),1),"")</f>
        <v/>
      </c>
      <c r="T42" t="s">
        <v>831</v>
      </c>
      <c r="U42" t="str" cm="1">
        <f t="array" ref="U42">Határozat(D42)</f>
        <v/>
      </c>
      <c r="AC42" t="str">
        <f>IFERROR(INDEX(diakadat!$U$2:$U$50,MATCH(D42,diakadat!$J$2:$J$50),1),"")</f>
        <v/>
      </c>
      <c r="AD42" t="str">
        <f>IFERROR(INDEX(diakadat!$V$2:$V$50,MATCH(D42,diakadat!$J$2:$J$50),1),"")</f>
        <v/>
      </c>
      <c r="AE42" t="str">
        <f>IFERROR(INDEX(diakadat!$W$2:$W$50,MATCH(D42,diakadat!$J$2:$J$50),1),"")</f>
        <v/>
      </c>
      <c r="AF42">
        <v>1051</v>
      </c>
      <c r="AG42" t="s">
        <v>912</v>
      </c>
      <c r="AH42" t="s">
        <v>1205</v>
      </c>
      <c r="AI42" t="str">
        <f>IFERROR(INDEX(diakadat!$X$2:$X$50,MATCH(D42,diakadat!$J$2:$J$50),1),"")</f>
        <v/>
      </c>
      <c r="AJ42">
        <v>362</v>
      </c>
      <c r="AK42">
        <f t="shared" si="0"/>
        <v>329</v>
      </c>
      <c r="AL42" t="str" cm="1">
        <f t="array" ref="AL42">ElsoBetuNagy(R42)</f>
        <v/>
      </c>
      <c r="AM42" t="s">
        <v>963</v>
      </c>
      <c r="AN42" t="s">
        <v>1156</v>
      </c>
      <c r="AO42" t="str" cm="1">
        <f t="array" ref="AO42">DatumSzovegge5(AN42)</f>
        <v>2025.</v>
      </c>
      <c r="AP42" t="str" cm="1">
        <f t="array" ref="AP42">DatumSzovegge3(AN42)</f>
        <v>június</v>
      </c>
      <c r="AQ42" t="str" cm="1">
        <f t="array" ref="AQ42">DatumSzovegge4(AN42)</f>
        <v>26.</v>
      </c>
      <c r="AR42" t="s">
        <v>912</v>
      </c>
    </row>
    <row r="43" spans="4:44" x14ac:dyDescent="0.25">
      <c r="D43" t="str" cm="1">
        <f t="array" ref="D43">SzuressNev($B$1,ROW()-1)</f>
        <v/>
      </c>
      <c r="E43">
        <f>COUNTIF($D$2:D43,D43)</f>
        <v>22</v>
      </c>
      <c r="F43" t="str" cm="1">
        <f t="array" ref="F43">ElutasitasEgyOk2(D43,E43)</f>
        <v/>
      </c>
      <c r="G43" t="str">
        <f>IFERROR(INDEX(diakadat!$I$2:$I$50,MATCH(D43,diakadat!$J$2:$J$50,0),1),"")</f>
        <v/>
      </c>
      <c r="H43" t="str">
        <f>IFERROR(INDEX(diakadat!$O$2:$O$50,MATCH(D43,diakadat!$J$2:$J$50,0),1),"")</f>
        <v/>
      </c>
      <c r="I43" t="str">
        <f>IFERROR(INDEX(diakadat!#REF!,MATCH(D43,diakadat!$J$2:$J$50,0),1),"")</f>
        <v/>
      </c>
      <c r="J43" t="str">
        <f>IFERROR(INDEX(diakadat!$K$2:$K$50,MATCH(D43,diakadat!$J$2:$J$50,0),1),"")</f>
        <v/>
      </c>
      <c r="K43" t="str" cm="1">
        <f t="array" ref="K43">IFERROR(DatumSzovegge2(INDEX(diakadat!$L$2:$L$50,MATCH(D43,diakadat!$J$2:$J$50,0),1)),"")</f>
        <v/>
      </c>
      <c r="L43" t="str" cm="1">
        <f t="array" ref="L43">IFERROR(DatumSzovegge5(INDEX(diakadat!$L$2:$L$50,MATCH(D43,diakadat!$J$2:$J$50,0),1)),"")</f>
        <v/>
      </c>
      <c r="M43" t="str" cm="1">
        <f t="array" ref="M43">IFERROR(DatumSzovegge3(INDEX(diakadat!$L$2:$L$50,MATCH(D43,diakadat!$J$2:$J$50,0),1)),"")</f>
        <v/>
      </c>
      <c r="N43" t="str" cm="1">
        <f t="array" ref="N43">IFERROR(DatumSzovegge4(INDEX(diakadat!$L$2:$L$50,MATCH(D43,diakadat!$J$2:$J$50,0),1)),"")</f>
        <v/>
      </c>
      <c r="O43" t="str">
        <f>IFERROR(INDEX(diakadat!$R$2:$R$50,MATCH(D43,diakadat!$J$2:$J$50,0),1),"")</f>
        <v/>
      </c>
      <c r="P43" t="str">
        <f>IFERROR(INDEX(diakadat!$AI$2:$AI$50,MATCH(D43,diakadat!$J$2:$J$50,0),1),"")</f>
        <v/>
      </c>
      <c r="Q43" t="str">
        <f>IFERROR(INDEX('rangsor'!$C$2:$C$343,MATCH(D43,'rangsor'!$A$2:$A$343,0),1),"")</f>
        <v/>
      </c>
      <c r="T43" t="s">
        <v>831</v>
      </c>
      <c r="U43" t="str" cm="1">
        <f t="array" ref="U43">Határozat(D43)</f>
        <v/>
      </c>
      <c r="AC43" t="str">
        <f>IFERROR(INDEX(diakadat!$U$2:$U$50,MATCH(D43,diakadat!$J$2:$J$50),1),"")</f>
        <v/>
      </c>
      <c r="AD43" t="str">
        <f>IFERROR(INDEX(diakadat!$V$2:$V$50,MATCH(D43,diakadat!$J$2:$J$50),1),"")</f>
        <v/>
      </c>
      <c r="AE43" t="str">
        <f>IFERROR(INDEX(diakadat!$W$2:$W$50,MATCH(D43,diakadat!$J$2:$J$50),1),"")</f>
        <v/>
      </c>
      <c r="AF43">
        <v>1054</v>
      </c>
      <c r="AG43" t="s">
        <v>912</v>
      </c>
      <c r="AH43" t="s">
        <v>1206</v>
      </c>
      <c r="AI43" t="str">
        <f>IFERROR(INDEX(diakadat!$X$2:$X$50,MATCH(D43,diakadat!$J$2:$J$50),1),"")</f>
        <v/>
      </c>
      <c r="AJ43">
        <v>363</v>
      </c>
      <c r="AK43">
        <f t="shared" si="0"/>
        <v>329</v>
      </c>
      <c r="AL43" t="str" cm="1">
        <f t="array" ref="AL43">ElsoBetuNagy(R43)</f>
        <v/>
      </c>
      <c r="AM43" t="s">
        <v>1207</v>
      </c>
      <c r="AN43" t="s">
        <v>1156</v>
      </c>
      <c r="AO43" t="str" cm="1">
        <f t="array" ref="AO43">DatumSzovegge5(AN43)</f>
        <v>2025.</v>
      </c>
      <c r="AP43" t="str" cm="1">
        <f t="array" ref="AP43">DatumSzovegge3(AN43)</f>
        <v>június</v>
      </c>
      <c r="AQ43" t="str" cm="1">
        <f t="array" ref="AQ43">DatumSzovegge4(AN43)</f>
        <v>26.</v>
      </c>
      <c r="AR43" t="s">
        <v>912</v>
      </c>
    </row>
    <row r="44" spans="4:44" x14ac:dyDescent="0.25">
      <c r="D44" t="str" cm="1">
        <f t="array" ref="D44">SzuressNev($B$1,ROW()-1)</f>
        <v/>
      </c>
      <c r="E44">
        <f>COUNTIF($D$2:D44,D44)</f>
        <v>23</v>
      </c>
      <c r="F44" t="str" cm="1">
        <f t="array" ref="F44">ElutasitasEgyOk2(D44,E44)</f>
        <v/>
      </c>
      <c r="G44" t="str">
        <f>IFERROR(INDEX(diakadat!$I$2:$I$50,MATCH(D44,diakadat!$J$2:$J$50,0),1),"")</f>
        <v/>
      </c>
      <c r="H44" t="str">
        <f>IFERROR(INDEX(diakadat!$O$2:$O$50,MATCH(D44,diakadat!$J$2:$J$50,0),1),"")</f>
        <v/>
      </c>
      <c r="I44" t="str">
        <f>IFERROR(INDEX(diakadat!#REF!,MATCH(D44,diakadat!$J$2:$J$50,0),1),"")</f>
        <v/>
      </c>
      <c r="J44" t="str">
        <f>IFERROR(INDEX(diakadat!$K$2:$K$50,MATCH(D44,diakadat!$J$2:$J$50,0),1),"")</f>
        <v/>
      </c>
      <c r="K44" t="str" cm="1">
        <f t="array" ref="K44">IFERROR(DatumSzovegge2(INDEX(diakadat!$L$2:$L$50,MATCH(D44,diakadat!$J$2:$J$50,0),1)),"")</f>
        <v/>
      </c>
      <c r="L44" t="str" cm="1">
        <f t="array" ref="L44">IFERROR(DatumSzovegge5(INDEX(diakadat!$L$2:$L$50,MATCH(D44,diakadat!$J$2:$J$50,0),1)),"")</f>
        <v/>
      </c>
      <c r="M44" t="str" cm="1">
        <f t="array" ref="M44">IFERROR(DatumSzovegge3(INDEX(diakadat!$L$2:$L$50,MATCH(D44,diakadat!$J$2:$J$50,0),1)),"")</f>
        <v/>
      </c>
      <c r="N44" t="str" cm="1">
        <f t="array" ref="N44">IFERROR(DatumSzovegge4(INDEX(diakadat!$L$2:$L$50,MATCH(D44,diakadat!$J$2:$J$50,0),1)),"")</f>
        <v/>
      </c>
      <c r="O44" t="str">
        <f>IFERROR(INDEX(diakadat!$R$2:$R$50,MATCH(D44,diakadat!$J$2:$J$50,0),1),"")</f>
        <v/>
      </c>
      <c r="P44" t="str">
        <f>IFERROR(INDEX(diakadat!$AI$2:$AI$50,MATCH(D44,diakadat!$J$2:$J$50,0),1),"")</f>
        <v/>
      </c>
      <c r="Q44" t="str">
        <f>IFERROR(INDEX('rangsor'!$C$2:$C$343,MATCH(D44,'rangsor'!$A$2:$A$343,0),1),"")</f>
        <v/>
      </c>
      <c r="T44" t="s">
        <v>831</v>
      </c>
      <c r="U44" t="str" cm="1">
        <f t="array" ref="U44">Határozat(D44)</f>
        <v/>
      </c>
      <c r="AC44" t="str">
        <f>IFERROR(INDEX(diakadat!$U$2:$U$50,MATCH(D44,diakadat!$J$2:$J$50),1),"")</f>
        <v/>
      </c>
      <c r="AD44" t="str">
        <f>IFERROR(INDEX(diakadat!$V$2:$V$50,MATCH(D44,diakadat!$J$2:$J$50),1),"")</f>
        <v/>
      </c>
      <c r="AE44" t="str">
        <f>IFERROR(INDEX(diakadat!$W$2:$W$50,MATCH(D44,diakadat!$J$2:$J$50),1),"")</f>
        <v/>
      </c>
      <c r="AF44">
        <v>1054</v>
      </c>
      <c r="AG44" t="s">
        <v>912</v>
      </c>
      <c r="AH44" t="s">
        <v>1208</v>
      </c>
      <c r="AI44" t="str">
        <f>IFERROR(INDEX(diakadat!$X$2:$X$50,MATCH(D44,diakadat!$J$2:$J$50),1),"")</f>
        <v/>
      </c>
      <c r="AJ44">
        <v>364</v>
      </c>
      <c r="AK44">
        <f t="shared" si="0"/>
        <v>329</v>
      </c>
      <c r="AL44" t="str" cm="1">
        <f t="array" ref="AL44">ElsoBetuNagy(R44)</f>
        <v/>
      </c>
      <c r="AM44" t="s">
        <v>967</v>
      </c>
      <c r="AN44" t="s">
        <v>1156</v>
      </c>
      <c r="AO44" t="str" cm="1">
        <f t="array" ref="AO44">DatumSzovegge5(AN44)</f>
        <v>2025.</v>
      </c>
      <c r="AP44" t="str" cm="1">
        <f t="array" ref="AP44">DatumSzovegge3(AN44)</f>
        <v>június</v>
      </c>
      <c r="AQ44" t="str" cm="1">
        <f t="array" ref="AQ44">DatumSzovegge4(AN44)</f>
        <v>26.</v>
      </c>
      <c r="AR44" t="s">
        <v>912</v>
      </c>
    </row>
    <row r="45" spans="4:44" x14ac:dyDescent="0.25">
      <c r="D45" t="str" cm="1">
        <f t="array" ref="D45">SzuressNev($B$1,ROW()-1)</f>
        <v/>
      </c>
      <c r="E45">
        <f>COUNTIF($D$2:D45,D45)</f>
        <v>24</v>
      </c>
      <c r="F45" t="str" cm="1">
        <f t="array" ref="F45">ElutasitasEgyOk2(D45,E45)</f>
        <v/>
      </c>
      <c r="G45" t="str">
        <f>IFERROR(INDEX(diakadat!$I$2:$I$50,MATCH(D45,diakadat!$J$2:$J$50,0),1),"")</f>
        <v/>
      </c>
      <c r="H45" t="str">
        <f>IFERROR(INDEX(diakadat!$O$2:$O$50,MATCH(D45,diakadat!$J$2:$J$50,0),1),"")</f>
        <v/>
      </c>
      <c r="I45" t="str">
        <f>IFERROR(INDEX(diakadat!#REF!,MATCH(D45,diakadat!$J$2:$J$50,0),1),"")</f>
        <v/>
      </c>
      <c r="J45" t="str">
        <f>IFERROR(INDEX(diakadat!$K$2:$K$50,MATCH(D45,diakadat!$J$2:$J$50,0),1),"")</f>
        <v/>
      </c>
      <c r="K45" t="str" cm="1">
        <f t="array" ref="K45">IFERROR(DatumSzovegge2(INDEX(diakadat!$L$2:$L$50,MATCH(D45,diakadat!$J$2:$J$50,0),1)),"")</f>
        <v/>
      </c>
      <c r="L45" t="str" cm="1">
        <f t="array" ref="L45">IFERROR(DatumSzovegge5(INDEX(diakadat!$L$2:$L$50,MATCH(D45,diakadat!$J$2:$J$50,0),1)),"")</f>
        <v/>
      </c>
      <c r="M45" t="str" cm="1">
        <f t="array" ref="M45">IFERROR(DatumSzovegge3(INDEX(diakadat!$L$2:$L$50,MATCH(D45,diakadat!$J$2:$J$50,0),1)),"")</f>
        <v/>
      </c>
      <c r="N45" t="str" cm="1">
        <f t="array" ref="N45">IFERROR(DatumSzovegge4(INDEX(diakadat!$L$2:$L$50,MATCH(D45,diakadat!$J$2:$J$50,0),1)),"")</f>
        <v/>
      </c>
      <c r="O45" t="str">
        <f>IFERROR(INDEX(diakadat!$R$2:$R$50,MATCH(D45,diakadat!$J$2:$J$50,0),1),"")</f>
        <v/>
      </c>
      <c r="P45" t="str">
        <f>IFERROR(INDEX(diakadat!$AI$2:$AI$50,MATCH(D45,diakadat!$J$2:$J$50,0),1),"")</f>
        <v/>
      </c>
      <c r="Q45" t="str">
        <f>IFERROR(INDEX('rangsor'!$C$2:$C$343,MATCH(D45,'rangsor'!$A$2:$A$343,0),1),"")</f>
        <v/>
      </c>
      <c r="T45" t="s">
        <v>831</v>
      </c>
      <c r="U45" t="str" cm="1">
        <f t="array" ref="U45">Határozat(D45)</f>
        <v/>
      </c>
      <c r="AC45" t="str">
        <f>IFERROR(INDEX(diakadat!$U$2:$U$50,MATCH(D45,diakadat!$J$2:$J$50),1),"")</f>
        <v/>
      </c>
      <c r="AD45" t="str">
        <f>IFERROR(INDEX(diakadat!$V$2:$V$50,MATCH(D45,diakadat!$J$2:$J$50),1),"")</f>
        <v/>
      </c>
      <c r="AE45" t="str">
        <f>IFERROR(INDEX(diakadat!$W$2:$W$50,MATCH(D45,diakadat!$J$2:$J$50),1),"")</f>
        <v/>
      </c>
      <c r="AF45">
        <v>1056</v>
      </c>
      <c r="AG45" t="s">
        <v>912</v>
      </c>
      <c r="AH45" t="s">
        <v>1209</v>
      </c>
      <c r="AI45" t="str">
        <f>IFERROR(INDEX(diakadat!$X$2:$X$50,MATCH(D45,diakadat!$J$2:$J$50),1),"")</f>
        <v/>
      </c>
      <c r="AJ45">
        <v>334</v>
      </c>
      <c r="AK45">
        <f t="shared" si="0"/>
        <v>329</v>
      </c>
      <c r="AL45" t="str" cm="1">
        <f t="array" ref="AL45">ElsoBetuNagy(R45)</f>
        <v/>
      </c>
      <c r="AM45" t="s">
        <v>975</v>
      </c>
      <c r="AN45" t="s">
        <v>1156</v>
      </c>
      <c r="AO45" t="str" cm="1">
        <f t="array" ref="AO45">DatumSzovegge5(AN45)</f>
        <v>2025.</v>
      </c>
      <c r="AP45" t="str" cm="1">
        <f t="array" ref="AP45">DatumSzovegge3(AN45)</f>
        <v>június</v>
      </c>
      <c r="AQ45" t="str" cm="1">
        <f t="array" ref="AQ45">DatumSzovegge4(AN45)</f>
        <v>26.</v>
      </c>
      <c r="AR45" t="s">
        <v>912</v>
      </c>
    </row>
    <row r="46" spans="4:44" x14ac:dyDescent="0.25">
      <c r="D46" t="str" cm="1">
        <f t="array" ref="D46">SzuressNev($B$1,ROW()-1)</f>
        <v/>
      </c>
      <c r="E46">
        <f>COUNTIF($D$2:D46,D46)</f>
        <v>25</v>
      </c>
      <c r="F46" t="str" cm="1">
        <f t="array" ref="F46">ElutasitasEgyOk2(D46,E46)</f>
        <v/>
      </c>
      <c r="G46" t="str">
        <f>IFERROR(INDEX(diakadat!$I$2:$I$50,MATCH(D46,diakadat!$J$2:$J$50,0),1),"")</f>
        <v/>
      </c>
      <c r="H46" t="str">
        <f>IFERROR(INDEX(diakadat!$O$2:$O$50,MATCH(D46,diakadat!$J$2:$J$50,0),1),"")</f>
        <v/>
      </c>
      <c r="I46" t="str">
        <f>IFERROR(INDEX(diakadat!#REF!,MATCH(D46,diakadat!$J$2:$J$50,0),1),"")</f>
        <v/>
      </c>
      <c r="J46" t="str">
        <f>IFERROR(INDEX(diakadat!$K$2:$K$50,MATCH(D46,diakadat!$J$2:$J$50,0),1),"")</f>
        <v/>
      </c>
      <c r="K46" t="str" cm="1">
        <f t="array" ref="K46">IFERROR(DatumSzovegge2(INDEX(diakadat!$L$2:$L$50,MATCH(D46,diakadat!$J$2:$J$50,0),1)),"")</f>
        <v/>
      </c>
      <c r="L46" t="str" cm="1">
        <f t="array" ref="L46">IFERROR(DatumSzovegge5(INDEX(diakadat!$L$2:$L$50,MATCH(D46,diakadat!$J$2:$J$50,0),1)),"")</f>
        <v/>
      </c>
      <c r="M46" t="str" cm="1">
        <f t="array" ref="M46">IFERROR(DatumSzovegge3(INDEX(diakadat!$L$2:$L$50,MATCH(D46,diakadat!$J$2:$J$50,0),1)),"")</f>
        <v/>
      </c>
      <c r="N46" t="str" cm="1">
        <f t="array" ref="N46">IFERROR(DatumSzovegge4(INDEX(diakadat!$L$2:$L$50,MATCH(D46,diakadat!$J$2:$J$50,0),1)),"")</f>
        <v/>
      </c>
      <c r="O46" t="str">
        <f>IFERROR(INDEX(diakadat!$R$2:$R$50,MATCH(D46,diakadat!$J$2:$J$50,0),1),"")</f>
        <v/>
      </c>
      <c r="P46" t="str">
        <f>IFERROR(INDEX(diakadat!$AI$2:$AI$50,MATCH(D46,diakadat!$J$2:$J$50,0),1),"")</f>
        <v/>
      </c>
      <c r="Q46" t="str">
        <f>IFERROR(INDEX('rangsor'!$C$2:$C$343,MATCH(D46,'rangsor'!$A$2:$A$343,0),1),"")</f>
        <v/>
      </c>
      <c r="T46" t="s">
        <v>831</v>
      </c>
      <c r="U46" t="str" cm="1">
        <f t="array" ref="U46">Határozat(D46)</f>
        <v/>
      </c>
      <c r="AC46" t="str">
        <f>IFERROR(INDEX(diakadat!$U$2:$U$50,MATCH(D46,diakadat!$J$2:$J$50),1),"")</f>
        <v/>
      </c>
      <c r="AD46" t="str">
        <f>IFERROR(INDEX(diakadat!$V$2:$V$50,MATCH(D46,diakadat!$J$2:$J$50),1),"")</f>
        <v/>
      </c>
      <c r="AE46" t="str">
        <f>IFERROR(INDEX(diakadat!$W$2:$W$50,MATCH(D46,diakadat!$J$2:$J$50),1),"")</f>
        <v/>
      </c>
      <c r="AF46">
        <v>1062</v>
      </c>
      <c r="AG46" t="s">
        <v>912</v>
      </c>
      <c r="AH46" t="s">
        <v>1210</v>
      </c>
      <c r="AI46" t="str">
        <f>IFERROR(INDEX(diakadat!$X$2:$X$50,MATCH(D46,diakadat!$J$2:$J$50),1),"")</f>
        <v/>
      </c>
      <c r="AJ46">
        <v>365</v>
      </c>
      <c r="AK46">
        <f t="shared" si="0"/>
        <v>329</v>
      </c>
      <c r="AL46" t="str" cm="1">
        <f t="array" ref="AL46">ElsoBetuNagy(R46)</f>
        <v/>
      </c>
      <c r="AM46" t="s">
        <v>985</v>
      </c>
      <c r="AN46" t="s">
        <v>1156</v>
      </c>
      <c r="AO46" t="str" cm="1">
        <f t="array" ref="AO46">DatumSzovegge5(AN46)</f>
        <v>2025.</v>
      </c>
      <c r="AP46" t="str" cm="1">
        <f t="array" ref="AP46">DatumSzovegge3(AN46)</f>
        <v>június</v>
      </c>
      <c r="AQ46" t="str" cm="1">
        <f t="array" ref="AQ46">DatumSzovegge4(AN46)</f>
        <v>26.</v>
      </c>
      <c r="AR46" t="s">
        <v>912</v>
      </c>
    </row>
    <row r="47" spans="4:44" x14ac:dyDescent="0.25">
      <c r="D47" t="str" cm="1">
        <f t="array" ref="D47">SzuressNev($B$1,ROW()-1)</f>
        <v/>
      </c>
      <c r="E47">
        <f>COUNTIF($D$2:D47,D47)</f>
        <v>26</v>
      </c>
      <c r="F47" t="str" cm="1">
        <f t="array" ref="F47">ElutasitasEgyOk2(D47,E47)</f>
        <v/>
      </c>
      <c r="G47" t="str">
        <f>IFERROR(INDEX(diakadat!$I$2:$I$50,MATCH(D47,diakadat!$J$2:$J$50,0),1),"")</f>
        <v/>
      </c>
      <c r="H47" t="str">
        <f>IFERROR(INDEX(diakadat!$O$2:$O$50,MATCH(D47,diakadat!$J$2:$J$50,0),1),"")</f>
        <v/>
      </c>
      <c r="I47" t="str">
        <f>IFERROR(INDEX(diakadat!#REF!,MATCH(D47,diakadat!$J$2:$J$50,0),1),"")</f>
        <v/>
      </c>
      <c r="J47" t="str">
        <f>IFERROR(INDEX(diakadat!$K$2:$K$50,MATCH(D47,diakadat!$J$2:$J$50,0),1),"")</f>
        <v/>
      </c>
      <c r="K47" t="str" cm="1">
        <f t="array" ref="K47">IFERROR(DatumSzovegge2(INDEX(diakadat!$L$2:$L$50,MATCH(D47,diakadat!$J$2:$J$50,0),1)),"")</f>
        <v/>
      </c>
      <c r="L47" t="str" cm="1">
        <f t="array" ref="L47">IFERROR(DatumSzovegge5(INDEX(diakadat!$L$2:$L$50,MATCH(D47,diakadat!$J$2:$J$50,0),1)),"")</f>
        <v/>
      </c>
      <c r="M47" t="str" cm="1">
        <f t="array" ref="M47">IFERROR(DatumSzovegge3(INDEX(diakadat!$L$2:$L$50,MATCH(D47,diakadat!$J$2:$J$50,0),1)),"")</f>
        <v/>
      </c>
      <c r="N47" t="str" cm="1">
        <f t="array" ref="N47">IFERROR(DatumSzovegge4(INDEX(diakadat!$L$2:$L$50,MATCH(D47,diakadat!$J$2:$J$50,0),1)),"")</f>
        <v/>
      </c>
      <c r="O47" t="str">
        <f>IFERROR(INDEX(diakadat!$R$2:$R$50,MATCH(D47,diakadat!$J$2:$J$50,0),1),"")</f>
        <v/>
      </c>
      <c r="P47" t="str">
        <f>IFERROR(INDEX(diakadat!$AI$2:$AI$50,MATCH(D47,diakadat!$J$2:$J$50,0),1),"")</f>
        <v/>
      </c>
      <c r="Q47" t="str">
        <f>IFERROR(INDEX('rangsor'!$C$2:$C$343,MATCH(D47,'rangsor'!$A$2:$A$343,0),1),"")</f>
        <v/>
      </c>
      <c r="T47" t="s">
        <v>831</v>
      </c>
      <c r="U47" t="str" cm="1">
        <f t="array" ref="U47">Határozat(D47)</f>
        <v/>
      </c>
      <c r="AC47" t="str">
        <f>IFERROR(INDEX(diakadat!$U$2:$U$50,MATCH(D47,diakadat!$J$2:$J$50),1),"")</f>
        <v/>
      </c>
      <c r="AD47" t="str">
        <f>IFERROR(INDEX(diakadat!$V$2:$V$50,MATCH(D47,diakadat!$J$2:$J$50),1),"")</f>
        <v/>
      </c>
      <c r="AE47" t="str">
        <f>IFERROR(INDEX(diakadat!$W$2:$W$50,MATCH(D47,diakadat!$J$2:$J$50),1),"")</f>
        <v/>
      </c>
      <c r="AF47">
        <v>1062</v>
      </c>
      <c r="AG47" t="s">
        <v>912</v>
      </c>
      <c r="AH47" t="s">
        <v>1210</v>
      </c>
      <c r="AI47" t="str">
        <f>IFERROR(INDEX(diakadat!$X$2:$X$50,MATCH(D47,diakadat!$J$2:$J$50),1),"")</f>
        <v/>
      </c>
      <c r="AJ47">
        <v>343</v>
      </c>
      <c r="AK47">
        <f t="shared" si="0"/>
        <v>329</v>
      </c>
      <c r="AL47" t="str" cm="1">
        <f t="array" ref="AL47">ElsoBetuNagy(R47)</f>
        <v/>
      </c>
      <c r="AM47" t="s">
        <v>999</v>
      </c>
      <c r="AN47" t="s">
        <v>1156</v>
      </c>
      <c r="AO47" t="str" cm="1">
        <f t="array" ref="AO47">DatumSzovegge5(AN47)</f>
        <v>2025.</v>
      </c>
      <c r="AP47" t="str" cm="1">
        <f t="array" ref="AP47">DatumSzovegge3(AN47)</f>
        <v>június</v>
      </c>
      <c r="AQ47" t="str" cm="1">
        <f t="array" ref="AQ47">DatumSzovegge4(AN47)</f>
        <v>26.</v>
      </c>
      <c r="AR47" t="s">
        <v>912</v>
      </c>
    </row>
    <row r="48" spans="4:44" x14ac:dyDescent="0.25">
      <c r="D48" t="str" cm="1">
        <f t="array" ref="D48">SzuressNev($B$1,ROW()-1)</f>
        <v/>
      </c>
      <c r="E48">
        <f>COUNTIF($D$2:D48,D48)</f>
        <v>27</v>
      </c>
      <c r="F48" t="str" cm="1">
        <f t="array" ref="F48">ElutasitasEgyOk2(D48,E48)</f>
        <v/>
      </c>
      <c r="G48" t="str">
        <f>IFERROR(INDEX(diakadat!$I$2:$I$50,MATCH(D48,diakadat!$J$2:$J$50,0),1),"")</f>
        <v/>
      </c>
      <c r="H48" t="str">
        <f>IFERROR(INDEX(diakadat!$O$2:$O$50,MATCH(D48,diakadat!$J$2:$J$50,0),1),"")</f>
        <v/>
      </c>
      <c r="I48" t="str">
        <f>IFERROR(INDEX(diakadat!#REF!,MATCH(D48,diakadat!$J$2:$J$50,0),1),"")</f>
        <v/>
      </c>
      <c r="J48" t="str">
        <f>IFERROR(INDEX(diakadat!$K$2:$K$50,MATCH(D48,diakadat!$J$2:$J$50,0),1),"")</f>
        <v/>
      </c>
      <c r="K48" t="str" cm="1">
        <f t="array" ref="K48">IFERROR(DatumSzovegge2(INDEX(diakadat!$L$2:$L$50,MATCH(D48,diakadat!$J$2:$J$50,0),1)),"")</f>
        <v/>
      </c>
      <c r="L48" t="str" cm="1">
        <f t="array" ref="L48">IFERROR(DatumSzovegge5(INDEX(diakadat!$L$2:$L$50,MATCH(D48,diakadat!$J$2:$J$50,0),1)),"")</f>
        <v/>
      </c>
      <c r="M48" t="str" cm="1">
        <f t="array" ref="M48">IFERROR(DatumSzovegge3(INDEX(diakadat!$L$2:$L$50,MATCH(D48,diakadat!$J$2:$J$50,0),1)),"")</f>
        <v/>
      </c>
      <c r="N48" t="str" cm="1">
        <f t="array" ref="N48">IFERROR(DatumSzovegge4(INDEX(diakadat!$L$2:$L$50,MATCH(D48,diakadat!$J$2:$J$50,0),1)),"")</f>
        <v/>
      </c>
      <c r="O48" t="str">
        <f>IFERROR(INDEX(diakadat!$R$2:$R$50,MATCH(D48,diakadat!$J$2:$J$50,0),1),"")</f>
        <v/>
      </c>
      <c r="P48" t="str">
        <f>IFERROR(INDEX(diakadat!$AI$2:$AI$50,MATCH(D48,diakadat!$J$2:$J$50,0),1),"")</f>
        <v/>
      </c>
      <c r="Q48" t="str">
        <f>IFERROR(INDEX('rangsor'!$C$2:$C$343,MATCH(D48,'rangsor'!$A$2:$A$343,0),1),"")</f>
        <v/>
      </c>
      <c r="T48" t="s">
        <v>831</v>
      </c>
      <c r="U48" t="str" cm="1">
        <f t="array" ref="U48">Határozat(D48)</f>
        <v/>
      </c>
      <c r="AC48" t="str">
        <f>IFERROR(INDEX(diakadat!$U$2:$U$50,MATCH(D48,diakadat!$J$2:$J$50),1),"")</f>
        <v/>
      </c>
      <c r="AD48" t="str">
        <f>IFERROR(INDEX(diakadat!$V$2:$V$50,MATCH(D48,diakadat!$J$2:$J$50),1),"")</f>
        <v/>
      </c>
      <c r="AE48" t="str">
        <f>IFERROR(INDEX(diakadat!$W$2:$W$50,MATCH(D48,diakadat!$J$2:$J$50),1),"")</f>
        <v/>
      </c>
      <c r="AF48">
        <v>1068</v>
      </c>
      <c r="AG48" t="s">
        <v>912</v>
      </c>
      <c r="AH48" t="s">
        <v>1211</v>
      </c>
      <c r="AI48" t="str">
        <f>IFERROR(INDEX(diakadat!$X$2:$X$50,MATCH(D48,diakadat!$J$2:$J$50),1),"")</f>
        <v/>
      </c>
      <c r="AJ48">
        <v>335</v>
      </c>
      <c r="AK48">
        <f t="shared" si="0"/>
        <v>329</v>
      </c>
      <c r="AL48" t="str" cm="1">
        <f t="array" ref="AL48">ElsoBetuNagy(R48)</f>
        <v/>
      </c>
      <c r="AM48" t="s">
        <v>1001</v>
      </c>
      <c r="AN48" t="s">
        <v>1156</v>
      </c>
      <c r="AO48" t="str" cm="1">
        <f t="array" ref="AO48">DatumSzovegge5(AN48)</f>
        <v>2025.</v>
      </c>
      <c r="AP48" t="str" cm="1">
        <f t="array" ref="AP48">DatumSzovegge3(AN48)</f>
        <v>június</v>
      </c>
      <c r="AQ48" t="str" cm="1">
        <f t="array" ref="AQ48">DatumSzovegge4(AN48)</f>
        <v>26.</v>
      </c>
      <c r="AR48" t="s">
        <v>912</v>
      </c>
    </row>
    <row r="49" spans="4:44" x14ac:dyDescent="0.25">
      <c r="D49" t="str" cm="1">
        <f t="array" ref="D49">SzuressNev($B$1,ROW()-1)</f>
        <v/>
      </c>
      <c r="E49">
        <f>COUNTIF($D$2:D49,D49)</f>
        <v>28</v>
      </c>
      <c r="F49" t="str" cm="1">
        <f t="array" ref="F49">ElutasitasEgyOk2(D49,E49)</f>
        <v/>
      </c>
      <c r="G49" t="str">
        <f>IFERROR(INDEX(diakadat!$I$2:$I$50,MATCH(D49,diakadat!$J$2:$J$50,0),1),"")</f>
        <v/>
      </c>
      <c r="H49" t="str">
        <f>IFERROR(INDEX(diakadat!$O$2:$O$50,MATCH(D49,diakadat!$J$2:$J$50,0),1),"")</f>
        <v/>
      </c>
      <c r="I49" t="str">
        <f>IFERROR(INDEX(diakadat!#REF!,MATCH(D49,diakadat!$J$2:$J$50,0),1),"")</f>
        <v/>
      </c>
      <c r="J49" t="str">
        <f>IFERROR(INDEX(diakadat!$K$2:$K$50,MATCH(D49,diakadat!$J$2:$J$50,0),1),"")</f>
        <v/>
      </c>
      <c r="K49" t="str" cm="1">
        <f t="array" ref="K49">IFERROR(DatumSzovegge2(INDEX(diakadat!$L$2:$L$50,MATCH(D49,diakadat!$J$2:$J$50,0),1)),"")</f>
        <v/>
      </c>
      <c r="L49" t="str" cm="1">
        <f t="array" ref="L49">IFERROR(DatumSzovegge5(INDEX(diakadat!$L$2:$L$50,MATCH(D49,diakadat!$J$2:$J$50,0),1)),"")</f>
        <v/>
      </c>
      <c r="M49" t="str" cm="1">
        <f t="array" ref="M49">IFERROR(DatumSzovegge3(INDEX(diakadat!$L$2:$L$50,MATCH(D49,diakadat!$J$2:$J$50,0),1)),"")</f>
        <v/>
      </c>
      <c r="N49" t="str" cm="1">
        <f t="array" ref="N49">IFERROR(DatumSzovegge4(INDEX(diakadat!$L$2:$L$50,MATCH(D49,diakadat!$J$2:$J$50,0),1)),"")</f>
        <v/>
      </c>
      <c r="O49" t="str">
        <f>IFERROR(INDEX(diakadat!$R$2:$R$50,MATCH(D49,diakadat!$J$2:$J$50,0),1),"")</f>
        <v/>
      </c>
      <c r="P49" t="str">
        <f>IFERROR(INDEX(diakadat!$AI$2:$AI$50,MATCH(D49,diakadat!$J$2:$J$50,0),1),"")</f>
        <v/>
      </c>
      <c r="Q49" t="str">
        <f>IFERROR(INDEX('rangsor'!$C$2:$C$343,MATCH(D49,'rangsor'!$A$2:$A$343,0),1),"")</f>
        <v/>
      </c>
      <c r="T49" t="s">
        <v>831</v>
      </c>
      <c r="U49" t="str" cm="1">
        <f t="array" ref="U49">Határozat(D49)</f>
        <v/>
      </c>
      <c r="AC49" t="str">
        <f>IFERROR(INDEX(diakadat!$U$2:$U$50,MATCH(D49,diakadat!$J$2:$J$50),1),"")</f>
        <v/>
      </c>
      <c r="AD49" t="str">
        <f>IFERROR(INDEX(diakadat!$V$2:$V$50,MATCH(D49,diakadat!$J$2:$J$50),1),"")</f>
        <v/>
      </c>
      <c r="AE49" t="str">
        <f>IFERROR(INDEX(diakadat!$W$2:$W$50,MATCH(D49,diakadat!$J$2:$J$50),1),"")</f>
        <v/>
      </c>
      <c r="AF49">
        <v>1068</v>
      </c>
      <c r="AG49" t="s">
        <v>912</v>
      </c>
      <c r="AH49" t="s">
        <v>1212</v>
      </c>
      <c r="AI49" t="str">
        <f>IFERROR(INDEX(diakadat!$X$2:$X$50,MATCH(D49,diakadat!$J$2:$J$50),1),"")</f>
        <v/>
      </c>
      <c r="AJ49">
        <v>348</v>
      </c>
      <c r="AK49">
        <f t="shared" si="0"/>
        <v>329</v>
      </c>
      <c r="AL49" t="str" cm="1">
        <f t="array" ref="AL49">ElsoBetuNagy(R49)</f>
        <v/>
      </c>
      <c r="AM49" t="s">
        <v>1003</v>
      </c>
      <c r="AN49" t="s">
        <v>1156</v>
      </c>
      <c r="AO49" t="str" cm="1">
        <f t="array" ref="AO49">DatumSzovegge5(AN49)</f>
        <v>2025.</v>
      </c>
      <c r="AP49" t="str" cm="1">
        <f t="array" ref="AP49">DatumSzovegge3(AN49)</f>
        <v>június</v>
      </c>
      <c r="AQ49" t="str" cm="1">
        <f t="array" ref="AQ49">DatumSzovegge4(AN49)</f>
        <v>26.</v>
      </c>
      <c r="AR49" t="s">
        <v>912</v>
      </c>
    </row>
    <row r="50" spans="4:44" x14ac:dyDescent="0.25">
      <c r="D50" t="str" cm="1">
        <f t="array" ref="D50">SzuressNev($B$1,ROW()-1)</f>
        <v/>
      </c>
      <c r="E50">
        <f>COUNTIF($D$2:D50,D50)</f>
        <v>29</v>
      </c>
      <c r="F50" t="str" cm="1">
        <f t="array" ref="F50">ElutasitasEgyOk2(D50,E50)</f>
        <v/>
      </c>
      <c r="G50" t="str">
        <f>IFERROR(INDEX(diakadat!$I$2:$I$50,MATCH(D50,diakadat!$J$2:$J$50,0),1),"")</f>
        <v/>
      </c>
      <c r="H50" t="str">
        <f>IFERROR(INDEX(diakadat!$O$2:$O$50,MATCH(D50,diakadat!$J$2:$J$50,0),1),"")</f>
        <v/>
      </c>
      <c r="I50" t="str">
        <f>IFERROR(INDEX(diakadat!#REF!,MATCH(D50,diakadat!$J$2:$J$50,0),1),"")</f>
        <v/>
      </c>
      <c r="J50" t="str">
        <f>IFERROR(INDEX(diakadat!$K$2:$K$50,MATCH(D50,diakadat!$J$2:$J$50,0),1),"")</f>
        <v/>
      </c>
      <c r="K50" t="str" cm="1">
        <f t="array" ref="K50">IFERROR(DatumSzovegge2(INDEX(diakadat!$L$2:$L$50,MATCH(D50,diakadat!$J$2:$J$50,0),1)),"")</f>
        <v/>
      </c>
      <c r="L50" t="str" cm="1">
        <f t="array" ref="L50">IFERROR(DatumSzovegge5(INDEX(diakadat!$L$2:$L$50,MATCH(D50,diakadat!$J$2:$J$50,0),1)),"")</f>
        <v/>
      </c>
      <c r="M50" t="str" cm="1">
        <f t="array" ref="M50">IFERROR(DatumSzovegge3(INDEX(diakadat!$L$2:$L$50,MATCH(D50,diakadat!$J$2:$J$50,0),1)),"")</f>
        <v/>
      </c>
      <c r="N50" t="str" cm="1">
        <f t="array" ref="N50">IFERROR(DatumSzovegge4(INDEX(diakadat!$L$2:$L$50,MATCH(D50,diakadat!$J$2:$J$50,0),1)),"")</f>
        <v/>
      </c>
      <c r="O50" t="str">
        <f>IFERROR(INDEX(diakadat!$R$2:$R$50,MATCH(D50,diakadat!$J$2:$J$50,0),1),"")</f>
        <v/>
      </c>
      <c r="P50" t="str">
        <f>IFERROR(INDEX(diakadat!$AI$2:$AI$50,MATCH(D50,diakadat!$J$2:$J$50,0),1),"")</f>
        <v/>
      </c>
      <c r="Q50" t="str">
        <f>IFERROR(INDEX('rangsor'!$C$2:$C$343,MATCH(D50,'rangsor'!$A$2:$A$343,0),1),"")</f>
        <v/>
      </c>
      <c r="T50" t="s">
        <v>831</v>
      </c>
      <c r="U50" t="str" cm="1">
        <f t="array" ref="U50">Határozat(D50)</f>
        <v/>
      </c>
      <c r="AC50" t="str">
        <f>IFERROR(INDEX(diakadat!$U$2:$U$50,MATCH(D50,diakadat!$J$2:$J$50),1),"")</f>
        <v/>
      </c>
      <c r="AD50" t="str">
        <f>IFERROR(INDEX(diakadat!$V$2:$V$50,MATCH(D50,diakadat!$J$2:$J$50),1),"")</f>
        <v/>
      </c>
      <c r="AE50" t="str">
        <f>IFERROR(INDEX(diakadat!$W$2:$W$50,MATCH(D50,diakadat!$J$2:$J$50),1),"")</f>
        <v/>
      </c>
      <c r="AF50">
        <v>1078</v>
      </c>
      <c r="AG50" t="s">
        <v>912</v>
      </c>
      <c r="AH50" t="s">
        <v>1213</v>
      </c>
      <c r="AI50" t="str">
        <f>IFERROR(INDEX(diakadat!$X$2:$X$50,MATCH(D50,diakadat!$J$2:$J$50),1),"")</f>
        <v/>
      </c>
      <c r="AJ50">
        <v>366</v>
      </c>
      <c r="AK50">
        <f t="shared" si="0"/>
        <v>329</v>
      </c>
      <c r="AL50" t="str" cm="1">
        <f t="array" ref="AL50">ElsoBetuNagy(R50)</f>
        <v/>
      </c>
      <c r="AM50" t="s">
        <v>1011</v>
      </c>
      <c r="AN50" t="s">
        <v>1156</v>
      </c>
      <c r="AO50" t="str" cm="1">
        <f t="array" ref="AO50">DatumSzovegge5(AN50)</f>
        <v>2025.</v>
      </c>
      <c r="AP50" t="str" cm="1">
        <f t="array" ref="AP50">DatumSzovegge3(AN50)</f>
        <v>június</v>
      </c>
      <c r="AQ50" t="str" cm="1">
        <f t="array" ref="AQ50">DatumSzovegge4(AN50)</f>
        <v>26.</v>
      </c>
      <c r="AR50" t="s">
        <v>912</v>
      </c>
    </row>
    <row r="51" spans="4:44" x14ac:dyDescent="0.25">
      <c r="D51" t="str" cm="1">
        <f t="array" ref="D51">SzuressNev($B$1,ROW()-1)</f>
        <v/>
      </c>
      <c r="E51">
        <f>COUNTIF($D$2:D51,D51)</f>
        <v>30</v>
      </c>
      <c r="F51" t="str" cm="1">
        <f t="array" ref="F51">ElutasitasEgyOk2(D51,E51)</f>
        <v/>
      </c>
      <c r="G51" t="str">
        <f>IFERROR(INDEX(diakadat!$I$2:$I$50,MATCH(D51,diakadat!$J$2:$J$50,0),1),"")</f>
        <v/>
      </c>
      <c r="H51" t="str">
        <f>IFERROR(INDEX(diakadat!$O$2:$O$50,MATCH(D51,diakadat!$J$2:$J$50,0),1),"")</f>
        <v/>
      </c>
      <c r="I51" t="str">
        <f>IFERROR(INDEX(diakadat!#REF!,MATCH(D51,diakadat!$J$2:$J$50,0),1),"")</f>
        <v/>
      </c>
      <c r="J51" t="str">
        <f>IFERROR(INDEX(diakadat!$K$2:$K$50,MATCH(D51,diakadat!$J$2:$J$50,0),1),"")</f>
        <v/>
      </c>
      <c r="K51" t="str" cm="1">
        <f t="array" ref="K51">IFERROR(DatumSzovegge2(INDEX(diakadat!$L$2:$L$50,MATCH(D51,diakadat!$J$2:$J$50,0),1)),"")</f>
        <v/>
      </c>
      <c r="L51" t="str" cm="1">
        <f t="array" ref="L51">IFERROR(DatumSzovegge5(INDEX(diakadat!$L$2:$L$50,MATCH(D51,diakadat!$J$2:$J$50,0),1)),"")</f>
        <v/>
      </c>
      <c r="M51" t="str" cm="1">
        <f t="array" ref="M51">IFERROR(DatumSzovegge3(INDEX(diakadat!$L$2:$L$50,MATCH(D51,diakadat!$J$2:$J$50,0),1)),"")</f>
        <v/>
      </c>
      <c r="N51" t="str" cm="1">
        <f t="array" ref="N51">IFERROR(DatumSzovegge4(INDEX(diakadat!$L$2:$L$50,MATCH(D51,diakadat!$J$2:$J$50,0),1)),"")</f>
        <v/>
      </c>
      <c r="O51" t="str">
        <f>IFERROR(INDEX(diakadat!$R$2:$R$50,MATCH(D51,diakadat!$J$2:$J$50,0),1),"")</f>
        <v/>
      </c>
      <c r="P51" t="str">
        <f>IFERROR(INDEX(diakadat!$AI$2:$AI$50,MATCH(D51,diakadat!$J$2:$J$50,0),1),"")</f>
        <v/>
      </c>
      <c r="Q51" t="str">
        <f>IFERROR(INDEX('rangsor'!$C$2:$C$343,MATCH(D51,'rangsor'!$A$2:$A$343,0),1),"")</f>
        <v/>
      </c>
      <c r="T51" t="s">
        <v>831</v>
      </c>
      <c r="U51" t="str" cm="1">
        <f t="array" ref="U51">Határozat(D51)</f>
        <v/>
      </c>
      <c r="AC51" t="str">
        <f>IFERROR(INDEX(diakadat!$U$2:$U$50,MATCH(D51,diakadat!$J$2:$J$50),1),"")</f>
        <v/>
      </c>
      <c r="AD51" t="str">
        <f>IFERROR(INDEX(diakadat!$V$2:$V$50,MATCH(D51,diakadat!$J$2:$J$50),1),"")</f>
        <v/>
      </c>
      <c r="AE51" t="str">
        <f>IFERROR(INDEX(diakadat!$W$2:$W$50,MATCH(D51,diakadat!$J$2:$J$50),1),"")</f>
        <v/>
      </c>
      <c r="AF51">
        <v>1135</v>
      </c>
      <c r="AG51" t="s">
        <v>912</v>
      </c>
      <c r="AH51" t="s">
        <v>1214</v>
      </c>
      <c r="AI51" t="str">
        <f>IFERROR(INDEX(diakadat!$X$2:$X$50,MATCH(D51,diakadat!$J$2:$J$50),1),"")</f>
        <v/>
      </c>
      <c r="AJ51">
        <v>355</v>
      </c>
      <c r="AK51">
        <f t="shared" si="0"/>
        <v>329</v>
      </c>
      <c r="AL51" t="str" cm="1">
        <f t="array" ref="AL51">ElsoBetuNagy(R51)</f>
        <v/>
      </c>
      <c r="AM51" t="s">
        <v>1023</v>
      </c>
      <c r="AN51" t="s">
        <v>1156</v>
      </c>
      <c r="AO51" t="str" cm="1">
        <f t="array" ref="AO51">DatumSzovegge5(AN51)</f>
        <v>2025.</v>
      </c>
      <c r="AP51" t="str" cm="1">
        <f t="array" ref="AP51">DatumSzovegge3(AN51)</f>
        <v>június</v>
      </c>
      <c r="AQ51" t="str" cm="1">
        <f t="array" ref="AQ51">DatumSzovegge4(AN51)</f>
        <v>26.</v>
      </c>
      <c r="AR51" t="s">
        <v>912</v>
      </c>
    </row>
    <row r="52" spans="4:44" x14ac:dyDescent="0.25">
      <c r="D52" t="str" cm="1">
        <f t="array" ref="D52">SzuressNev($B$1,ROW()-1)</f>
        <v/>
      </c>
      <c r="E52">
        <f>COUNTIF($D$2:D593,D52)</f>
        <v>572</v>
      </c>
      <c r="F52" t="str" cm="1">
        <f t="array" ref="F52">ElutasitasEgyOk2(D52,E52)</f>
        <v/>
      </c>
      <c r="G52" t="str">
        <f>IFERROR(INDEX(diakadat!$I$2:$I$50,MATCH(D52,diakadat!$J$2:$J$50,0),1),"")</f>
        <v/>
      </c>
      <c r="H52" t="str">
        <f>IFERROR(INDEX(diakadat!$O$2:$O$50,MATCH(D52,diakadat!$J$2:$J$50,0),1),"")</f>
        <v/>
      </c>
      <c r="I52" t="str">
        <f>IFERROR(INDEX(diakadat!#REF!,MATCH(D52,diakadat!$J$2:$J$50,0),1),"")</f>
        <v/>
      </c>
      <c r="J52" t="str">
        <f>IFERROR(INDEX(diakadat!$K$2:$K$50,MATCH(D52,diakadat!$J$2:$J$50,0),1),"")</f>
        <v/>
      </c>
      <c r="K52" t="str" cm="1">
        <f t="array" ref="K52">IFERROR(DatumSzovegge2(INDEX(diakadat!$L$2:$L$50,MATCH(D52,diakadat!$J$2:$J$50,0),1)),"")</f>
        <v/>
      </c>
      <c r="L52" t="str" cm="1">
        <f t="array" ref="L52">IFERROR(DatumSzovegge5(INDEX(diakadat!$L$2:$L$50,MATCH(D52,diakadat!$J$2:$J$50,0),1)),"")</f>
        <v/>
      </c>
      <c r="M52" t="str" cm="1">
        <f t="array" ref="M52">IFERROR(DatumSzovegge3(INDEX(diakadat!$L$2:$L$50,MATCH(D52,diakadat!$J$2:$J$50,0),1)),"")</f>
        <v/>
      </c>
      <c r="N52" t="str" cm="1">
        <f t="array" ref="N52">IFERROR(DatumSzovegge4(INDEX(diakadat!$L$2:$L$50,MATCH(D52,diakadat!$J$2:$J$50,0),1)),"")</f>
        <v/>
      </c>
      <c r="O52" t="str">
        <f>IFERROR(INDEX(diakadat!$R$2:$R$50,MATCH(D52,diakadat!$J$2:$J$50,0),1),"")</f>
        <v/>
      </c>
      <c r="P52" t="str">
        <f>IFERROR(INDEX(diakadat!$AI$2:$AI$50,MATCH(D52,diakadat!$J$2:$J$50,0),1),"")</f>
        <v/>
      </c>
      <c r="Q52" t="str">
        <f>IFERROR(INDEX('rangsor'!$C$2:$C$343,MATCH(D52,'rangsor'!$A$2:$A$343,0),1),"")</f>
        <v/>
      </c>
      <c r="T52" t="s">
        <v>831</v>
      </c>
      <c r="U52" t="str" cm="1">
        <f t="array" ref="U52">Határozat(D52)</f>
        <v/>
      </c>
      <c r="AC52" t="str">
        <f>IFERROR(INDEX(diakadat!$U$2:$U$50,MATCH(D52,diakadat!$J$2:$J$50),1),"")</f>
        <v/>
      </c>
      <c r="AD52" t="str">
        <f>IFERROR(INDEX(diakadat!$V$2:$V$50,MATCH(D52,diakadat!$J$2:$J$50),1),"")</f>
        <v/>
      </c>
      <c r="AE52" t="str">
        <f>IFERROR(INDEX(diakadat!$W$2:$W$50,MATCH(D52,diakadat!$J$2:$J$50),1),"")</f>
        <v/>
      </c>
      <c r="AF52">
        <v>1137</v>
      </c>
      <c r="AG52" t="s">
        <v>912</v>
      </c>
      <c r="AH52" t="s">
        <v>1215</v>
      </c>
      <c r="AI52" t="str">
        <f>IFERROR(INDEX(diakadat!$X$2:$X$50,MATCH(D52,diakadat!$J$2:$J$50),1),"")</f>
        <v/>
      </c>
      <c r="AJ52">
        <v>347</v>
      </c>
      <c r="AK52">
        <f t="shared" si="0"/>
        <v>329</v>
      </c>
      <c r="AL52" t="str" cm="1">
        <f t="array" ref="AL52">ElsoBetuNagy(R52)</f>
        <v/>
      </c>
      <c r="AM52" t="s">
        <v>1052</v>
      </c>
      <c r="AN52" t="s">
        <v>1156</v>
      </c>
      <c r="AO52" t="str" cm="1">
        <f t="array" ref="AO52">DatumSzovegge5(AN52)</f>
        <v>2025.</v>
      </c>
      <c r="AP52" t="str" cm="1">
        <f t="array" ref="AP52">DatumSzovegge3(AN52)</f>
        <v>június</v>
      </c>
      <c r="AQ52" t="str" cm="1">
        <f t="array" ref="AQ52">DatumSzovegge4(AN52)</f>
        <v>26.</v>
      </c>
      <c r="AR52" t="s">
        <v>912</v>
      </c>
    </row>
    <row r="53" spans="4:44" x14ac:dyDescent="0.25">
      <c r="D53" t="str" cm="1">
        <f t="array" ref="D53">SzuressNev($B$1,ROW()-1)</f>
        <v/>
      </c>
      <c r="E53">
        <f>COUNTIF($D$2:D593,D53)</f>
        <v>572</v>
      </c>
      <c r="F53" t="str" cm="1">
        <f t="array" ref="F53">ElutasitasEgyOk2(D53,E53)</f>
        <v/>
      </c>
      <c r="G53" t="str">
        <f>IFERROR(INDEX(diakadat!$I$2:$I$50,MATCH(D53,diakadat!$J$2:$J$50,0),1),"")</f>
        <v/>
      </c>
      <c r="H53" t="str">
        <f>IFERROR(INDEX(diakadat!$O$2:$O$50,MATCH(D53,diakadat!$J$2:$J$50,0),1),"")</f>
        <v/>
      </c>
      <c r="I53" t="str">
        <f>IFERROR(INDEX(diakadat!#REF!,MATCH(D53,diakadat!$J$2:$J$50,0),1),"")</f>
        <v/>
      </c>
      <c r="J53" t="str">
        <f>IFERROR(INDEX(diakadat!$K$2:$K$50,MATCH(D53,diakadat!$J$2:$J$50,0),1),"")</f>
        <v/>
      </c>
      <c r="K53" t="str" cm="1">
        <f t="array" ref="K53">IFERROR(DatumSzovegge2(INDEX(diakadat!$L$2:$L$50,MATCH(D53,diakadat!$J$2:$J$50,0),1)),"")</f>
        <v/>
      </c>
      <c r="L53" t="str" cm="1">
        <f t="array" ref="L53">IFERROR(DatumSzovegge5(INDEX(diakadat!$L$2:$L$50,MATCH(D53,diakadat!$J$2:$J$50,0),1)),"")</f>
        <v/>
      </c>
      <c r="M53" t="str" cm="1">
        <f t="array" ref="M53">IFERROR(DatumSzovegge3(INDEX(diakadat!$L$2:$L$50,MATCH(D53,diakadat!$J$2:$J$50,0),1)),"")</f>
        <v/>
      </c>
      <c r="N53" t="str" cm="1">
        <f t="array" ref="N53">IFERROR(DatumSzovegge4(INDEX(diakadat!$L$2:$L$50,MATCH(D53,diakadat!$J$2:$J$50,0),1)),"")</f>
        <v/>
      </c>
      <c r="O53" t="str">
        <f>IFERROR(INDEX(diakadat!$R$2:$R$50,MATCH(D53,diakadat!$J$2:$J$50,0),1),"")</f>
        <v/>
      </c>
      <c r="P53" t="str">
        <f>IFERROR(INDEX(diakadat!$AI$2:$AI$50,MATCH(D53,diakadat!$J$2:$J$50,0),1),"")</f>
        <v/>
      </c>
      <c r="Q53" t="str">
        <f>IFERROR(INDEX('rangsor'!$C$2:$C$343,MATCH(D53,'rangsor'!$A$2:$A$343,0),1),"")</f>
        <v/>
      </c>
      <c r="T53" t="s">
        <v>831</v>
      </c>
      <c r="U53" t="str" cm="1">
        <f t="array" ref="U53">Határozat(D53)</f>
        <v/>
      </c>
      <c r="AC53" t="str">
        <f>IFERROR(INDEX(diakadat!$U$2:$U$50,MATCH(D53,diakadat!$J$2:$J$50),1),"")</f>
        <v/>
      </c>
      <c r="AD53" t="str">
        <f>IFERROR(INDEX(diakadat!$V$2:$V$50,MATCH(D53,diakadat!$J$2:$J$50),1),"")</f>
        <v/>
      </c>
      <c r="AE53" t="str">
        <f>IFERROR(INDEX(diakadat!$W$2:$W$50,MATCH(D53,diakadat!$J$2:$J$50),1),"")</f>
        <v/>
      </c>
      <c r="AF53">
        <v>1139</v>
      </c>
      <c r="AG53" t="s">
        <v>912</v>
      </c>
      <c r="AH53" t="s">
        <v>1216</v>
      </c>
      <c r="AI53" t="str">
        <f>IFERROR(INDEX(diakadat!$X$2:$X$50,MATCH(D53,diakadat!$J$2:$J$50),1),"")</f>
        <v/>
      </c>
      <c r="AJ53">
        <v>340</v>
      </c>
      <c r="AK53">
        <f t="shared" si="0"/>
        <v>329</v>
      </c>
      <c r="AL53" t="str" cm="1">
        <f t="array" ref="AL53">ElsoBetuNagy(R53)</f>
        <v/>
      </c>
      <c r="AM53" t="s">
        <v>1057</v>
      </c>
      <c r="AN53" t="s">
        <v>1156</v>
      </c>
      <c r="AO53" t="str" cm="1">
        <f t="array" ref="AO53">DatumSzovegge5(AN53)</f>
        <v>2025.</v>
      </c>
      <c r="AP53" t="str" cm="1">
        <f t="array" ref="AP53">DatumSzovegge3(AN53)</f>
        <v>június</v>
      </c>
      <c r="AQ53" t="str" cm="1">
        <f t="array" ref="AQ53">DatumSzovegge4(AN53)</f>
        <v>26.</v>
      </c>
      <c r="AR53" t="s">
        <v>912</v>
      </c>
    </row>
    <row r="54" spans="4:44" x14ac:dyDescent="0.25">
      <c r="D54" t="str" cm="1">
        <f t="array" ref="D54">SzuressNev($B$1,ROW()-1)</f>
        <v/>
      </c>
      <c r="E54">
        <f>COUNTIF($D$2:D54,D54)</f>
        <v>33</v>
      </c>
      <c r="F54" t="str" cm="1">
        <f t="array" ref="F54">ElutasitasEgyOk2(D54,E54)</f>
        <v/>
      </c>
      <c r="G54" t="str">
        <f>IFERROR(INDEX(diakadat!$I$2:$I$50,MATCH(D54,diakadat!$J$2:$J$50,0),1),"")</f>
        <v/>
      </c>
      <c r="H54" t="str">
        <f>IFERROR(INDEX(diakadat!$O$2:$O$50,MATCH(D54,diakadat!$J$2:$J$50,0),1),"")</f>
        <v/>
      </c>
      <c r="I54" t="str">
        <f>IFERROR(INDEX(diakadat!#REF!,MATCH(D54,diakadat!$J$2:$J$50,0),1),"")</f>
        <v/>
      </c>
      <c r="J54" t="str">
        <f>IFERROR(INDEX(diakadat!$K$2:$K$50,MATCH(D54,diakadat!$J$2:$J$50,0),1),"")</f>
        <v/>
      </c>
      <c r="K54" t="str" cm="1">
        <f t="array" ref="K54">IFERROR(DatumSzovegge2(INDEX(diakadat!$L$2:$L$50,MATCH(D54,diakadat!$J$2:$J$50,0),1)),"")</f>
        <v/>
      </c>
      <c r="L54" t="str" cm="1">
        <f t="array" ref="L54">IFERROR(DatumSzovegge5(INDEX(diakadat!$L$2:$L$50,MATCH(D54,diakadat!$J$2:$J$50,0),1)),"")</f>
        <v/>
      </c>
      <c r="M54" t="str" cm="1">
        <f t="array" ref="M54">IFERROR(DatumSzovegge3(INDEX(diakadat!$L$2:$L$50,MATCH(D54,diakadat!$J$2:$J$50,0),1)),"")</f>
        <v/>
      </c>
      <c r="N54" t="str" cm="1">
        <f t="array" ref="N54">IFERROR(DatumSzovegge4(INDEX(diakadat!$L$2:$L$50,MATCH(D54,diakadat!$J$2:$J$50,0),1)),"")</f>
        <v/>
      </c>
      <c r="O54" t="str">
        <f>IFERROR(INDEX(diakadat!$R$2:$R$50,MATCH(D54,diakadat!$J$2:$J$50,0),1),"")</f>
        <v/>
      </c>
      <c r="P54" t="str">
        <f>IFERROR(INDEX(diakadat!$AI$2:$AI$50,MATCH(D54,diakadat!$J$2:$J$50,0),1),"")</f>
        <v/>
      </c>
      <c r="Q54" t="str">
        <f>IFERROR(INDEX('rangsor'!$C$2:$C$343,MATCH(D54,'rangsor'!$A$2:$A$343,0),1),"")</f>
        <v/>
      </c>
      <c r="T54" t="s">
        <v>831</v>
      </c>
      <c r="U54" t="str" cm="1">
        <f t="array" ref="U54">Határozat(D54)</f>
        <v/>
      </c>
      <c r="AC54" t="str">
        <f>IFERROR(INDEX(diakadat!$U$2:$U$50,MATCH(D54,diakadat!$J$2:$J$50),1),"")</f>
        <v/>
      </c>
      <c r="AD54" t="str">
        <f>IFERROR(INDEX(diakadat!$V$2:$V$50,MATCH(D54,diakadat!$J$2:$J$50),1),"")</f>
        <v/>
      </c>
      <c r="AE54" t="str">
        <f>IFERROR(INDEX(diakadat!$W$2:$W$50,MATCH(D54,diakadat!$J$2:$J$50),1),"")</f>
        <v/>
      </c>
      <c r="AF54">
        <v>1137</v>
      </c>
      <c r="AG54" t="s">
        <v>912</v>
      </c>
      <c r="AH54" t="s">
        <v>1217</v>
      </c>
      <c r="AI54" t="str">
        <f>IFERROR(INDEX(diakadat!$X$2:$X$50,MATCH(D54,diakadat!$J$2:$J$50),1),"")</f>
        <v/>
      </c>
      <c r="AJ54">
        <v>367</v>
      </c>
      <c r="AK54">
        <f t="shared" si="0"/>
        <v>329</v>
      </c>
      <c r="AL54" t="str" cm="1">
        <f t="array" ref="AL54">ElsoBetuNagy(R54)</f>
        <v/>
      </c>
      <c r="AM54" t="s">
        <v>1060</v>
      </c>
      <c r="AN54" t="s">
        <v>1156</v>
      </c>
      <c r="AO54" t="str" cm="1">
        <f t="array" ref="AO54">DatumSzovegge5(AN54)</f>
        <v>2025.</v>
      </c>
      <c r="AP54" t="str" cm="1">
        <f t="array" ref="AP54">DatumSzovegge3(AN54)</f>
        <v>június</v>
      </c>
      <c r="AQ54" t="str" cm="1">
        <f t="array" ref="AQ54">DatumSzovegge4(AN54)</f>
        <v>26.</v>
      </c>
      <c r="AR54" t="s">
        <v>912</v>
      </c>
    </row>
    <row r="55" spans="4:44" x14ac:dyDescent="0.25">
      <c r="D55" t="str" cm="1">
        <f t="array" ref="D55">SzuressNev($B$1,ROW()-1)</f>
        <v/>
      </c>
      <c r="E55">
        <f>COUNTIF($D$2:D55,D55)</f>
        <v>34</v>
      </c>
      <c r="F55" t="str" cm="1">
        <f t="array" ref="F55">ElutasitasEgyOk2(D55,E55)</f>
        <v/>
      </c>
      <c r="G55" t="str">
        <f>IFERROR(INDEX(diakadat!$I$2:$I$50,MATCH(D55,diakadat!$J$2:$J$50,0),1),"")</f>
        <v/>
      </c>
      <c r="H55" t="str">
        <f>IFERROR(INDEX(diakadat!$O$2:$O$50,MATCH(D55,diakadat!$J$2:$J$50,0),1),"")</f>
        <v/>
      </c>
      <c r="I55" t="str">
        <f>IFERROR(INDEX(diakadat!#REF!,MATCH(D55,diakadat!$J$2:$J$50,0),1),"")</f>
        <v/>
      </c>
      <c r="J55" t="str">
        <f>IFERROR(INDEX(diakadat!$K$2:$K$50,MATCH(D55,diakadat!$J$2:$J$50,0),1),"")</f>
        <v/>
      </c>
      <c r="K55" t="str" cm="1">
        <f t="array" ref="K55">IFERROR(DatumSzovegge2(INDEX(diakadat!$L$2:$L$50,MATCH(D55,diakadat!$J$2:$J$50,0),1)),"")</f>
        <v/>
      </c>
      <c r="L55" t="str" cm="1">
        <f t="array" ref="L55">IFERROR(DatumSzovegge5(INDEX(diakadat!$L$2:$L$50,MATCH(D55,diakadat!$J$2:$J$50,0),1)),"")</f>
        <v/>
      </c>
      <c r="M55" t="str" cm="1">
        <f t="array" ref="M55">IFERROR(DatumSzovegge3(INDEX(diakadat!$L$2:$L$50,MATCH(D55,diakadat!$J$2:$J$50,0),1)),"")</f>
        <v/>
      </c>
      <c r="N55" t="str" cm="1">
        <f t="array" ref="N55">IFERROR(DatumSzovegge4(INDEX(diakadat!$L$2:$L$50,MATCH(D55,diakadat!$J$2:$J$50,0),1)),"")</f>
        <v/>
      </c>
      <c r="O55" t="str">
        <f>IFERROR(INDEX(diakadat!$R$2:$R$50,MATCH(D55,diakadat!$J$2:$J$50,0),1),"")</f>
        <v/>
      </c>
      <c r="P55" t="str">
        <f>IFERROR(INDEX(diakadat!$AI$2:$AI$50,MATCH(D55,diakadat!$J$2:$J$50,0),1),"")</f>
        <v/>
      </c>
      <c r="Q55" t="str">
        <f>IFERROR(INDEX('rangsor'!$C$2:$C$343,MATCH(D55,'rangsor'!$A$2:$A$343,0),1),"")</f>
        <v/>
      </c>
      <c r="T55" t="s">
        <v>831</v>
      </c>
      <c r="U55" t="str" cm="1">
        <f t="array" ref="U55">Határozat(D55)</f>
        <v/>
      </c>
      <c r="AC55" t="str">
        <f>IFERROR(INDEX(diakadat!$U$2:$U$50,MATCH(D55,diakadat!$J$2:$J$50),1),"")</f>
        <v/>
      </c>
      <c r="AD55" t="str">
        <f>IFERROR(INDEX(diakadat!$V$2:$V$50,MATCH(D55,diakadat!$J$2:$J$50),1),"")</f>
        <v/>
      </c>
      <c r="AE55" t="str">
        <f>IFERROR(INDEX(diakadat!$W$2:$W$50,MATCH(D55,diakadat!$J$2:$J$50),1),"")</f>
        <v/>
      </c>
      <c r="AF55">
        <v>1138</v>
      </c>
      <c r="AG55" t="s">
        <v>1164</v>
      </c>
      <c r="AH55" t="s">
        <v>1218</v>
      </c>
      <c r="AI55" t="str">
        <f>IFERROR(INDEX(diakadat!$X$2:$X$50,MATCH(D55,diakadat!$J$2:$J$50),1),"")</f>
        <v/>
      </c>
      <c r="AJ55">
        <v>348</v>
      </c>
      <c r="AK55">
        <f t="shared" si="0"/>
        <v>329</v>
      </c>
      <c r="AL55" t="str" cm="1">
        <f t="array" ref="AL55">ElsoBetuNagy(R55)</f>
        <v/>
      </c>
      <c r="AM55" t="s">
        <v>1068</v>
      </c>
      <c r="AN55" t="s">
        <v>1156</v>
      </c>
      <c r="AO55" t="str" cm="1">
        <f t="array" ref="AO55">DatumSzovegge5(AN55)</f>
        <v>2025.</v>
      </c>
      <c r="AP55" t="str" cm="1">
        <f t="array" ref="AP55">DatumSzovegge3(AN55)</f>
        <v>június</v>
      </c>
      <c r="AQ55" t="str" cm="1">
        <f t="array" ref="AQ55">DatumSzovegge4(AN55)</f>
        <v>26.</v>
      </c>
      <c r="AR55" t="s">
        <v>912</v>
      </c>
    </row>
    <row r="56" spans="4:44" x14ac:dyDescent="0.25">
      <c r="D56" t="str" cm="1">
        <f t="array" ref="D56">SzuressNev($B$1,ROW()-1)</f>
        <v/>
      </c>
      <c r="E56">
        <f>COUNTIF($D$2:D56,D56)</f>
        <v>35</v>
      </c>
      <c r="F56" t="str" cm="1">
        <f t="array" ref="F56">ElutasitasEgyOk2(D56,E56)</f>
        <v/>
      </c>
      <c r="G56" t="str">
        <f>IFERROR(INDEX(diakadat!$I$2:$I$50,MATCH(D56,diakadat!$J$2:$J$50,0),1),"")</f>
        <v/>
      </c>
      <c r="H56" t="str">
        <f>IFERROR(INDEX(diakadat!$O$2:$O$50,MATCH(D56,diakadat!$J$2:$J$50,0),1),"")</f>
        <v/>
      </c>
      <c r="I56" t="str">
        <f>IFERROR(INDEX(diakadat!#REF!,MATCH(D56,diakadat!$J$2:$J$50,0),1),"")</f>
        <v/>
      </c>
      <c r="J56" t="str">
        <f>IFERROR(INDEX(diakadat!$K$2:$K$50,MATCH(D56,diakadat!$J$2:$J$50,0),1),"")</f>
        <v/>
      </c>
      <c r="K56" t="str" cm="1">
        <f t="array" ref="K56">IFERROR(DatumSzovegge2(INDEX(diakadat!$L$2:$L$50,MATCH(D56,diakadat!$J$2:$J$50,0),1)),"")</f>
        <v/>
      </c>
      <c r="L56" t="str" cm="1">
        <f t="array" ref="L56">IFERROR(DatumSzovegge5(INDEX(diakadat!$L$2:$L$50,MATCH(D56,diakadat!$J$2:$J$50,0),1)),"")</f>
        <v/>
      </c>
      <c r="M56" t="str" cm="1">
        <f t="array" ref="M56">IFERROR(DatumSzovegge3(INDEX(diakadat!$L$2:$L$50,MATCH(D56,diakadat!$J$2:$J$50,0),1)),"")</f>
        <v/>
      </c>
      <c r="N56" t="str" cm="1">
        <f t="array" ref="N56">IFERROR(DatumSzovegge4(INDEX(diakadat!$L$2:$L$50,MATCH(D56,diakadat!$J$2:$J$50,0),1)),"")</f>
        <v/>
      </c>
      <c r="O56" t="str">
        <f>IFERROR(INDEX(diakadat!$R$2:$R$50,MATCH(D56,diakadat!$J$2:$J$50,0),1),"")</f>
        <v/>
      </c>
      <c r="P56" t="str">
        <f>IFERROR(INDEX(diakadat!$AI$2:$AI$50,MATCH(D56,diakadat!$J$2:$J$50,0),1),"")</f>
        <v/>
      </c>
      <c r="Q56" t="str">
        <f>IFERROR(INDEX('rangsor'!$C$2:$C$343,MATCH(D56,'rangsor'!$A$2:$A$343,0),1),"")</f>
        <v/>
      </c>
      <c r="T56" t="s">
        <v>831</v>
      </c>
      <c r="U56" t="str" cm="1">
        <f t="array" ref="U56">Határozat(D56)</f>
        <v/>
      </c>
      <c r="AC56" t="str">
        <f>IFERROR(INDEX(diakadat!$U$2:$U$50,MATCH(D56,diakadat!$J$2:$J$50),1),"")</f>
        <v/>
      </c>
      <c r="AD56" t="str">
        <f>IFERROR(INDEX(diakadat!$V$2:$V$50,MATCH(D56,diakadat!$J$2:$J$50),1),"")</f>
        <v/>
      </c>
      <c r="AE56" t="str">
        <f>IFERROR(INDEX(diakadat!$W$2:$W$50,MATCH(D56,diakadat!$J$2:$J$50),1),"")</f>
        <v/>
      </c>
      <c r="AF56">
        <v>1133</v>
      </c>
      <c r="AG56" t="s">
        <v>912</v>
      </c>
      <c r="AH56" t="s">
        <v>1219</v>
      </c>
      <c r="AI56" t="str">
        <f>IFERROR(INDEX(diakadat!$X$2:$X$50,MATCH(D56,diakadat!$J$2:$J$50),1),"")</f>
        <v/>
      </c>
      <c r="AJ56">
        <v>364</v>
      </c>
      <c r="AK56">
        <f t="shared" si="0"/>
        <v>329</v>
      </c>
      <c r="AL56" t="str" cm="1">
        <f t="array" ref="AL56">ElsoBetuNagy(R56)</f>
        <v/>
      </c>
      <c r="AM56" t="s">
        <v>1082</v>
      </c>
      <c r="AN56" t="s">
        <v>1156</v>
      </c>
      <c r="AO56" t="str" cm="1">
        <f t="array" ref="AO56">DatumSzovegge5(AN56)</f>
        <v>2025.</v>
      </c>
      <c r="AP56" t="str" cm="1">
        <f t="array" ref="AP56">DatumSzovegge3(AN56)</f>
        <v>június</v>
      </c>
      <c r="AQ56" t="str" cm="1">
        <f t="array" ref="AQ56">DatumSzovegge4(AN56)</f>
        <v>26.</v>
      </c>
      <c r="AR56" t="s">
        <v>912</v>
      </c>
    </row>
    <row r="57" spans="4:44" x14ac:dyDescent="0.25">
      <c r="D57" t="str" cm="1">
        <f t="array" ref="D57">SzuressNev($B$1,ROW()-1)</f>
        <v/>
      </c>
      <c r="E57">
        <f>COUNTIF($D$2:D57,D57)</f>
        <v>36</v>
      </c>
      <c r="F57" t="str" cm="1">
        <f t="array" ref="F57">ElutasitasEgyOk2(D57,E57)</f>
        <v/>
      </c>
      <c r="G57" t="str">
        <f>IFERROR(INDEX(diakadat!$I$2:$I$50,MATCH(D57,diakadat!$J$2:$J$50,0),1),"")</f>
        <v/>
      </c>
      <c r="H57" t="str">
        <f>IFERROR(INDEX(diakadat!$O$2:$O$50,MATCH(D57,diakadat!$J$2:$J$50,0),1),"")</f>
        <v/>
      </c>
      <c r="I57" t="str">
        <f>IFERROR(INDEX(diakadat!#REF!,MATCH(D57,diakadat!$J$2:$J$50,0),1),"")</f>
        <v/>
      </c>
      <c r="J57" t="str">
        <f>IFERROR(INDEX(diakadat!$K$2:$K$50,MATCH(D57,diakadat!$J$2:$J$50,0),1),"")</f>
        <v/>
      </c>
      <c r="K57" t="str" cm="1">
        <f t="array" ref="K57">IFERROR(DatumSzovegge2(INDEX(diakadat!$L$2:$L$50,MATCH(D57,diakadat!$J$2:$J$50,0),1)),"")</f>
        <v/>
      </c>
      <c r="L57" t="str" cm="1">
        <f t="array" ref="L57">IFERROR(DatumSzovegge5(INDEX(diakadat!$L$2:$L$50,MATCH(D57,diakadat!$J$2:$J$50,0),1)),"")</f>
        <v/>
      </c>
      <c r="M57" t="str" cm="1">
        <f t="array" ref="M57">IFERROR(DatumSzovegge3(INDEX(diakadat!$L$2:$L$50,MATCH(D57,diakadat!$J$2:$J$50,0),1)),"")</f>
        <v/>
      </c>
      <c r="N57" t="str" cm="1">
        <f t="array" ref="N57">IFERROR(DatumSzovegge4(INDEX(diakadat!$L$2:$L$50,MATCH(D57,diakadat!$J$2:$J$50,0),1)),"")</f>
        <v/>
      </c>
      <c r="O57" t="str">
        <f>IFERROR(INDEX(diakadat!$R$2:$R$50,MATCH(D57,diakadat!$J$2:$J$50,0),1),"")</f>
        <v/>
      </c>
      <c r="P57" t="str">
        <f>IFERROR(INDEX(diakadat!$AI$2:$AI$50,MATCH(D57,diakadat!$J$2:$J$50,0),1),"")</f>
        <v/>
      </c>
      <c r="Q57" t="str">
        <f>IFERROR(INDEX('rangsor'!$C$2:$C$343,MATCH(D57,'rangsor'!$A$2:$A$343,0),1),"")</f>
        <v/>
      </c>
      <c r="T57" t="s">
        <v>831</v>
      </c>
      <c r="U57" t="str" cm="1">
        <f t="array" ref="U57">Határozat(D57)</f>
        <v/>
      </c>
      <c r="AC57" t="str">
        <f>IFERROR(INDEX(diakadat!$U$2:$U$50,MATCH(D57,diakadat!$J$2:$J$50),1),"")</f>
        <v/>
      </c>
      <c r="AD57" t="str">
        <f>IFERROR(INDEX(diakadat!$V$2:$V$50,MATCH(D57,diakadat!$J$2:$J$50),1),"")</f>
        <v/>
      </c>
      <c r="AE57" t="str">
        <f>IFERROR(INDEX(diakadat!$W$2:$W$50,MATCH(D57,diakadat!$J$2:$J$50),1),"")</f>
        <v/>
      </c>
      <c r="AF57">
        <v>1138</v>
      </c>
      <c r="AG57" t="s">
        <v>912</v>
      </c>
      <c r="AH57" t="s">
        <v>1220</v>
      </c>
      <c r="AI57" t="str">
        <f>IFERROR(INDEX(diakadat!$X$2:$X$50,MATCH(D57,diakadat!$J$2:$J$50),1),"")</f>
        <v/>
      </c>
      <c r="AJ57">
        <v>342</v>
      </c>
      <c r="AK57">
        <f t="shared" si="0"/>
        <v>329</v>
      </c>
      <c r="AL57" t="str" cm="1">
        <f t="array" ref="AL57">ElsoBetuNagy(R57)</f>
        <v/>
      </c>
      <c r="AM57" t="s">
        <v>1092</v>
      </c>
      <c r="AN57" t="s">
        <v>1156</v>
      </c>
      <c r="AO57" t="str" cm="1">
        <f t="array" ref="AO57">DatumSzovegge5(AN57)</f>
        <v>2025.</v>
      </c>
      <c r="AP57" t="str" cm="1">
        <f t="array" ref="AP57">DatumSzovegge3(AN57)</f>
        <v>június</v>
      </c>
      <c r="AQ57" t="str" cm="1">
        <f t="array" ref="AQ57">DatumSzovegge4(AN57)</f>
        <v>26.</v>
      </c>
      <c r="AR57" t="s">
        <v>912</v>
      </c>
    </row>
    <row r="58" spans="4:44" x14ac:dyDescent="0.25">
      <c r="D58" t="str" cm="1">
        <f t="array" ref="D58">SzuressNev($B$1,ROW()-1)</f>
        <v/>
      </c>
      <c r="E58">
        <f>COUNTIF($D$2:D58,D58)</f>
        <v>37</v>
      </c>
      <c r="F58" t="str" cm="1">
        <f t="array" ref="F58">ElutasitasEgyOk2(D58,E58)</f>
        <v/>
      </c>
      <c r="G58" t="str">
        <f>IFERROR(INDEX(diakadat!$I$2:$I$50,MATCH(D58,diakadat!$J$2:$J$50,0),1),"")</f>
        <v/>
      </c>
      <c r="H58" t="str">
        <f>IFERROR(INDEX(diakadat!$O$2:$O$50,MATCH(D58,diakadat!$J$2:$J$50,0),1),"")</f>
        <v/>
      </c>
      <c r="I58" t="str">
        <f>IFERROR(INDEX(diakadat!#REF!,MATCH(D58,diakadat!$J$2:$J$50,0),1),"")</f>
        <v/>
      </c>
      <c r="J58" t="str">
        <f>IFERROR(INDEX(diakadat!$K$2:$K$50,MATCH(D58,diakadat!$J$2:$J$50,0),1),"")</f>
        <v/>
      </c>
      <c r="K58" t="str" cm="1">
        <f t="array" ref="K58">IFERROR(DatumSzovegge2(INDEX(diakadat!$L$2:$L$50,MATCH(D58,diakadat!$J$2:$J$50,0),1)),"")</f>
        <v/>
      </c>
      <c r="L58" t="str" cm="1">
        <f t="array" ref="L58">IFERROR(DatumSzovegge5(INDEX(diakadat!$L$2:$L$50,MATCH(D58,diakadat!$J$2:$J$50,0),1)),"")</f>
        <v/>
      </c>
      <c r="M58" t="str" cm="1">
        <f t="array" ref="M58">IFERROR(DatumSzovegge3(INDEX(diakadat!$L$2:$L$50,MATCH(D58,diakadat!$J$2:$J$50,0),1)),"")</f>
        <v/>
      </c>
      <c r="N58" t="str" cm="1">
        <f t="array" ref="N58">IFERROR(DatumSzovegge4(INDEX(diakadat!$L$2:$L$50,MATCH(D58,diakadat!$J$2:$J$50,0),1)),"")</f>
        <v/>
      </c>
      <c r="O58" t="str">
        <f>IFERROR(INDEX(diakadat!$R$2:$R$50,MATCH(D58,diakadat!$J$2:$J$50,0),1),"")</f>
        <v/>
      </c>
      <c r="P58" t="str">
        <f>IFERROR(INDEX(diakadat!$AI$2:$AI$50,MATCH(D58,diakadat!$J$2:$J$50,0),1),"")</f>
        <v/>
      </c>
      <c r="Q58" t="str">
        <f>IFERROR(INDEX('rangsor'!$C$2:$C$343,MATCH(D58,'rangsor'!$A$2:$A$343,0),1),"")</f>
        <v/>
      </c>
      <c r="T58" t="s">
        <v>831</v>
      </c>
      <c r="U58" t="str" cm="1">
        <f t="array" ref="U58">Határozat(D58)</f>
        <v/>
      </c>
      <c r="AC58" t="str">
        <f>IFERROR(INDEX(diakadat!$U$2:$U$50,MATCH(D58,diakadat!$J$2:$J$50),1),"")</f>
        <v/>
      </c>
      <c r="AD58" t="str">
        <f>IFERROR(INDEX(diakadat!$V$2:$V$50,MATCH(D58,diakadat!$J$2:$J$50),1),"")</f>
        <v/>
      </c>
      <c r="AE58" t="str">
        <f>IFERROR(INDEX(diakadat!$W$2:$W$50,MATCH(D58,diakadat!$J$2:$J$50),1),"")</f>
        <v/>
      </c>
      <c r="AF58">
        <v>1131</v>
      </c>
      <c r="AG58" t="s">
        <v>912</v>
      </c>
      <c r="AH58" t="s">
        <v>1221</v>
      </c>
      <c r="AI58" t="str">
        <f>IFERROR(INDEX(diakadat!$X$2:$X$50,MATCH(D58,diakadat!$J$2:$J$50),1),"")</f>
        <v/>
      </c>
      <c r="AJ58">
        <v>340</v>
      </c>
      <c r="AK58">
        <f t="shared" si="0"/>
        <v>329</v>
      </c>
      <c r="AL58" t="str" cm="1">
        <f t="array" ref="AL58">ElsoBetuNagy(R58)</f>
        <v/>
      </c>
      <c r="AM58" t="s">
        <v>1100</v>
      </c>
      <c r="AN58" t="s">
        <v>1156</v>
      </c>
      <c r="AO58" t="str" cm="1">
        <f t="array" ref="AO58">DatumSzovegge5(AN58)</f>
        <v>2025.</v>
      </c>
      <c r="AP58" t="str" cm="1">
        <f t="array" ref="AP58">DatumSzovegge3(AN58)</f>
        <v>június</v>
      </c>
      <c r="AQ58" t="str" cm="1">
        <f t="array" ref="AQ58">DatumSzovegge4(AN58)</f>
        <v>26.</v>
      </c>
      <c r="AR58" t="s">
        <v>912</v>
      </c>
    </row>
    <row r="59" spans="4:44" x14ac:dyDescent="0.25">
      <c r="D59" t="str" cm="1">
        <f t="array" ref="D59">SzuressNev($B$1,ROW()-1)</f>
        <v/>
      </c>
      <c r="E59">
        <f>COUNTIF($D$2:D59,D59)</f>
        <v>38</v>
      </c>
      <c r="F59" t="str" cm="1">
        <f t="array" ref="F59">ElutasitasEgyOk2(D59,E59)</f>
        <v/>
      </c>
      <c r="G59" t="str">
        <f>IFERROR(INDEX(diakadat!$I$2:$I$50,MATCH(D59,diakadat!$J$2:$J$50,0),1),"")</f>
        <v/>
      </c>
      <c r="H59" t="str">
        <f>IFERROR(INDEX(diakadat!$O$2:$O$50,MATCH(D59,diakadat!$J$2:$J$50,0),1),"")</f>
        <v/>
      </c>
      <c r="I59" t="str">
        <f>IFERROR(INDEX(diakadat!#REF!,MATCH(D59,diakadat!$J$2:$J$50,0),1),"")</f>
        <v/>
      </c>
      <c r="J59" t="str">
        <f>IFERROR(INDEX(diakadat!$K$2:$K$50,MATCH(D59,diakadat!$J$2:$J$50,0),1),"")</f>
        <v/>
      </c>
      <c r="K59" t="str" cm="1">
        <f t="array" ref="K59">IFERROR(DatumSzovegge2(INDEX(diakadat!$L$2:$L$50,MATCH(D59,diakadat!$J$2:$J$50,0),1)),"")</f>
        <v/>
      </c>
      <c r="L59" t="str" cm="1">
        <f t="array" ref="L59">IFERROR(DatumSzovegge5(INDEX(diakadat!$L$2:$L$50,MATCH(D59,diakadat!$J$2:$J$50,0),1)),"")</f>
        <v/>
      </c>
      <c r="M59" t="str" cm="1">
        <f t="array" ref="M59">IFERROR(DatumSzovegge3(INDEX(diakadat!$L$2:$L$50,MATCH(D59,diakadat!$J$2:$J$50,0),1)),"")</f>
        <v/>
      </c>
      <c r="N59" t="str" cm="1">
        <f t="array" ref="N59">IFERROR(DatumSzovegge4(INDEX(diakadat!$L$2:$L$50,MATCH(D59,diakadat!$J$2:$J$50,0),1)),"")</f>
        <v/>
      </c>
      <c r="O59" t="str">
        <f>IFERROR(INDEX(diakadat!$R$2:$R$50,MATCH(D59,diakadat!$J$2:$J$50,0),1),"")</f>
        <v/>
      </c>
      <c r="P59" t="str">
        <f>IFERROR(INDEX(diakadat!$AI$2:$AI$50,MATCH(D59,diakadat!$J$2:$J$50,0),1),"")</f>
        <v/>
      </c>
      <c r="Q59" t="str">
        <f>IFERROR(INDEX('rangsor'!$C$2:$C$343,MATCH(D59,'rangsor'!$A$2:$A$343,0),1),"")</f>
        <v/>
      </c>
      <c r="T59" t="s">
        <v>831</v>
      </c>
      <c r="U59" t="str" cm="1">
        <f t="array" ref="U59">Határozat(D59)</f>
        <v/>
      </c>
      <c r="AC59" t="str">
        <f>IFERROR(INDEX(diakadat!$U$2:$U$50,MATCH(D59,diakadat!$J$2:$J$50),1),"")</f>
        <v/>
      </c>
      <c r="AD59" t="str">
        <f>IFERROR(INDEX(diakadat!$V$2:$V$50,MATCH(D59,diakadat!$J$2:$J$50),1),"")</f>
        <v/>
      </c>
      <c r="AE59" t="str">
        <f>IFERROR(INDEX(diakadat!$W$2:$W$50,MATCH(D59,diakadat!$J$2:$J$50),1),"")</f>
        <v/>
      </c>
      <c r="AF59">
        <v>1138</v>
      </c>
      <c r="AG59" t="s">
        <v>912</v>
      </c>
      <c r="AH59" t="s">
        <v>1222</v>
      </c>
      <c r="AI59" t="str">
        <f>IFERROR(INDEX(diakadat!$X$2:$X$50,MATCH(D59,diakadat!$J$2:$J$50),1),"")</f>
        <v/>
      </c>
      <c r="AK59">
        <f t="shared" si="0"/>
        <v>329</v>
      </c>
      <c r="AL59" t="str" cm="1">
        <f t="array" ref="AL59">ElsoBetuNagy(R59)</f>
        <v/>
      </c>
      <c r="AM59" t="s">
        <v>1102</v>
      </c>
      <c r="AN59" t="s">
        <v>1156</v>
      </c>
      <c r="AO59" t="str" cm="1">
        <f t="array" ref="AO59">DatumSzovegge5(AN59)</f>
        <v>2025.</v>
      </c>
      <c r="AP59" t="str" cm="1">
        <f t="array" ref="AP59">DatumSzovegge3(AN59)</f>
        <v>június</v>
      </c>
      <c r="AQ59" t="str" cm="1">
        <f t="array" ref="AQ59">DatumSzovegge4(AN59)</f>
        <v>26.</v>
      </c>
      <c r="AR59" t="s">
        <v>912</v>
      </c>
    </row>
    <row r="60" spans="4:44" x14ac:dyDescent="0.25">
      <c r="D60" t="str" cm="1">
        <f t="array" ref="D60">SzuressNev($B$1,ROW()-1)</f>
        <v/>
      </c>
      <c r="E60">
        <f>COUNTIF($D$2:D60,D60)</f>
        <v>39</v>
      </c>
      <c r="F60" t="str" cm="1">
        <f t="array" ref="F60">ElutasitasEgyOk2(D60,E60)</f>
        <v/>
      </c>
      <c r="G60" t="str">
        <f>IFERROR(INDEX(diakadat!$I$2:$I$50,MATCH(D60,diakadat!$J$2:$J$50,0),1),"")</f>
        <v/>
      </c>
      <c r="H60" t="str">
        <f>IFERROR(INDEX(diakadat!$O$2:$O$50,MATCH(D60,diakadat!$J$2:$J$50,0),1),"")</f>
        <v/>
      </c>
      <c r="I60" t="str">
        <f>IFERROR(INDEX(diakadat!#REF!,MATCH(D60,diakadat!$J$2:$J$50,0),1),"")</f>
        <v/>
      </c>
      <c r="J60" t="str">
        <f>IFERROR(INDEX(diakadat!$K$2:$K$50,MATCH(D60,diakadat!$J$2:$J$50,0),1),"")</f>
        <v/>
      </c>
      <c r="K60" t="str" cm="1">
        <f t="array" ref="K60">IFERROR(DatumSzovegge2(INDEX(diakadat!$L$2:$L$50,MATCH(D60,diakadat!$J$2:$J$50,0),1)),"")</f>
        <v/>
      </c>
      <c r="L60" t="str" cm="1">
        <f t="array" ref="L60">IFERROR(DatumSzovegge5(INDEX(diakadat!$L$2:$L$50,MATCH(D60,diakadat!$J$2:$J$50,0),1)),"")</f>
        <v/>
      </c>
      <c r="M60" t="str" cm="1">
        <f t="array" ref="M60">IFERROR(DatumSzovegge3(INDEX(diakadat!$L$2:$L$50,MATCH(D60,diakadat!$J$2:$J$50,0),1)),"")</f>
        <v/>
      </c>
      <c r="N60" t="str" cm="1">
        <f t="array" ref="N60">IFERROR(DatumSzovegge4(INDEX(diakadat!$L$2:$L$50,MATCH(D60,diakadat!$J$2:$J$50,0),1)),"")</f>
        <v/>
      </c>
      <c r="O60" t="str">
        <f>IFERROR(INDEX(diakadat!$R$2:$R$50,MATCH(D60,diakadat!$J$2:$J$50,0),1),"")</f>
        <v/>
      </c>
      <c r="P60" t="str">
        <f>IFERROR(INDEX(diakadat!$AI$2:$AI$50,MATCH(D60,diakadat!$J$2:$J$50,0),1),"")</f>
        <v/>
      </c>
      <c r="Q60" t="str">
        <f>IFERROR(INDEX('rangsor'!$C$2:$C$343,MATCH(D60,'rangsor'!$A$2:$A$343,0),1),"")</f>
        <v/>
      </c>
      <c r="T60" t="s">
        <v>831</v>
      </c>
      <c r="U60" t="str" cm="1">
        <f t="array" ref="U60">Határozat(D60)</f>
        <v/>
      </c>
      <c r="AC60" t="str">
        <f>IFERROR(INDEX(diakadat!$U$2:$U$50,MATCH(D60,diakadat!$J$2:$J$50),1),"")</f>
        <v/>
      </c>
      <c r="AD60" t="str">
        <f>IFERROR(INDEX(diakadat!$V$2:$V$50,MATCH(D60,diakadat!$J$2:$J$50),1),"")</f>
        <v/>
      </c>
      <c r="AE60" t="str">
        <f>IFERROR(INDEX(diakadat!$W$2:$W$50,MATCH(D60,diakadat!$J$2:$J$50),1),"")</f>
        <v/>
      </c>
      <c r="AF60">
        <v>1145</v>
      </c>
      <c r="AG60" t="s">
        <v>912</v>
      </c>
      <c r="AH60" t="s">
        <v>1223</v>
      </c>
      <c r="AI60" t="str">
        <f>IFERROR(INDEX(diakadat!$X$2:$X$50,MATCH(D60,diakadat!$J$2:$J$50),1),"")</f>
        <v/>
      </c>
      <c r="AK60">
        <f t="shared" si="0"/>
        <v>329</v>
      </c>
      <c r="AL60" t="str" cm="1">
        <f t="array" ref="AL60">ElsoBetuNagy(R60)</f>
        <v/>
      </c>
      <c r="AM60" t="s">
        <v>1105</v>
      </c>
      <c r="AN60" t="s">
        <v>1156</v>
      </c>
      <c r="AO60" t="str" cm="1">
        <f t="array" ref="AO60">DatumSzovegge5(AN60)</f>
        <v>2025.</v>
      </c>
      <c r="AP60" t="str" cm="1">
        <f t="array" ref="AP60">DatumSzovegge3(AN60)</f>
        <v>június</v>
      </c>
      <c r="AQ60" t="str" cm="1">
        <f t="array" ref="AQ60">DatumSzovegge4(AN60)</f>
        <v>26.</v>
      </c>
      <c r="AR60" t="s">
        <v>912</v>
      </c>
    </row>
    <row r="61" spans="4:44" x14ac:dyDescent="0.25">
      <c r="D61" t="str" cm="1">
        <f t="array" ref="D61">SzuressNev($B$1,ROW()-1)</f>
        <v/>
      </c>
      <c r="E61">
        <f>COUNTIF($D$2:D61,D61)</f>
        <v>40</v>
      </c>
      <c r="F61" t="str" cm="1">
        <f t="array" ref="F61">ElutasitasEgyOk2(D61,E61)</f>
        <v/>
      </c>
      <c r="G61" t="str">
        <f>IFERROR(INDEX(diakadat!$I$2:$I$50,MATCH(D61,diakadat!$J$2:$J$50,0),1),"")</f>
        <v/>
      </c>
      <c r="H61" t="str">
        <f>IFERROR(INDEX(diakadat!$O$2:$O$50,MATCH(D61,diakadat!$J$2:$J$50,0),1),"")</f>
        <v/>
      </c>
      <c r="I61" t="str">
        <f>IFERROR(INDEX(diakadat!#REF!,MATCH(D61,diakadat!$J$2:$J$50,0),1),"")</f>
        <v/>
      </c>
      <c r="J61" t="str">
        <f>IFERROR(INDEX(diakadat!$K$2:$K$50,MATCH(D61,diakadat!$J$2:$J$50,0),1),"")</f>
        <v/>
      </c>
      <c r="K61" t="str" cm="1">
        <f t="array" ref="K61">IFERROR(DatumSzovegge2(INDEX(diakadat!$L$2:$L$50,MATCH(D61,diakadat!$J$2:$J$50,0),1)),"")</f>
        <v/>
      </c>
      <c r="L61" t="str" cm="1">
        <f t="array" ref="L61">IFERROR(DatumSzovegge5(INDEX(diakadat!$L$2:$L$50,MATCH(D61,diakadat!$J$2:$J$50,0),1)),"")</f>
        <v/>
      </c>
      <c r="M61" t="str" cm="1">
        <f t="array" ref="M61">IFERROR(DatumSzovegge3(INDEX(diakadat!$L$2:$L$50,MATCH(D61,diakadat!$J$2:$J$50,0),1)),"")</f>
        <v/>
      </c>
      <c r="N61" t="str" cm="1">
        <f t="array" ref="N61">IFERROR(DatumSzovegge4(INDEX(diakadat!$L$2:$L$50,MATCH(D61,diakadat!$J$2:$J$50,0),1)),"")</f>
        <v/>
      </c>
      <c r="O61" t="str">
        <f>IFERROR(INDEX(diakadat!$R$2:$R$50,MATCH(D61,diakadat!$J$2:$J$50,0),1),"")</f>
        <v/>
      </c>
      <c r="P61" t="str">
        <f>IFERROR(INDEX(diakadat!$AI$2:$AI$50,MATCH(D61,diakadat!$J$2:$J$50,0),1),"")</f>
        <v/>
      </c>
      <c r="Q61" t="str">
        <f>IFERROR(INDEX('rangsor'!$C$2:$C$343,MATCH(D61,'rangsor'!$A$2:$A$343,0),1),"")</f>
        <v/>
      </c>
      <c r="T61" t="s">
        <v>831</v>
      </c>
      <c r="U61" t="str" cm="1">
        <f t="array" ref="U61">Határozat(D61)</f>
        <v/>
      </c>
      <c r="AC61" t="str">
        <f>IFERROR(INDEX(diakadat!$U$2:$U$50,MATCH(D61,diakadat!$J$2:$J$50),1),"")</f>
        <v/>
      </c>
      <c r="AD61" t="str">
        <f>IFERROR(INDEX(diakadat!$V$2:$V$50,MATCH(D61,diakadat!$J$2:$J$50),1),"")</f>
        <v/>
      </c>
      <c r="AE61" t="str">
        <f>IFERROR(INDEX(diakadat!$W$2:$W$50,MATCH(D61,diakadat!$J$2:$J$50),1),"")</f>
        <v/>
      </c>
      <c r="AF61">
        <v>1148</v>
      </c>
      <c r="AG61" t="s">
        <v>912</v>
      </c>
      <c r="AH61" t="s">
        <v>1224</v>
      </c>
      <c r="AI61" t="str">
        <f>IFERROR(INDEX(diakadat!$X$2:$X$50,MATCH(D61,diakadat!$J$2:$J$50),1),"")</f>
        <v/>
      </c>
      <c r="AK61">
        <f t="shared" si="0"/>
        <v>329</v>
      </c>
      <c r="AL61" t="str" cm="1">
        <f t="array" ref="AL61">ElsoBetuNagy(R61)</f>
        <v/>
      </c>
      <c r="AM61" t="s">
        <v>1120</v>
      </c>
      <c r="AO61" t="str" cm="1">
        <f t="array" ref="AO61">DatumSzovegge5(AN61)</f>
        <v>1899.</v>
      </c>
      <c r="AP61" t="str" cm="1">
        <f t="array" ref="AP61">DatumSzovegge3(AN61)</f>
        <v>december</v>
      </c>
      <c r="AQ61" t="str" cm="1">
        <f t="array" ref="AQ61">DatumSzovegge4(AN61)</f>
        <v>30.</v>
      </c>
    </row>
    <row r="62" spans="4:44" x14ac:dyDescent="0.25">
      <c r="D62" t="str" cm="1">
        <f t="array" ref="D62">SzuressNev($B$1,ROW()-1)</f>
        <v/>
      </c>
      <c r="E62">
        <f>COUNTIF($D$2:D62,D62)</f>
        <v>41</v>
      </c>
      <c r="F62" t="str" cm="1">
        <f t="array" ref="F62">ElutasitasEgyOk2(D62,E62)</f>
        <v/>
      </c>
      <c r="G62" t="str">
        <f>IFERROR(INDEX(diakadat!$I$2:$I$50,MATCH(D62,diakadat!$J$2:$J$50,0),1),"")</f>
        <v/>
      </c>
      <c r="H62" t="str">
        <f>IFERROR(INDEX(diakadat!$O$2:$O$50,MATCH(D62,diakadat!$J$2:$J$50,0),1),"")</f>
        <v/>
      </c>
      <c r="I62" t="str">
        <f>IFERROR(INDEX(diakadat!#REF!,MATCH(D62,diakadat!$J$2:$J$50,0),1),"")</f>
        <v/>
      </c>
      <c r="J62" t="str">
        <f>IFERROR(INDEX(diakadat!$K$2:$K$50,MATCH(D62,diakadat!$J$2:$J$50,0),1),"")</f>
        <v/>
      </c>
      <c r="K62" t="str" cm="1">
        <f t="array" ref="K62">IFERROR(DatumSzovegge2(INDEX(diakadat!$L$2:$L$50,MATCH(D62,diakadat!$J$2:$J$50,0),1)),"")</f>
        <v/>
      </c>
      <c r="L62" t="str" cm="1">
        <f t="array" ref="L62">IFERROR(DatumSzovegge5(INDEX(diakadat!$L$2:$L$50,MATCH(D62,diakadat!$J$2:$J$50,0),1)),"")</f>
        <v/>
      </c>
      <c r="M62" t="str" cm="1">
        <f t="array" ref="M62">IFERROR(DatumSzovegge3(INDEX(diakadat!$L$2:$L$50,MATCH(D62,diakadat!$J$2:$J$50,0),1)),"")</f>
        <v/>
      </c>
      <c r="N62" t="str" cm="1">
        <f t="array" ref="N62">IFERROR(DatumSzovegge4(INDEX(diakadat!$L$2:$L$50,MATCH(D62,diakadat!$J$2:$J$50,0),1)),"")</f>
        <v/>
      </c>
      <c r="O62" t="str">
        <f>IFERROR(INDEX(diakadat!$R$2:$R$50,MATCH(D62,diakadat!$J$2:$J$50,0),1),"")</f>
        <v/>
      </c>
      <c r="P62" t="str">
        <f>IFERROR(INDEX(diakadat!$AI$2:$AI$50,MATCH(D62,diakadat!$J$2:$J$50,0),1),"")</f>
        <v/>
      </c>
      <c r="Q62" t="str">
        <f>IFERROR(INDEX('rangsor'!$C$2:$C$343,MATCH(D62,'rangsor'!$A$2:$A$343,0),1),"")</f>
        <v/>
      </c>
      <c r="T62" t="s">
        <v>831</v>
      </c>
      <c r="U62" t="str" cm="1">
        <f t="array" ref="U62">Határozat(D62)</f>
        <v/>
      </c>
      <c r="AC62" t="str">
        <f>IFERROR(INDEX(diakadat!$U$2:$U$50,MATCH(D62,diakadat!$J$2:$J$50),1),"")</f>
        <v/>
      </c>
      <c r="AD62" t="str">
        <f>IFERROR(INDEX(diakadat!$V$2:$V$50,MATCH(D62,diakadat!$J$2:$J$50),1),"")</f>
        <v/>
      </c>
      <c r="AE62" t="str">
        <f>IFERROR(INDEX(diakadat!$W$2:$W$50,MATCH(D62,diakadat!$J$2:$J$50),1),"")</f>
        <v/>
      </c>
      <c r="AF62">
        <v>1146</v>
      </c>
      <c r="AG62" t="s">
        <v>912</v>
      </c>
      <c r="AH62" t="s">
        <v>1225</v>
      </c>
      <c r="AI62" t="str">
        <f>IFERROR(INDEX(diakadat!$X$2:$X$50,MATCH(D62,diakadat!$J$2:$J$50),1),"")</f>
        <v/>
      </c>
      <c r="AK62">
        <f t="shared" si="0"/>
        <v>329</v>
      </c>
      <c r="AL62" t="str" cm="1">
        <f t="array" ref="AL62">ElsoBetuNagy(R62)</f>
        <v/>
      </c>
      <c r="AO62" t="str" cm="1">
        <f t="array" ref="AO62">DatumSzovegge5(AN62)</f>
        <v>1899.</v>
      </c>
      <c r="AP62" t="str" cm="1">
        <f t="array" ref="AP62">DatumSzovegge3(AN62)</f>
        <v>december</v>
      </c>
      <c r="AQ62" t="str" cm="1">
        <f t="array" ref="AQ62">DatumSzovegge4(AN62)</f>
        <v>30.</v>
      </c>
    </row>
    <row r="63" spans="4:44" x14ac:dyDescent="0.25">
      <c r="D63" t="str" cm="1">
        <f t="array" ref="D63">SzuressNev($B$1,ROW()-1)</f>
        <v/>
      </c>
      <c r="E63">
        <f>COUNTIF($D$2:D63,D63)</f>
        <v>42</v>
      </c>
      <c r="F63" t="str" cm="1">
        <f t="array" ref="F63">ElutasitasEgyOk2(D63,E63)</f>
        <v/>
      </c>
      <c r="G63" t="str">
        <f>IFERROR(INDEX(diakadat!$I$2:$I$50,MATCH(D63,diakadat!$J$2:$J$50,0),1),"")</f>
        <v/>
      </c>
      <c r="H63" t="str">
        <f>IFERROR(INDEX(diakadat!$O$2:$O$50,MATCH(D63,diakadat!$J$2:$J$50,0),1),"")</f>
        <v/>
      </c>
      <c r="I63" t="str">
        <f>IFERROR(INDEX(diakadat!#REF!,MATCH(D63,diakadat!$J$2:$J$50,0),1),"")</f>
        <v/>
      </c>
      <c r="J63" t="str">
        <f>IFERROR(INDEX(diakadat!$K$2:$K$50,MATCH(D63,diakadat!$J$2:$J$50,0),1),"")</f>
        <v/>
      </c>
      <c r="K63" t="str" cm="1">
        <f t="array" ref="K63">IFERROR(DatumSzovegge2(INDEX(diakadat!$L$2:$L$50,MATCH(D63,diakadat!$J$2:$J$50,0),1)),"")</f>
        <v/>
      </c>
      <c r="L63" t="str" cm="1">
        <f t="array" ref="L63">IFERROR(DatumSzovegge5(INDEX(diakadat!$L$2:$L$50,MATCH(D63,diakadat!$J$2:$J$50,0),1)),"")</f>
        <v/>
      </c>
      <c r="M63" t="str" cm="1">
        <f t="array" ref="M63">IFERROR(DatumSzovegge3(INDEX(diakadat!$L$2:$L$50,MATCH(D63,diakadat!$J$2:$J$50,0),1)),"")</f>
        <v/>
      </c>
      <c r="N63" t="str" cm="1">
        <f t="array" ref="N63">IFERROR(DatumSzovegge4(INDEX(diakadat!$L$2:$L$50,MATCH(D63,diakadat!$J$2:$J$50,0),1)),"")</f>
        <v/>
      </c>
      <c r="O63" t="str">
        <f>IFERROR(INDEX(diakadat!$R$2:$R$50,MATCH(D63,diakadat!$J$2:$J$50,0),1),"")</f>
        <v/>
      </c>
      <c r="P63" t="str">
        <f>IFERROR(INDEX(diakadat!$AI$2:$AI$50,MATCH(D63,diakadat!$J$2:$J$50,0),1),"")</f>
        <v/>
      </c>
      <c r="Q63" t="str">
        <f>IFERROR(INDEX('rangsor'!$C$2:$C$343,MATCH(D63,'rangsor'!$A$2:$A$343,0),1),"")</f>
        <v/>
      </c>
      <c r="T63" t="s">
        <v>831</v>
      </c>
      <c r="U63" t="str" cm="1">
        <f t="array" ref="U63">Határozat(D63)</f>
        <v/>
      </c>
      <c r="AC63" t="str">
        <f>IFERROR(INDEX(diakadat!$U$2:$U$50,MATCH(D63,diakadat!$J$2:$J$50),1),"")</f>
        <v/>
      </c>
      <c r="AD63" t="str">
        <f>IFERROR(INDEX(diakadat!$V$2:$V$50,MATCH(D63,diakadat!$J$2:$J$50),1),"")</f>
        <v/>
      </c>
      <c r="AE63" t="str">
        <f>IFERROR(INDEX(diakadat!$W$2:$W$50,MATCH(D63,diakadat!$J$2:$J$50),1),"")</f>
        <v/>
      </c>
      <c r="AF63">
        <v>1144</v>
      </c>
      <c r="AG63" t="s">
        <v>1164</v>
      </c>
      <c r="AH63" t="s">
        <v>1226</v>
      </c>
      <c r="AI63" t="str">
        <f>IFERROR(INDEX(diakadat!$X$2:$X$50,MATCH(D63,diakadat!$J$2:$J$50),1),"")</f>
        <v/>
      </c>
      <c r="AK63">
        <f t="shared" si="0"/>
        <v>329</v>
      </c>
      <c r="AL63" t="str" cm="1">
        <f t="array" ref="AL63">ElsoBetuNagy(R63)</f>
        <v/>
      </c>
      <c r="AO63" t="str" cm="1">
        <f t="array" ref="AO63">DatumSzovegge5(AN63)</f>
        <v>1899.</v>
      </c>
      <c r="AP63" t="str" cm="1">
        <f t="array" ref="AP63">DatumSzovegge3(AN63)</f>
        <v>december</v>
      </c>
      <c r="AQ63" t="str" cm="1">
        <f t="array" ref="AQ63">DatumSzovegge4(AN63)</f>
        <v>30.</v>
      </c>
    </row>
    <row r="64" spans="4:44" x14ac:dyDescent="0.25">
      <c r="D64" t="str" cm="1">
        <f t="array" ref="D64">SzuressNev($B$1,ROW()-1)</f>
        <v/>
      </c>
      <c r="E64">
        <f>COUNTIF($D$2:D64,D64)</f>
        <v>43</v>
      </c>
      <c r="F64" t="str" cm="1">
        <f t="array" ref="F64">ElutasitasEgyOk2(D64,E64)</f>
        <v/>
      </c>
      <c r="G64" t="str">
        <f>IFERROR(INDEX(diakadat!$I$2:$I$50,MATCH(D64,diakadat!$J$2:$J$50,0),1),"")</f>
        <v/>
      </c>
      <c r="H64" t="str">
        <f>IFERROR(INDEX(diakadat!$O$2:$O$50,MATCH(D64,diakadat!$J$2:$J$50,0),1),"")</f>
        <v/>
      </c>
      <c r="I64" t="str">
        <f>IFERROR(INDEX(diakadat!#REF!,MATCH(D64,diakadat!$J$2:$J$50,0),1),"")</f>
        <v/>
      </c>
      <c r="J64" t="str">
        <f>IFERROR(INDEX(diakadat!$K$2:$K$50,MATCH(D64,diakadat!$J$2:$J$50,0),1),"")</f>
        <v/>
      </c>
      <c r="K64" t="str" cm="1">
        <f t="array" ref="K64">IFERROR(DatumSzovegge2(INDEX(diakadat!$L$2:$L$50,MATCH(D64,diakadat!$J$2:$J$50,0),1)),"")</f>
        <v/>
      </c>
      <c r="L64" t="str" cm="1">
        <f t="array" ref="L64">IFERROR(DatumSzovegge5(INDEX(diakadat!$L$2:$L$50,MATCH(D64,diakadat!$J$2:$J$50,0),1)),"")</f>
        <v/>
      </c>
      <c r="M64" t="str" cm="1">
        <f t="array" ref="M64">IFERROR(DatumSzovegge3(INDEX(diakadat!$L$2:$L$50,MATCH(D64,diakadat!$J$2:$J$50,0),1)),"")</f>
        <v/>
      </c>
      <c r="N64" t="str" cm="1">
        <f t="array" ref="N64">IFERROR(DatumSzovegge4(INDEX(diakadat!$L$2:$L$50,MATCH(D64,diakadat!$J$2:$J$50,0),1)),"")</f>
        <v/>
      </c>
      <c r="O64" t="str">
        <f>IFERROR(INDEX(diakadat!$R$2:$R$50,MATCH(D64,diakadat!$J$2:$J$50,0),1),"")</f>
        <v/>
      </c>
      <c r="P64" t="str">
        <f>IFERROR(INDEX(diakadat!$AI$2:$AI$50,MATCH(D64,diakadat!$J$2:$J$50,0),1),"")</f>
        <v/>
      </c>
      <c r="Q64" t="str">
        <f>IFERROR(INDEX('rangsor'!$C$2:$C$343,MATCH(D64,'rangsor'!$A$2:$A$343,0),1),"")</f>
        <v/>
      </c>
      <c r="T64" t="s">
        <v>831</v>
      </c>
      <c r="U64" t="str" cm="1">
        <f t="array" ref="U64">Határozat(D64)</f>
        <v/>
      </c>
      <c r="AC64" t="str">
        <f>IFERROR(INDEX(diakadat!$U$2:$U$50,MATCH(D64,diakadat!$J$2:$J$50),1),"")</f>
        <v/>
      </c>
      <c r="AD64" t="str">
        <f>IFERROR(INDEX(diakadat!$V$2:$V$50,MATCH(D64,diakadat!$J$2:$J$50),1),"")</f>
        <v/>
      </c>
      <c r="AE64" t="str">
        <f>IFERROR(INDEX(diakadat!$W$2:$W$50,MATCH(D64,diakadat!$J$2:$J$50),1),"")</f>
        <v/>
      </c>
      <c r="AF64">
        <v>1147</v>
      </c>
      <c r="AG64" t="s">
        <v>912</v>
      </c>
      <c r="AH64" t="s">
        <v>1227</v>
      </c>
      <c r="AI64" t="str">
        <f>IFERROR(INDEX(diakadat!$X$2:$X$50,MATCH(D64,diakadat!$J$2:$J$50),1),"")</f>
        <v/>
      </c>
      <c r="AK64">
        <f t="shared" si="0"/>
        <v>329</v>
      </c>
      <c r="AL64" t="str" cm="1">
        <f t="array" ref="AL64">ElsoBetuNagy(R64)</f>
        <v/>
      </c>
      <c r="AO64" t="str" cm="1">
        <f t="array" ref="AO64">DatumSzovegge5(AN64)</f>
        <v>1899.</v>
      </c>
      <c r="AP64" t="str" cm="1">
        <f t="array" ref="AP64">DatumSzovegge3(AN64)</f>
        <v>december</v>
      </c>
      <c r="AQ64" t="str" cm="1">
        <f t="array" ref="AQ64">DatumSzovegge4(AN64)</f>
        <v>30.</v>
      </c>
    </row>
    <row r="65" spans="4:43" x14ac:dyDescent="0.25">
      <c r="D65" t="str" cm="1">
        <f t="array" ref="D65">SzuressNev($B$1,ROW()-1)</f>
        <v/>
      </c>
      <c r="E65">
        <f>COUNTIF($D$2:D65,D65)</f>
        <v>44</v>
      </c>
      <c r="F65" t="str" cm="1">
        <f t="array" ref="F65">ElutasitasEgyOk2(D65,E65)</f>
        <v/>
      </c>
      <c r="G65" t="str">
        <f>IFERROR(INDEX(diakadat!$I$2:$I$50,MATCH(D65,diakadat!$J$2:$J$50,0),1),"")</f>
        <v/>
      </c>
      <c r="H65" t="str">
        <f>IFERROR(INDEX(diakadat!$O$2:$O$50,MATCH(D65,diakadat!$J$2:$J$50,0),1),"")</f>
        <v/>
      </c>
      <c r="I65" t="str">
        <f>IFERROR(INDEX(diakadat!#REF!,MATCH(D65,diakadat!$J$2:$J$50,0),1),"")</f>
        <v/>
      </c>
      <c r="J65" t="str">
        <f>IFERROR(INDEX(diakadat!$K$2:$K$50,MATCH(D65,diakadat!$J$2:$J$50,0),1),"")</f>
        <v/>
      </c>
      <c r="K65" t="str" cm="1">
        <f t="array" ref="K65">IFERROR(DatumSzovegge2(INDEX(diakadat!$L$2:$L$50,MATCH(D65,diakadat!$J$2:$J$50,0),1)),"")</f>
        <v/>
      </c>
      <c r="L65" t="str" cm="1">
        <f t="array" ref="L65">IFERROR(DatumSzovegge5(INDEX(diakadat!$L$2:$L$50,MATCH(D65,diakadat!$J$2:$J$50,0),1)),"")</f>
        <v/>
      </c>
      <c r="M65" t="str" cm="1">
        <f t="array" ref="M65">IFERROR(DatumSzovegge3(INDEX(diakadat!$L$2:$L$50,MATCH(D65,diakadat!$J$2:$J$50,0),1)),"")</f>
        <v/>
      </c>
      <c r="N65" t="str" cm="1">
        <f t="array" ref="N65">IFERROR(DatumSzovegge4(INDEX(diakadat!$L$2:$L$50,MATCH(D65,diakadat!$J$2:$J$50,0),1)),"")</f>
        <v/>
      </c>
      <c r="O65" t="str">
        <f>IFERROR(INDEX(diakadat!$R$2:$R$50,MATCH(D65,diakadat!$J$2:$J$50,0),1),"")</f>
        <v/>
      </c>
      <c r="P65" t="str">
        <f>IFERROR(INDEX(diakadat!$AI$2:$AI$50,MATCH(D65,diakadat!$J$2:$J$50,0),1),"")</f>
        <v/>
      </c>
      <c r="Q65" t="str">
        <f>IFERROR(INDEX('rangsor'!$C$2:$C$343,MATCH(D65,'rangsor'!$A$2:$A$343,0),1),"")</f>
        <v/>
      </c>
      <c r="T65" t="s">
        <v>831</v>
      </c>
      <c r="U65" t="str" cm="1">
        <f t="array" ref="U65">Határozat(D65)</f>
        <v/>
      </c>
      <c r="AC65" t="str">
        <f>IFERROR(INDEX(diakadat!$U$2:$U$50,MATCH(D65,diakadat!$J$2:$J$50),1),"")</f>
        <v/>
      </c>
      <c r="AD65" t="str">
        <f>IFERROR(INDEX(diakadat!$V$2:$V$50,MATCH(D65,diakadat!$J$2:$J$50),1),"")</f>
        <v/>
      </c>
      <c r="AE65" t="str">
        <f>IFERROR(INDEX(diakadat!$W$2:$W$50,MATCH(D65,diakadat!$J$2:$J$50),1),"")</f>
        <v/>
      </c>
      <c r="AF65">
        <v>1161</v>
      </c>
      <c r="AG65" t="s">
        <v>1164</v>
      </c>
      <c r="AH65" t="s">
        <v>1228</v>
      </c>
      <c r="AI65" t="str">
        <f>IFERROR(INDEX(diakadat!$X$2:$X$50,MATCH(D65,diakadat!$J$2:$J$50),1),"")</f>
        <v/>
      </c>
      <c r="AK65">
        <f t="shared" si="0"/>
        <v>329</v>
      </c>
      <c r="AL65" t="str" cm="1">
        <f t="array" ref="AL65">ElsoBetuNagy(R65)</f>
        <v/>
      </c>
      <c r="AO65" t="str" cm="1">
        <f t="array" ref="AO65">DatumSzovegge5(AN65)</f>
        <v>1899.</v>
      </c>
      <c r="AP65" t="str" cm="1">
        <f t="array" ref="AP65">DatumSzovegge3(AN65)</f>
        <v>december</v>
      </c>
      <c r="AQ65" t="str" cm="1">
        <f t="array" ref="AQ65">DatumSzovegge4(AN65)</f>
        <v>30.</v>
      </c>
    </row>
    <row r="66" spans="4:43" x14ac:dyDescent="0.25">
      <c r="D66" t="str" cm="1">
        <f t="array" ref="D66">SzuressNev($B$1,ROW()-1)</f>
        <v/>
      </c>
      <c r="E66">
        <f>COUNTIF($D$2:D66,D66)</f>
        <v>45</v>
      </c>
      <c r="F66" t="str" cm="1">
        <f t="array" ref="F66">ElutasitasEgyOk2(D66,E66)</f>
        <v/>
      </c>
      <c r="G66" t="str">
        <f>IFERROR(INDEX(diakadat!$I$2:$I$50,MATCH(D66,diakadat!$J$2:$J$50,0),1),"")</f>
        <v/>
      </c>
      <c r="H66" t="str">
        <f>IFERROR(INDEX(diakadat!$O$2:$O$50,MATCH(D66,diakadat!$J$2:$J$50,0),1),"")</f>
        <v/>
      </c>
      <c r="I66" t="str">
        <f>IFERROR(INDEX(diakadat!#REF!,MATCH(D66,diakadat!$J$2:$J$50,0),1),"")</f>
        <v/>
      </c>
      <c r="J66" t="str">
        <f>IFERROR(INDEX(diakadat!$K$2:$K$50,MATCH(D66,diakadat!$J$2:$J$50,0),1),"")</f>
        <v/>
      </c>
      <c r="K66" t="str" cm="1">
        <f t="array" ref="K66">IFERROR(DatumSzovegge2(INDEX(diakadat!$L$2:$L$50,MATCH(D66,diakadat!$J$2:$J$50,0),1)),"")</f>
        <v/>
      </c>
      <c r="L66" t="str" cm="1">
        <f t="array" ref="L66">IFERROR(DatumSzovegge5(INDEX(diakadat!$L$2:$L$50,MATCH(D66,diakadat!$J$2:$J$50,0),1)),"")</f>
        <v/>
      </c>
      <c r="M66" t="str" cm="1">
        <f t="array" ref="M66">IFERROR(DatumSzovegge3(INDEX(diakadat!$L$2:$L$50,MATCH(D66,diakadat!$J$2:$J$50,0),1)),"")</f>
        <v/>
      </c>
      <c r="N66" t="str" cm="1">
        <f t="array" ref="N66">IFERROR(DatumSzovegge4(INDEX(diakadat!$L$2:$L$50,MATCH(D66,diakadat!$J$2:$J$50,0),1)),"")</f>
        <v/>
      </c>
      <c r="O66" t="str">
        <f>IFERROR(INDEX(diakadat!$R$2:$R$50,MATCH(D66,diakadat!$J$2:$J$50,0),1),"")</f>
        <v/>
      </c>
      <c r="P66" t="str">
        <f>IFERROR(INDEX(diakadat!$AI$2:$AI$50,MATCH(D66,diakadat!$J$2:$J$50,0),1),"")</f>
        <v/>
      </c>
      <c r="Q66" t="str">
        <f>IFERROR(INDEX('rangsor'!$C$2:$C$343,MATCH(D66,'rangsor'!$A$2:$A$343,0),1),"")</f>
        <v/>
      </c>
      <c r="T66" t="s">
        <v>831</v>
      </c>
      <c r="U66" t="str" cm="1">
        <f t="array" ref="U66">Határozat(D66)</f>
        <v/>
      </c>
      <c r="AC66" t="str">
        <f>IFERROR(INDEX(diakadat!$U$2:$U$50,MATCH(D66,diakadat!$J$2:$J$50),1),"")</f>
        <v/>
      </c>
      <c r="AD66" t="str">
        <f>IFERROR(INDEX(diakadat!$V$2:$V$50,MATCH(D66,diakadat!$J$2:$J$50),1),"")</f>
        <v/>
      </c>
      <c r="AE66" t="str">
        <f>IFERROR(INDEX(diakadat!$W$2:$W$50,MATCH(D66,diakadat!$J$2:$J$50),1),"")</f>
        <v/>
      </c>
      <c r="AF66">
        <v>1163</v>
      </c>
      <c r="AG66" t="s">
        <v>912</v>
      </c>
      <c r="AH66" t="s">
        <v>1229</v>
      </c>
      <c r="AI66" t="str">
        <f>IFERROR(INDEX(diakadat!$X$2:$X$50,MATCH(D66,diakadat!$J$2:$J$50),1),"")</f>
        <v/>
      </c>
      <c r="AK66">
        <f t="shared" ref="AK66:AK129" si="1">COUNTIF($AD$2:$AD$350,AD66)</f>
        <v>329</v>
      </c>
      <c r="AL66" t="str" cm="1">
        <f t="array" ref="AL66">ElsoBetuNagy(R66)</f>
        <v/>
      </c>
      <c r="AO66" t="str" cm="1">
        <f t="array" ref="AO66">DatumSzovegge5(AN66)</f>
        <v>1899.</v>
      </c>
      <c r="AP66" t="str" cm="1">
        <f t="array" ref="AP66">DatumSzovegge3(AN66)</f>
        <v>december</v>
      </c>
      <c r="AQ66" t="str" cm="1">
        <f t="array" ref="AQ66">DatumSzovegge4(AN66)</f>
        <v>30.</v>
      </c>
    </row>
    <row r="67" spans="4:43" x14ac:dyDescent="0.25">
      <c r="D67" t="str" cm="1">
        <f t="array" ref="D67">SzuressNev($B$1,ROW()-1)</f>
        <v/>
      </c>
      <c r="E67">
        <f>COUNTIF($D$2:D67,D67)</f>
        <v>46</v>
      </c>
      <c r="F67" t="str" cm="1">
        <f t="array" ref="F67">ElutasitasEgyOk2(D67,E67)</f>
        <v/>
      </c>
      <c r="G67" t="str">
        <f>IFERROR(INDEX(diakadat!$I$2:$I$50,MATCH(D67,diakadat!$J$2:$J$50,0),1),"")</f>
        <v/>
      </c>
      <c r="H67" t="str">
        <f>IFERROR(INDEX(diakadat!$O$2:$O$50,MATCH(D67,diakadat!$J$2:$J$50,0),1),"")</f>
        <v/>
      </c>
      <c r="I67" t="str">
        <f>IFERROR(INDEX(diakadat!#REF!,MATCH(D67,diakadat!$J$2:$J$50,0),1),"")</f>
        <v/>
      </c>
      <c r="J67" t="str">
        <f>IFERROR(INDEX(diakadat!$K$2:$K$50,MATCH(D67,diakadat!$J$2:$J$50,0),1),"")</f>
        <v/>
      </c>
      <c r="K67" t="str" cm="1">
        <f t="array" ref="K67">IFERROR(DatumSzovegge2(INDEX(diakadat!$L$2:$L$50,MATCH(D67,diakadat!$J$2:$J$50,0),1)),"")</f>
        <v/>
      </c>
      <c r="L67" t="str" cm="1">
        <f t="array" ref="L67">IFERROR(DatumSzovegge5(INDEX(diakadat!$L$2:$L$50,MATCH(D67,diakadat!$J$2:$J$50,0),1)),"")</f>
        <v/>
      </c>
      <c r="M67" t="str" cm="1">
        <f t="array" ref="M67">IFERROR(DatumSzovegge3(INDEX(diakadat!$L$2:$L$50,MATCH(D67,diakadat!$J$2:$J$50,0),1)),"")</f>
        <v/>
      </c>
      <c r="N67" t="str" cm="1">
        <f t="array" ref="N67">IFERROR(DatumSzovegge4(INDEX(diakadat!$L$2:$L$50,MATCH(D67,diakadat!$J$2:$J$50,0),1)),"")</f>
        <v/>
      </c>
      <c r="O67" t="str">
        <f>IFERROR(INDEX(diakadat!$R$2:$R$50,MATCH(D67,diakadat!$J$2:$J$50,0),1),"")</f>
        <v/>
      </c>
      <c r="P67" t="str">
        <f>IFERROR(INDEX(diakadat!$AI$2:$AI$50,MATCH(D67,diakadat!$J$2:$J$50,0),1),"")</f>
        <v/>
      </c>
      <c r="Q67" t="str">
        <f>IFERROR(INDEX('rangsor'!$C$2:$C$343,MATCH(D67,'rangsor'!$A$2:$A$343,0),1),"")</f>
        <v/>
      </c>
      <c r="T67" t="s">
        <v>831</v>
      </c>
      <c r="U67" t="str" cm="1">
        <f t="array" ref="U67">Határozat(D67)</f>
        <v/>
      </c>
      <c r="AC67" t="str">
        <f>IFERROR(INDEX(diakadat!$U$2:$U$50,MATCH(D67,diakadat!$J$2:$J$50),1),"")</f>
        <v/>
      </c>
      <c r="AD67" t="str">
        <f>IFERROR(INDEX(diakadat!$V$2:$V$50,MATCH(D67,diakadat!$J$2:$J$50),1),"")</f>
        <v/>
      </c>
      <c r="AE67" t="str">
        <f>IFERROR(INDEX(diakadat!$W$2:$W$50,MATCH(D67,diakadat!$J$2:$J$50),1),"")</f>
        <v/>
      </c>
      <c r="AF67">
        <v>1161</v>
      </c>
      <c r="AG67" t="s">
        <v>912</v>
      </c>
      <c r="AH67" t="s">
        <v>1230</v>
      </c>
      <c r="AI67" t="str">
        <f>IFERROR(INDEX(diakadat!$X$2:$X$50,MATCH(D67,diakadat!$J$2:$J$50),1),"")</f>
        <v/>
      </c>
      <c r="AK67">
        <f t="shared" si="1"/>
        <v>329</v>
      </c>
      <c r="AL67" t="str" cm="1">
        <f t="array" ref="AL67">ElsoBetuNagy(R67)</f>
        <v/>
      </c>
      <c r="AO67" t="str" cm="1">
        <f t="array" ref="AO67">DatumSzovegge5(AN67)</f>
        <v>1899.</v>
      </c>
      <c r="AP67" t="str" cm="1">
        <f t="array" ref="AP67">DatumSzovegge3(AN67)</f>
        <v>december</v>
      </c>
      <c r="AQ67" t="str" cm="1">
        <f t="array" ref="AQ67">DatumSzovegge4(AN67)</f>
        <v>30.</v>
      </c>
    </row>
    <row r="68" spans="4:43" x14ac:dyDescent="0.25">
      <c r="D68" t="str" cm="1">
        <f t="array" ref="D68">SzuressNev($B$1,ROW()-1)</f>
        <v/>
      </c>
      <c r="E68">
        <f>COUNTIF($D$2:D68,D68)</f>
        <v>47</v>
      </c>
      <c r="F68" t="str" cm="1">
        <f t="array" ref="F68">ElutasitasEgyOk2(D68,E68)</f>
        <v/>
      </c>
      <c r="G68" t="str">
        <f>IFERROR(INDEX(diakadat!$I$2:$I$50,MATCH(D68,diakadat!$J$2:$J$50,0),1),"")</f>
        <v/>
      </c>
      <c r="H68" t="str">
        <f>IFERROR(INDEX(diakadat!$O$2:$O$50,MATCH(D68,diakadat!$J$2:$J$50,0),1),"")</f>
        <v/>
      </c>
      <c r="I68" t="str">
        <f>IFERROR(INDEX(diakadat!#REF!,MATCH(D68,diakadat!$J$2:$J$50,0),1),"")</f>
        <v/>
      </c>
      <c r="J68" t="str">
        <f>IFERROR(INDEX(diakadat!$K$2:$K$50,MATCH(D68,diakadat!$J$2:$J$50,0),1),"")</f>
        <v/>
      </c>
      <c r="K68" t="str" cm="1">
        <f t="array" ref="K68">IFERROR(DatumSzovegge2(INDEX(diakadat!$L$2:$L$50,MATCH(D68,diakadat!$J$2:$J$50,0),1)),"")</f>
        <v/>
      </c>
      <c r="L68" t="str" cm="1">
        <f t="array" ref="L68">IFERROR(DatumSzovegge5(INDEX(diakadat!$L$2:$L$50,MATCH(D68,diakadat!$J$2:$J$50,0),1)),"")</f>
        <v/>
      </c>
      <c r="M68" t="str" cm="1">
        <f t="array" ref="M68">IFERROR(DatumSzovegge3(INDEX(diakadat!$L$2:$L$50,MATCH(D68,diakadat!$J$2:$J$50,0),1)),"")</f>
        <v/>
      </c>
      <c r="N68" t="str" cm="1">
        <f t="array" ref="N68">IFERROR(DatumSzovegge4(INDEX(diakadat!$L$2:$L$50,MATCH(D68,diakadat!$J$2:$J$50,0),1)),"")</f>
        <v/>
      </c>
      <c r="O68" t="str">
        <f>IFERROR(INDEX(diakadat!$R$2:$R$50,MATCH(D68,diakadat!$J$2:$J$50,0),1),"")</f>
        <v/>
      </c>
      <c r="P68" t="str">
        <f>IFERROR(INDEX(diakadat!$AI$2:$AI$50,MATCH(D68,diakadat!$J$2:$J$50,0),1),"")</f>
        <v/>
      </c>
      <c r="Q68" t="str">
        <f>IFERROR(INDEX('rangsor'!$C$2:$C$343,MATCH(D68,'rangsor'!$A$2:$A$343,0),1),"")</f>
        <v/>
      </c>
      <c r="T68" t="s">
        <v>831</v>
      </c>
      <c r="U68" t="str" cm="1">
        <f t="array" ref="U68">Határozat(D68)</f>
        <v/>
      </c>
      <c r="AC68" t="str">
        <f>IFERROR(INDEX(diakadat!$U$2:$U$50,MATCH(D68,diakadat!$J$2:$J$50),1),"")</f>
        <v/>
      </c>
      <c r="AD68" t="str">
        <f>IFERROR(INDEX(diakadat!$V$2:$V$50,MATCH(D68,diakadat!$J$2:$J$50),1),"")</f>
        <v/>
      </c>
      <c r="AE68" t="str">
        <f>IFERROR(INDEX(diakadat!$W$2:$W$50,MATCH(D68,diakadat!$J$2:$J$50),1),"")</f>
        <v/>
      </c>
      <c r="AF68">
        <v>1172</v>
      </c>
      <c r="AG68" t="s">
        <v>912</v>
      </c>
      <c r="AH68" t="s">
        <v>1231</v>
      </c>
      <c r="AI68" t="str">
        <f>IFERROR(INDEX(diakadat!$X$2:$X$50,MATCH(D68,diakadat!$J$2:$J$50),1),"")</f>
        <v/>
      </c>
      <c r="AK68">
        <f t="shared" si="1"/>
        <v>329</v>
      </c>
      <c r="AL68" t="str" cm="1">
        <f t="array" ref="AL68">ElsoBetuNagy(R68)</f>
        <v/>
      </c>
      <c r="AO68" t="str" cm="1">
        <f t="array" ref="AO68">DatumSzovegge5(AN68)</f>
        <v>1899.</v>
      </c>
      <c r="AP68" t="str" cm="1">
        <f t="array" ref="AP68">DatumSzovegge3(AN68)</f>
        <v>december</v>
      </c>
      <c r="AQ68" t="str" cm="1">
        <f t="array" ref="AQ68">DatumSzovegge4(AN68)</f>
        <v>30.</v>
      </c>
    </row>
    <row r="69" spans="4:43" x14ac:dyDescent="0.25">
      <c r="D69" t="str" cm="1">
        <f t="array" ref="D69">SzuressNev($B$1,ROW()-1)</f>
        <v/>
      </c>
      <c r="E69">
        <f>COUNTIF($D$2:D69,D69)</f>
        <v>48</v>
      </c>
      <c r="F69" t="str" cm="1">
        <f t="array" ref="F69">ElutasitasEgyOk2(D69,E69)</f>
        <v/>
      </c>
      <c r="G69" t="str">
        <f>IFERROR(INDEX(diakadat!$I$2:$I$50,MATCH(D69,diakadat!$J$2:$J$50,0),1),"")</f>
        <v/>
      </c>
      <c r="H69" t="str">
        <f>IFERROR(INDEX(diakadat!$O$2:$O$50,MATCH(D69,diakadat!$J$2:$J$50,0),1),"")</f>
        <v/>
      </c>
      <c r="I69" t="str">
        <f>IFERROR(INDEX(diakadat!#REF!,MATCH(D69,diakadat!$J$2:$J$50,0),1),"")</f>
        <v/>
      </c>
      <c r="J69" t="str">
        <f>IFERROR(INDEX(diakadat!$K$2:$K$50,MATCH(D69,diakadat!$J$2:$J$50,0),1),"")</f>
        <v/>
      </c>
      <c r="K69" t="str" cm="1">
        <f t="array" ref="K69">IFERROR(DatumSzovegge2(INDEX(diakadat!$L$2:$L$50,MATCH(D69,diakadat!$J$2:$J$50,0),1)),"")</f>
        <v/>
      </c>
      <c r="L69" t="str" cm="1">
        <f t="array" ref="L69">IFERROR(DatumSzovegge5(INDEX(diakadat!$L$2:$L$50,MATCH(D69,diakadat!$J$2:$J$50,0),1)),"")</f>
        <v/>
      </c>
      <c r="M69" t="str" cm="1">
        <f t="array" ref="M69">IFERROR(DatumSzovegge3(INDEX(diakadat!$L$2:$L$50,MATCH(D69,diakadat!$J$2:$J$50,0),1)),"")</f>
        <v/>
      </c>
      <c r="N69" t="str" cm="1">
        <f t="array" ref="N69">IFERROR(DatumSzovegge4(INDEX(diakadat!$L$2:$L$50,MATCH(D69,diakadat!$J$2:$J$50,0),1)),"")</f>
        <v/>
      </c>
      <c r="O69" t="str">
        <f>IFERROR(INDEX(diakadat!$R$2:$R$50,MATCH(D69,diakadat!$J$2:$J$50,0),1),"")</f>
        <v/>
      </c>
      <c r="P69" t="str">
        <f>IFERROR(INDEX(diakadat!$AI$2:$AI$50,MATCH(D69,diakadat!$J$2:$J$50,0),1),"")</f>
        <v/>
      </c>
      <c r="Q69" t="str">
        <f>IFERROR(INDEX('rangsor'!$C$2:$C$343,MATCH(D69,'rangsor'!$A$2:$A$343,0),1),"")</f>
        <v/>
      </c>
      <c r="T69" t="s">
        <v>831</v>
      </c>
      <c r="U69" t="str" cm="1">
        <f t="array" ref="U69">Határozat(D69)</f>
        <v/>
      </c>
      <c r="AC69" t="str">
        <f>IFERROR(INDEX(diakadat!$U$2:$U$50,MATCH(D69,diakadat!$J$2:$J$50),1),"")</f>
        <v/>
      </c>
      <c r="AD69" t="str">
        <f>IFERROR(INDEX(diakadat!$V$2:$V$50,MATCH(D69,diakadat!$J$2:$J$50),1),"")</f>
        <v/>
      </c>
      <c r="AE69" t="str">
        <f>IFERROR(INDEX(diakadat!$W$2:$W$50,MATCH(D69,diakadat!$J$2:$J$50),1),"")</f>
        <v/>
      </c>
      <c r="AF69">
        <v>1171</v>
      </c>
      <c r="AG69" t="s">
        <v>912</v>
      </c>
      <c r="AH69" t="s">
        <v>1232</v>
      </c>
      <c r="AI69" t="str">
        <f>IFERROR(INDEX(diakadat!$X$2:$X$50,MATCH(D69,diakadat!$J$2:$J$50),1),"")</f>
        <v/>
      </c>
      <c r="AK69">
        <f t="shared" si="1"/>
        <v>329</v>
      </c>
      <c r="AL69" t="str" cm="1">
        <f t="array" ref="AL69">ElsoBetuNagy(R69)</f>
        <v/>
      </c>
      <c r="AO69" t="str" cm="1">
        <f t="array" ref="AO69">DatumSzovegge5(AN69)</f>
        <v>1899.</v>
      </c>
      <c r="AP69" t="str" cm="1">
        <f t="array" ref="AP69">DatumSzovegge3(AN69)</f>
        <v>december</v>
      </c>
      <c r="AQ69" t="str" cm="1">
        <f t="array" ref="AQ69">DatumSzovegge4(AN69)</f>
        <v>30.</v>
      </c>
    </row>
    <row r="70" spans="4:43" x14ac:dyDescent="0.25">
      <c r="D70" t="str" cm="1">
        <f t="array" ref="D70">SzuressNev($B$1,ROW()-1)</f>
        <v/>
      </c>
      <c r="E70">
        <f>COUNTIF($D$2:D70,D70)</f>
        <v>49</v>
      </c>
      <c r="F70" t="str" cm="1">
        <f t="array" ref="F70">ElutasitasEgyOk2(D70,E70)</f>
        <v/>
      </c>
      <c r="G70" t="str">
        <f>IFERROR(INDEX(diakadat!$I$2:$I$50,MATCH(D70,diakadat!$J$2:$J$50,0),1),"")</f>
        <v/>
      </c>
      <c r="H70" t="str">
        <f>IFERROR(INDEX(diakadat!$O$2:$O$50,MATCH(D70,diakadat!$J$2:$J$50,0),1),"")</f>
        <v/>
      </c>
      <c r="I70" t="str">
        <f>IFERROR(INDEX(diakadat!#REF!,MATCH(D70,diakadat!$J$2:$J$50,0),1),"")</f>
        <v/>
      </c>
      <c r="J70" t="str">
        <f>IFERROR(INDEX(diakadat!$K$2:$K$50,MATCH(D70,diakadat!$J$2:$J$50,0),1),"")</f>
        <v/>
      </c>
      <c r="K70" t="str" cm="1">
        <f t="array" ref="K70">IFERROR(DatumSzovegge2(INDEX(diakadat!$L$2:$L$50,MATCH(D70,diakadat!$J$2:$J$50,0),1)),"")</f>
        <v/>
      </c>
      <c r="L70" t="str" cm="1">
        <f t="array" ref="L70">IFERROR(DatumSzovegge5(INDEX(diakadat!$L$2:$L$50,MATCH(D70,diakadat!$J$2:$J$50,0),1)),"")</f>
        <v/>
      </c>
      <c r="M70" t="str" cm="1">
        <f t="array" ref="M70">IFERROR(DatumSzovegge3(INDEX(diakadat!$L$2:$L$50,MATCH(D70,diakadat!$J$2:$J$50,0),1)),"")</f>
        <v/>
      </c>
      <c r="N70" t="str" cm="1">
        <f t="array" ref="N70">IFERROR(DatumSzovegge4(INDEX(diakadat!$L$2:$L$50,MATCH(D70,diakadat!$J$2:$J$50,0),1)),"")</f>
        <v/>
      </c>
      <c r="O70" t="str">
        <f>IFERROR(INDEX(diakadat!$R$2:$R$50,MATCH(D70,diakadat!$J$2:$J$50,0),1),"")</f>
        <v/>
      </c>
      <c r="P70" t="str">
        <f>IFERROR(INDEX(diakadat!$AI$2:$AI$50,MATCH(D70,diakadat!$J$2:$J$50,0),1),"")</f>
        <v/>
      </c>
      <c r="Q70" t="str">
        <f>IFERROR(INDEX('rangsor'!$C$2:$C$343,MATCH(D70,'rangsor'!$A$2:$A$343,0),1),"")</f>
        <v/>
      </c>
      <c r="T70" t="s">
        <v>831</v>
      </c>
      <c r="U70" t="str" cm="1">
        <f t="array" ref="U70">Határozat(D70)</f>
        <v/>
      </c>
      <c r="AC70" t="str">
        <f>IFERROR(INDEX(diakadat!$U$2:$U$50,MATCH(D70,diakadat!$J$2:$J$50),1),"")</f>
        <v/>
      </c>
      <c r="AD70" t="str">
        <f>IFERROR(INDEX(diakadat!$V$2:$V$50,MATCH(D70,diakadat!$J$2:$J$50),1),"")</f>
        <v/>
      </c>
      <c r="AE70" t="str">
        <f>IFERROR(INDEX(diakadat!$W$2:$W$50,MATCH(D70,diakadat!$J$2:$J$50),1),"")</f>
        <v/>
      </c>
      <c r="AF70">
        <v>1181</v>
      </c>
      <c r="AG70" t="s">
        <v>912</v>
      </c>
      <c r="AH70" t="s">
        <v>1233</v>
      </c>
      <c r="AI70" t="str">
        <f>IFERROR(INDEX(diakadat!$X$2:$X$50,MATCH(D70,diakadat!$J$2:$J$50),1),"")</f>
        <v/>
      </c>
      <c r="AK70">
        <f t="shared" si="1"/>
        <v>329</v>
      </c>
      <c r="AL70" t="str" cm="1">
        <f t="array" ref="AL70">ElsoBetuNagy(R70)</f>
        <v/>
      </c>
      <c r="AO70" t="str" cm="1">
        <f t="array" ref="AO70">DatumSzovegge5(AN70)</f>
        <v>1899.</v>
      </c>
      <c r="AP70" t="str" cm="1">
        <f t="array" ref="AP70">DatumSzovegge3(AN70)</f>
        <v>december</v>
      </c>
      <c r="AQ70" t="str" cm="1">
        <f t="array" ref="AQ70">DatumSzovegge4(AN70)</f>
        <v>30.</v>
      </c>
    </row>
    <row r="71" spans="4:43" x14ac:dyDescent="0.25">
      <c r="D71" t="str" cm="1">
        <f t="array" ref="D71">SzuressNev($B$1,ROW()-1)</f>
        <v/>
      </c>
      <c r="E71">
        <f>COUNTIF($D$2:D71,D71)</f>
        <v>50</v>
      </c>
      <c r="F71" t="str" cm="1">
        <f t="array" ref="F71">ElutasitasEgyOk2(D71,E71)</f>
        <v/>
      </c>
      <c r="G71" t="str">
        <f>IFERROR(INDEX(diakadat!$I$2:$I$50,MATCH(D71,diakadat!$J$2:$J$50,0),1),"")</f>
        <v/>
      </c>
      <c r="H71" t="str">
        <f>IFERROR(INDEX(diakadat!$O$2:$O$50,MATCH(D71,diakadat!$J$2:$J$50,0),1),"")</f>
        <v/>
      </c>
      <c r="I71" t="str">
        <f>IFERROR(INDEX(diakadat!#REF!,MATCH(D71,diakadat!$J$2:$J$50,0),1),"")</f>
        <v/>
      </c>
      <c r="J71" t="str">
        <f>IFERROR(INDEX(diakadat!$K$2:$K$50,MATCH(D71,diakadat!$J$2:$J$50,0),1),"")</f>
        <v/>
      </c>
      <c r="K71" t="str" cm="1">
        <f t="array" ref="K71">IFERROR(DatumSzovegge2(INDEX(diakadat!$L$2:$L$50,MATCH(D71,diakadat!$J$2:$J$50,0),1)),"")</f>
        <v/>
      </c>
      <c r="L71" t="str" cm="1">
        <f t="array" ref="L71">IFERROR(DatumSzovegge5(INDEX(diakadat!$L$2:$L$50,MATCH(D71,diakadat!$J$2:$J$50,0),1)),"")</f>
        <v/>
      </c>
      <c r="M71" t="str" cm="1">
        <f t="array" ref="M71">IFERROR(DatumSzovegge3(INDEX(diakadat!$L$2:$L$50,MATCH(D71,diakadat!$J$2:$J$50,0),1)),"")</f>
        <v/>
      </c>
      <c r="N71" t="str" cm="1">
        <f t="array" ref="N71">IFERROR(DatumSzovegge4(INDEX(diakadat!$L$2:$L$50,MATCH(D71,diakadat!$J$2:$J$50,0),1)),"")</f>
        <v/>
      </c>
      <c r="O71" t="str">
        <f>IFERROR(INDEX(diakadat!$R$2:$R$50,MATCH(D71,diakadat!$J$2:$J$50,0),1),"")</f>
        <v/>
      </c>
      <c r="P71" t="str">
        <f>IFERROR(INDEX(diakadat!$AI$2:$AI$50,MATCH(D71,diakadat!$J$2:$J$50,0),1),"")</f>
        <v/>
      </c>
      <c r="Q71" t="str">
        <f>IFERROR(INDEX('rangsor'!$C$2:$C$343,MATCH(D71,'rangsor'!$A$2:$A$343,0),1),"")</f>
        <v/>
      </c>
      <c r="T71" t="s">
        <v>831</v>
      </c>
      <c r="U71" t="str" cm="1">
        <f t="array" ref="U71">Határozat(D71)</f>
        <v/>
      </c>
      <c r="AC71" t="str">
        <f>IFERROR(INDEX(diakadat!$U$2:$U$50,MATCH(D71,diakadat!$J$2:$J$50),1),"")</f>
        <v/>
      </c>
      <c r="AD71" t="str">
        <f>IFERROR(INDEX(diakadat!$V$2:$V$50,MATCH(D71,diakadat!$J$2:$J$50),1),"")</f>
        <v/>
      </c>
      <c r="AE71" t="str">
        <f>IFERROR(INDEX(diakadat!$W$2:$W$50,MATCH(D71,diakadat!$J$2:$J$50),1),"")</f>
        <v/>
      </c>
      <c r="AF71">
        <v>1203</v>
      </c>
      <c r="AG71" t="s">
        <v>912</v>
      </c>
      <c r="AH71" t="s">
        <v>1234</v>
      </c>
      <c r="AI71" t="str">
        <f>IFERROR(INDEX(diakadat!$X$2:$X$50,MATCH(D71,diakadat!$J$2:$J$50),1),"")</f>
        <v/>
      </c>
      <c r="AK71">
        <f t="shared" si="1"/>
        <v>329</v>
      </c>
      <c r="AL71" t="str" cm="1">
        <f t="array" ref="AL71">ElsoBetuNagy(R71)</f>
        <v/>
      </c>
      <c r="AO71" t="str" cm="1">
        <f t="array" ref="AO71">DatumSzovegge5(AN71)</f>
        <v>1899.</v>
      </c>
      <c r="AP71" t="str" cm="1">
        <f t="array" ref="AP71">DatumSzovegge3(AN71)</f>
        <v>december</v>
      </c>
      <c r="AQ71" t="str" cm="1">
        <f t="array" ref="AQ71">DatumSzovegge4(AN71)</f>
        <v>30.</v>
      </c>
    </row>
    <row r="72" spans="4:43" x14ac:dyDescent="0.25">
      <c r="D72" t="str" cm="1">
        <f t="array" ref="D72">SzuressNev($B$1,ROW()-1)</f>
        <v/>
      </c>
      <c r="E72">
        <f>COUNTIF($D$2:D72,D72)</f>
        <v>51</v>
      </c>
      <c r="F72" t="str" cm="1">
        <f t="array" ref="F72">ElutasitasEgyOk2(D72,E72)</f>
        <v/>
      </c>
      <c r="G72" t="str">
        <f>IFERROR(INDEX(diakadat!$I$2:$I$50,MATCH(D72,diakadat!$J$2:$J$50,0),1),"")</f>
        <v/>
      </c>
      <c r="H72" t="str">
        <f>IFERROR(INDEX(diakadat!$O$2:$O$50,MATCH(D72,diakadat!$J$2:$J$50,0),1),"")</f>
        <v/>
      </c>
      <c r="I72" t="str">
        <f>IFERROR(INDEX(diakadat!#REF!,MATCH(D72,diakadat!$J$2:$J$50,0),1),"")</f>
        <v/>
      </c>
      <c r="J72" t="str">
        <f>IFERROR(INDEX(diakadat!$K$2:$K$50,MATCH(D72,diakadat!$J$2:$J$50,0),1),"")</f>
        <v/>
      </c>
      <c r="K72" t="str" cm="1">
        <f t="array" ref="K72">IFERROR(DatumSzovegge2(INDEX(diakadat!$L$2:$L$50,MATCH(D72,diakadat!$J$2:$J$50,0),1)),"")</f>
        <v/>
      </c>
      <c r="L72" t="str" cm="1">
        <f t="array" ref="L72">IFERROR(DatumSzovegge5(INDEX(diakadat!$L$2:$L$50,MATCH(D72,diakadat!$J$2:$J$50,0),1)),"")</f>
        <v/>
      </c>
      <c r="M72" t="str" cm="1">
        <f t="array" ref="M72">IFERROR(DatumSzovegge3(INDEX(diakadat!$L$2:$L$50,MATCH(D72,diakadat!$J$2:$J$50,0),1)),"")</f>
        <v/>
      </c>
      <c r="N72" t="str" cm="1">
        <f t="array" ref="N72">IFERROR(DatumSzovegge4(INDEX(diakadat!$L$2:$L$50,MATCH(D72,diakadat!$J$2:$J$50,0),1)),"")</f>
        <v/>
      </c>
      <c r="O72" t="str">
        <f>IFERROR(INDEX(diakadat!$R$2:$R$50,MATCH(D72,diakadat!$J$2:$J$50,0),1),"")</f>
        <v/>
      </c>
      <c r="P72" t="str">
        <f>IFERROR(INDEX(diakadat!$AI$2:$AI$50,MATCH(D72,diakadat!$J$2:$J$50,0),1),"")</f>
        <v/>
      </c>
      <c r="Q72" t="str">
        <f>IFERROR(INDEX('rangsor'!$C$2:$C$343,MATCH(D72,'rangsor'!$A$2:$A$343,0),1),"")</f>
        <v/>
      </c>
      <c r="T72" t="s">
        <v>831</v>
      </c>
      <c r="U72" t="str" cm="1">
        <f t="array" ref="U72">Határozat(D72)</f>
        <v/>
      </c>
      <c r="AC72" t="str">
        <f>IFERROR(INDEX(diakadat!$U$2:$U$50,MATCH(D72,diakadat!$J$2:$J$50),1),"")</f>
        <v/>
      </c>
      <c r="AD72" t="str">
        <f>IFERROR(INDEX(diakadat!$V$2:$V$50,MATCH(D72,diakadat!$J$2:$J$50),1),"")</f>
        <v/>
      </c>
      <c r="AE72" t="str">
        <f>IFERROR(INDEX(diakadat!$W$2:$W$50,MATCH(D72,diakadat!$J$2:$J$50),1),"")</f>
        <v/>
      </c>
      <c r="AF72">
        <v>1203</v>
      </c>
      <c r="AG72" t="s">
        <v>912</v>
      </c>
      <c r="AH72" t="s">
        <v>1235</v>
      </c>
      <c r="AI72" t="str">
        <f>IFERROR(INDEX(diakadat!$X$2:$X$50,MATCH(D72,diakadat!$J$2:$J$50),1),"")</f>
        <v/>
      </c>
      <c r="AK72">
        <f t="shared" si="1"/>
        <v>329</v>
      </c>
      <c r="AL72" t="str" cm="1">
        <f t="array" ref="AL72">ElsoBetuNagy(R72)</f>
        <v/>
      </c>
      <c r="AO72" t="str" cm="1">
        <f t="array" ref="AO72">DatumSzovegge5(AN72)</f>
        <v>1899.</v>
      </c>
      <c r="AP72" t="str" cm="1">
        <f t="array" ref="AP72">DatumSzovegge3(AN72)</f>
        <v>december</v>
      </c>
      <c r="AQ72" t="str" cm="1">
        <f t="array" ref="AQ72">DatumSzovegge4(AN72)</f>
        <v>30.</v>
      </c>
    </row>
    <row r="73" spans="4:43" x14ac:dyDescent="0.25">
      <c r="D73" t="str" cm="1">
        <f t="array" ref="D73">SzuressNev($B$1,ROW()-1)</f>
        <v/>
      </c>
      <c r="E73">
        <f>COUNTIF($D$2:D73,D73)</f>
        <v>52</v>
      </c>
      <c r="F73" t="str" cm="1">
        <f t="array" ref="F73">ElutasitasEgyOk2(D73,E73)</f>
        <v/>
      </c>
      <c r="G73" t="str">
        <f>IFERROR(INDEX(diakadat!$I$2:$I$50,MATCH(D73,diakadat!$J$2:$J$50,0),1),"")</f>
        <v/>
      </c>
      <c r="H73" t="str">
        <f>IFERROR(INDEX(diakadat!$O$2:$O$50,MATCH(D73,diakadat!$J$2:$J$50,0),1),"")</f>
        <v/>
      </c>
      <c r="I73" t="str">
        <f>IFERROR(INDEX(diakadat!#REF!,MATCH(D73,diakadat!$J$2:$J$50,0),1),"")</f>
        <v/>
      </c>
      <c r="J73" t="str">
        <f>IFERROR(INDEX(diakadat!$K$2:$K$50,MATCH(D73,diakadat!$J$2:$J$50,0),1),"")</f>
        <v/>
      </c>
      <c r="K73" t="str" cm="1">
        <f t="array" ref="K73">IFERROR(DatumSzovegge2(INDEX(diakadat!$L$2:$L$50,MATCH(D73,diakadat!$J$2:$J$50,0),1)),"")</f>
        <v/>
      </c>
      <c r="L73" t="str" cm="1">
        <f t="array" ref="L73">IFERROR(DatumSzovegge5(INDEX(diakadat!$L$2:$L$50,MATCH(D73,diakadat!$J$2:$J$50,0),1)),"")</f>
        <v/>
      </c>
      <c r="M73" t="str" cm="1">
        <f t="array" ref="M73">IFERROR(DatumSzovegge3(INDEX(diakadat!$L$2:$L$50,MATCH(D73,diakadat!$J$2:$J$50,0),1)),"")</f>
        <v/>
      </c>
      <c r="N73" t="str" cm="1">
        <f t="array" ref="N73">IFERROR(DatumSzovegge4(INDEX(diakadat!$L$2:$L$50,MATCH(D73,diakadat!$J$2:$J$50,0),1)),"")</f>
        <v/>
      </c>
      <c r="O73" t="str">
        <f>IFERROR(INDEX(diakadat!$R$2:$R$50,MATCH(D73,diakadat!$J$2:$J$50,0),1),"")</f>
        <v/>
      </c>
      <c r="P73" t="str">
        <f>IFERROR(INDEX(diakadat!$AI$2:$AI$50,MATCH(D73,diakadat!$J$2:$J$50,0),1),"")</f>
        <v/>
      </c>
      <c r="Q73" t="str">
        <f>IFERROR(INDEX('rangsor'!$C$2:$C$343,MATCH(D73,'rangsor'!$A$2:$A$343,0),1),"")</f>
        <v/>
      </c>
      <c r="T73" t="s">
        <v>831</v>
      </c>
      <c r="U73" t="str" cm="1">
        <f t="array" ref="U73">Határozat(D73)</f>
        <v/>
      </c>
      <c r="AC73" t="str">
        <f>IFERROR(INDEX(diakadat!$U$2:$U$50,MATCH(D73,diakadat!$J$2:$J$50),1),"")</f>
        <v/>
      </c>
      <c r="AD73" t="str">
        <f>IFERROR(INDEX(diakadat!$V$2:$V$50,MATCH(D73,diakadat!$J$2:$J$50),1),"")</f>
        <v/>
      </c>
      <c r="AE73" t="str">
        <f>IFERROR(INDEX(diakadat!$W$2:$W$50,MATCH(D73,diakadat!$J$2:$J$50),1),"")</f>
        <v/>
      </c>
      <c r="AF73">
        <v>1239</v>
      </c>
      <c r="AG73" t="s">
        <v>912</v>
      </c>
      <c r="AH73" t="s">
        <v>1236</v>
      </c>
      <c r="AI73" t="str">
        <f>IFERROR(INDEX(diakadat!$X$2:$X$50,MATCH(D73,diakadat!$J$2:$J$50),1),"")</f>
        <v/>
      </c>
      <c r="AK73">
        <f t="shared" si="1"/>
        <v>329</v>
      </c>
      <c r="AL73" t="str" cm="1">
        <f t="array" ref="AL73">ElsoBetuNagy(R73)</f>
        <v/>
      </c>
      <c r="AO73" t="str" cm="1">
        <f t="array" ref="AO73">DatumSzovegge5(AN73)</f>
        <v>1899.</v>
      </c>
      <c r="AP73" t="str" cm="1">
        <f t="array" ref="AP73">DatumSzovegge3(AN73)</f>
        <v>december</v>
      </c>
      <c r="AQ73" t="str" cm="1">
        <f t="array" ref="AQ73">DatumSzovegge4(AN73)</f>
        <v>30.</v>
      </c>
    </row>
    <row r="74" spans="4:43" x14ac:dyDescent="0.25">
      <c r="D74" t="str" cm="1">
        <f t="array" ref="D74">SzuressNev($B$1,ROW()-1)</f>
        <v/>
      </c>
      <c r="E74">
        <f>COUNTIF($D$2:D74,D74)</f>
        <v>53</v>
      </c>
      <c r="F74" t="str" cm="1">
        <f t="array" ref="F74">ElutasitasEgyOk2(D74,E74)</f>
        <v/>
      </c>
      <c r="G74" t="str">
        <f>IFERROR(INDEX(diakadat!$I$2:$I$50,MATCH(D74,diakadat!$J$2:$J$50,0),1),"")</f>
        <v/>
      </c>
      <c r="H74" t="str">
        <f>IFERROR(INDEX(diakadat!$O$2:$O$50,MATCH(D74,diakadat!$J$2:$J$50,0),1),"")</f>
        <v/>
      </c>
      <c r="I74" t="str">
        <f>IFERROR(INDEX(diakadat!#REF!,MATCH(D74,diakadat!$J$2:$J$50,0),1),"")</f>
        <v/>
      </c>
      <c r="J74" t="str">
        <f>IFERROR(INDEX(diakadat!$K$2:$K$50,MATCH(D74,diakadat!$J$2:$J$50,0),1),"")</f>
        <v/>
      </c>
      <c r="K74" t="str" cm="1">
        <f t="array" ref="K74">IFERROR(DatumSzovegge2(INDEX(diakadat!$L$2:$L$50,MATCH(D74,diakadat!$J$2:$J$50,0),1)),"")</f>
        <v/>
      </c>
      <c r="L74" t="str" cm="1">
        <f t="array" ref="L74">IFERROR(DatumSzovegge5(INDEX(diakadat!$L$2:$L$50,MATCH(D74,diakadat!$J$2:$J$50,0),1)),"")</f>
        <v/>
      </c>
      <c r="M74" t="str" cm="1">
        <f t="array" ref="M74">IFERROR(DatumSzovegge3(INDEX(diakadat!$L$2:$L$50,MATCH(D74,diakadat!$J$2:$J$50,0),1)),"")</f>
        <v/>
      </c>
      <c r="N74" t="str" cm="1">
        <f t="array" ref="N74">IFERROR(DatumSzovegge4(INDEX(diakadat!$L$2:$L$50,MATCH(D74,diakadat!$J$2:$J$50,0),1)),"")</f>
        <v/>
      </c>
      <c r="O74" t="str">
        <f>IFERROR(INDEX(diakadat!$R$2:$R$50,MATCH(D74,diakadat!$J$2:$J$50,0),1),"")</f>
        <v/>
      </c>
      <c r="P74" t="str">
        <f>IFERROR(INDEX(diakadat!$AI$2:$AI$50,MATCH(D74,diakadat!$J$2:$J$50,0),1),"")</f>
        <v/>
      </c>
      <c r="Q74" t="str">
        <f>IFERROR(INDEX('rangsor'!$C$2:$C$343,MATCH(D74,'rangsor'!$A$2:$A$343,0),1),"")</f>
        <v/>
      </c>
      <c r="T74" t="s">
        <v>831</v>
      </c>
      <c r="U74" t="str" cm="1">
        <f t="array" ref="U74">Határozat(D74)</f>
        <v/>
      </c>
      <c r="AC74" t="str">
        <f>IFERROR(INDEX(diakadat!$U$2:$U$50,MATCH(D74,diakadat!$J$2:$J$50),1),"")</f>
        <v/>
      </c>
      <c r="AD74" t="str">
        <f>IFERROR(INDEX(diakadat!$V$2:$V$50,MATCH(D74,diakadat!$J$2:$J$50),1),"")</f>
        <v/>
      </c>
      <c r="AE74" t="str">
        <f>IFERROR(INDEX(diakadat!$W$2:$W$50,MATCH(D74,diakadat!$J$2:$J$50),1),"")</f>
        <v/>
      </c>
      <c r="AF74">
        <v>1121</v>
      </c>
      <c r="AG74" t="s">
        <v>912</v>
      </c>
      <c r="AH74" t="s">
        <v>1237</v>
      </c>
      <c r="AI74" t="str">
        <f>IFERROR(INDEX(diakadat!$X$2:$X$50,MATCH(D74,diakadat!$J$2:$J$50),1),"")</f>
        <v/>
      </c>
      <c r="AK74">
        <f t="shared" si="1"/>
        <v>329</v>
      </c>
      <c r="AL74" t="str" cm="1">
        <f t="array" ref="AL74">ElsoBetuNagy(R74)</f>
        <v/>
      </c>
      <c r="AO74" t="str" cm="1">
        <f t="array" ref="AO74">DatumSzovegge5(AN74)</f>
        <v>1899.</v>
      </c>
      <c r="AP74" t="str" cm="1">
        <f t="array" ref="AP74">DatumSzovegge3(AN74)</f>
        <v>december</v>
      </c>
      <c r="AQ74" t="str" cm="1">
        <f t="array" ref="AQ74">DatumSzovegge4(AN74)</f>
        <v>30.</v>
      </c>
    </row>
    <row r="75" spans="4:43" x14ac:dyDescent="0.25">
      <c r="D75" t="str" cm="1">
        <f t="array" ref="D75">SzuressNev($B$1,ROW()-1)</f>
        <v/>
      </c>
      <c r="E75">
        <f>COUNTIF($D$2:D75,D75)</f>
        <v>54</v>
      </c>
      <c r="F75" t="str" cm="1">
        <f t="array" ref="F75">ElutasitasEgyOk2(D75,E75)</f>
        <v/>
      </c>
      <c r="G75" t="str">
        <f>IFERROR(INDEX(diakadat!$I$2:$I$50,MATCH(D75,diakadat!$J$2:$J$50,0),1),"")</f>
        <v/>
      </c>
      <c r="H75" t="str">
        <f>IFERROR(INDEX(diakadat!$O$2:$O$50,MATCH(D75,diakadat!$J$2:$J$50,0),1),"")</f>
        <v/>
      </c>
      <c r="I75" t="str">
        <f>IFERROR(INDEX(diakadat!#REF!,MATCH(D75,diakadat!$J$2:$J$50,0),1),"")</f>
        <v/>
      </c>
      <c r="J75" t="str">
        <f>IFERROR(INDEX(diakadat!$K$2:$K$50,MATCH(D75,diakadat!$J$2:$J$50,0),1),"")</f>
        <v/>
      </c>
      <c r="K75" t="str" cm="1">
        <f t="array" ref="K75">IFERROR(DatumSzovegge2(INDEX(diakadat!$L$2:$L$50,MATCH(D75,diakadat!$J$2:$J$50,0),1)),"")</f>
        <v/>
      </c>
      <c r="L75" t="str" cm="1">
        <f t="array" ref="L75">IFERROR(DatumSzovegge5(INDEX(diakadat!$L$2:$L$50,MATCH(D75,diakadat!$J$2:$J$50,0),1)),"")</f>
        <v/>
      </c>
      <c r="M75" t="str" cm="1">
        <f t="array" ref="M75">IFERROR(DatumSzovegge3(INDEX(diakadat!$L$2:$L$50,MATCH(D75,diakadat!$J$2:$J$50,0),1)),"")</f>
        <v/>
      </c>
      <c r="N75" t="str" cm="1">
        <f t="array" ref="N75">IFERROR(DatumSzovegge4(INDEX(diakadat!$L$2:$L$50,MATCH(D75,diakadat!$J$2:$J$50,0),1)),"")</f>
        <v/>
      </c>
      <c r="O75" t="str">
        <f>IFERROR(INDEX(diakadat!$R$2:$R$50,MATCH(D75,diakadat!$J$2:$J$50,0),1),"")</f>
        <v/>
      </c>
      <c r="P75" t="str">
        <f>IFERROR(INDEX(diakadat!$AI$2:$AI$50,MATCH(D75,diakadat!$J$2:$J$50,0),1),"")</f>
        <v/>
      </c>
      <c r="Q75" t="str">
        <f>IFERROR(INDEX('rangsor'!$C$2:$C$343,MATCH(D75,'rangsor'!$A$2:$A$343,0),1),"")</f>
        <v/>
      </c>
      <c r="T75" t="s">
        <v>831</v>
      </c>
      <c r="U75" t="str" cm="1">
        <f t="array" ref="U75">Határozat(D75)</f>
        <v/>
      </c>
      <c r="AC75" t="str">
        <f>IFERROR(INDEX(diakadat!$U$2:$U$50,MATCH(D75,diakadat!$J$2:$J$50),1),"")</f>
        <v/>
      </c>
      <c r="AD75" t="str">
        <f>IFERROR(INDEX(diakadat!$V$2:$V$50,MATCH(D75,diakadat!$J$2:$J$50),1),"")</f>
        <v/>
      </c>
      <c r="AE75" t="str">
        <f>IFERROR(INDEX(diakadat!$W$2:$W$50,MATCH(D75,diakadat!$J$2:$J$50),1),"")</f>
        <v/>
      </c>
      <c r="AF75">
        <v>1056</v>
      </c>
      <c r="AG75" t="s">
        <v>912</v>
      </c>
      <c r="AH75" t="s">
        <v>1238</v>
      </c>
      <c r="AI75" t="str">
        <f>IFERROR(INDEX(diakadat!$X$2:$X$50,MATCH(D75,diakadat!$J$2:$J$50),1),"")</f>
        <v/>
      </c>
      <c r="AK75">
        <f t="shared" si="1"/>
        <v>329</v>
      </c>
      <c r="AL75" t="str" cm="1">
        <f t="array" ref="AL75">ElsoBetuNagy(R75)</f>
        <v/>
      </c>
      <c r="AO75" t="str" cm="1">
        <f t="array" ref="AO75">DatumSzovegge5(AN75)</f>
        <v>1899.</v>
      </c>
      <c r="AP75" t="str" cm="1">
        <f t="array" ref="AP75">DatumSzovegge3(AN75)</f>
        <v>december</v>
      </c>
      <c r="AQ75" t="str" cm="1">
        <f t="array" ref="AQ75">DatumSzovegge4(AN75)</f>
        <v>30.</v>
      </c>
    </row>
    <row r="76" spans="4:43" x14ac:dyDescent="0.25">
      <c r="D76" t="str" cm="1">
        <f t="array" ref="D76">SzuressNev($B$1,ROW()-1)</f>
        <v/>
      </c>
      <c r="E76">
        <f>COUNTIF($D$2:D76,D76)</f>
        <v>55</v>
      </c>
      <c r="F76" t="str" cm="1">
        <f t="array" ref="F76">ElutasitasEgyOk2(D76,E76)</f>
        <v/>
      </c>
      <c r="G76" t="str">
        <f>IFERROR(INDEX(diakadat!$I$2:$I$50,MATCH(D76,diakadat!$J$2:$J$50,0),1),"")</f>
        <v/>
      </c>
      <c r="H76" t="str">
        <f>IFERROR(INDEX(diakadat!$O$2:$O$50,MATCH(D76,diakadat!$J$2:$J$50,0),1),"")</f>
        <v/>
      </c>
      <c r="I76" t="str">
        <f>IFERROR(INDEX(diakadat!#REF!,MATCH(D76,diakadat!$J$2:$J$50,0),1),"")</f>
        <v/>
      </c>
      <c r="J76" t="str">
        <f>IFERROR(INDEX(diakadat!$K$2:$K$50,MATCH(D76,diakadat!$J$2:$J$50,0),1),"")</f>
        <v/>
      </c>
      <c r="K76" t="str" cm="1">
        <f t="array" ref="K76">IFERROR(DatumSzovegge2(INDEX(diakadat!$L$2:$L$50,MATCH(D76,diakadat!$J$2:$J$50,0),1)),"")</f>
        <v/>
      </c>
      <c r="L76" t="str" cm="1">
        <f t="array" ref="L76">IFERROR(DatumSzovegge5(INDEX(diakadat!$L$2:$L$50,MATCH(D76,diakadat!$J$2:$J$50,0),1)),"")</f>
        <v/>
      </c>
      <c r="M76" t="str" cm="1">
        <f t="array" ref="M76">IFERROR(DatumSzovegge3(INDEX(diakadat!$L$2:$L$50,MATCH(D76,diakadat!$J$2:$J$50,0),1)),"")</f>
        <v/>
      </c>
      <c r="N76" t="str" cm="1">
        <f t="array" ref="N76">IFERROR(DatumSzovegge4(INDEX(diakadat!$L$2:$L$50,MATCH(D76,diakadat!$J$2:$J$50,0),1)),"")</f>
        <v/>
      </c>
      <c r="O76" t="str">
        <f>IFERROR(INDEX(diakadat!$R$2:$R$50,MATCH(D76,diakadat!$J$2:$J$50,0),1),"")</f>
        <v/>
      </c>
      <c r="P76" t="str">
        <f>IFERROR(INDEX(diakadat!$AI$2:$AI$50,MATCH(D76,diakadat!$J$2:$J$50,0),1),"")</f>
        <v/>
      </c>
      <c r="Q76" t="str">
        <f>IFERROR(INDEX('rangsor'!$C$2:$C$343,MATCH(D76,'rangsor'!$A$2:$A$343,0),1),"")</f>
        <v/>
      </c>
      <c r="T76" t="s">
        <v>831</v>
      </c>
      <c r="U76" t="str" cm="1">
        <f t="array" ref="U76">Határozat(D76)</f>
        <v/>
      </c>
      <c r="AC76" t="str">
        <f>IFERROR(INDEX(diakadat!$U$2:$U$50,MATCH(D76,diakadat!$J$2:$J$50),1),"")</f>
        <v/>
      </c>
      <c r="AD76" t="str">
        <f>IFERROR(INDEX(diakadat!$V$2:$V$50,MATCH(D76,diakadat!$J$2:$J$50),1),"")</f>
        <v/>
      </c>
      <c r="AE76" t="str">
        <f>IFERROR(INDEX(diakadat!$W$2:$W$50,MATCH(D76,diakadat!$J$2:$J$50),1),"")</f>
        <v/>
      </c>
      <c r="AF76">
        <v>1145</v>
      </c>
      <c r="AG76" t="s">
        <v>912</v>
      </c>
      <c r="AH76" t="s">
        <v>1239</v>
      </c>
      <c r="AI76" t="str">
        <f>IFERROR(INDEX(diakadat!$X$2:$X$50,MATCH(D76,diakadat!$J$2:$J$50),1),"")</f>
        <v/>
      </c>
      <c r="AK76">
        <f t="shared" si="1"/>
        <v>329</v>
      </c>
      <c r="AL76" t="str" cm="1">
        <f t="array" ref="AL76">ElsoBetuNagy(R76)</f>
        <v/>
      </c>
      <c r="AO76" t="str" cm="1">
        <f t="array" ref="AO76">DatumSzovegge5(AN76)</f>
        <v>1899.</v>
      </c>
      <c r="AP76" t="str" cm="1">
        <f t="array" ref="AP76">DatumSzovegge3(AN76)</f>
        <v>december</v>
      </c>
      <c r="AQ76" t="str" cm="1">
        <f t="array" ref="AQ76">DatumSzovegge4(AN76)</f>
        <v>30.</v>
      </c>
    </row>
    <row r="77" spans="4:43" x14ac:dyDescent="0.25">
      <c r="D77" t="str" cm="1">
        <f t="array" ref="D77">SzuressNev($B$1,ROW()-1)</f>
        <v/>
      </c>
      <c r="E77">
        <f>COUNTIF($D$2:D77,D77)</f>
        <v>56</v>
      </c>
      <c r="F77" t="str" cm="1">
        <f t="array" ref="F77">ElutasitasEgyOk2(D77,E77)</f>
        <v/>
      </c>
      <c r="G77" t="str">
        <f>IFERROR(INDEX(diakadat!$I$2:$I$50,MATCH(D77,diakadat!$J$2:$J$50,0),1),"")</f>
        <v/>
      </c>
      <c r="H77" t="str">
        <f>IFERROR(INDEX(diakadat!$O$2:$O$50,MATCH(D77,diakadat!$J$2:$J$50,0),1),"")</f>
        <v/>
      </c>
      <c r="I77" t="str">
        <f>IFERROR(INDEX(diakadat!#REF!,MATCH(D77,diakadat!$J$2:$J$50,0),1),"")</f>
        <v/>
      </c>
      <c r="J77" t="str">
        <f>IFERROR(INDEX(diakadat!$K$2:$K$50,MATCH(D77,diakadat!$J$2:$J$50,0),1),"")</f>
        <v/>
      </c>
      <c r="K77" t="str" cm="1">
        <f t="array" ref="K77">IFERROR(DatumSzovegge2(INDEX(diakadat!$L$2:$L$50,MATCH(D77,diakadat!$J$2:$J$50,0),1)),"")</f>
        <v/>
      </c>
      <c r="L77" t="str" cm="1">
        <f t="array" ref="L77">IFERROR(DatumSzovegge5(INDEX(diakadat!$L$2:$L$50,MATCH(D77,diakadat!$J$2:$J$50,0),1)),"")</f>
        <v/>
      </c>
      <c r="M77" t="str" cm="1">
        <f t="array" ref="M77">IFERROR(DatumSzovegge3(INDEX(diakadat!$L$2:$L$50,MATCH(D77,diakadat!$J$2:$J$50,0),1)),"")</f>
        <v/>
      </c>
      <c r="N77" t="str" cm="1">
        <f t="array" ref="N77">IFERROR(DatumSzovegge4(INDEX(diakadat!$L$2:$L$50,MATCH(D77,diakadat!$J$2:$J$50,0),1)),"")</f>
        <v/>
      </c>
      <c r="O77" t="str">
        <f>IFERROR(INDEX(diakadat!$R$2:$R$50,MATCH(D77,diakadat!$J$2:$J$50,0),1),"")</f>
        <v/>
      </c>
      <c r="P77" t="str">
        <f>IFERROR(INDEX(diakadat!$AI$2:$AI$50,MATCH(D77,diakadat!$J$2:$J$50,0),1),"")</f>
        <v/>
      </c>
      <c r="Q77" t="str">
        <f>IFERROR(INDEX('rangsor'!$C$2:$C$343,MATCH(D77,'rangsor'!$A$2:$A$343,0),1),"")</f>
        <v/>
      </c>
      <c r="T77" t="s">
        <v>831</v>
      </c>
      <c r="U77" t="str" cm="1">
        <f t="array" ref="U77">Határozat(D77)</f>
        <v/>
      </c>
      <c r="AC77" t="str">
        <f>IFERROR(INDEX(diakadat!$U$2:$U$50,MATCH(D77,diakadat!$J$2:$J$50),1),"")</f>
        <v/>
      </c>
      <c r="AD77" t="str">
        <f>IFERROR(INDEX(diakadat!$V$2:$V$50,MATCH(D77,diakadat!$J$2:$J$50),1),"")</f>
        <v/>
      </c>
      <c r="AE77" t="str">
        <f>IFERROR(INDEX(diakadat!$W$2:$W$50,MATCH(D77,diakadat!$J$2:$J$50),1),"")</f>
        <v/>
      </c>
      <c r="AF77">
        <v>1014</v>
      </c>
      <c r="AG77" t="s">
        <v>912</v>
      </c>
      <c r="AH77" t="s">
        <v>1240</v>
      </c>
      <c r="AI77" t="str">
        <f>IFERROR(INDEX(diakadat!$X$2:$X$50,MATCH(D77,diakadat!$J$2:$J$50),1),"")</f>
        <v/>
      </c>
      <c r="AK77">
        <f t="shared" si="1"/>
        <v>329</v>
      </c>
      <c r="AL77" t="str" cm="1">
        <f t="array" ref="AL77">ElsoBetuNagy(R77)</f>
        <v/>
      </c>
      <c r="AO77" t="str" cm="1">
        <f t="array" ref="AO77">DatumSzovegge5(AN77)</f>
        <v>1899.</v>
      </c>
      <c r="AP77" t="str" cm="1">
        <f t="array" ref="AP77">DatumSzovegge3(AN77)</f>
        <v>december</v>
      </c>
      <c r="AQ77" t="str" cm="1">
        <f t="array" ref="AQ77">DatumSzovegge4(AN77)</f>
        <v>30.</v>
      </c>
    </row>
    <row r="78" spans="4:43" x14ac:dyDescent="0.25">
      <c r="D78" t="str" cm="1">
        <f t="array" ref="D78">SzuressNev($B$1,ROW()-1)</f>
        <v/>
      </c>
      <c r="E78">
        <f>COUNTIF($D$2:D78,D78)</f>
        <v>57</v>
      </c>
      <c r="F78" t="str" cm="1">
        <f t="array" ref="F78">ElutasitasEgyOk2(D78,E78)</f>
        <v/>
      </c>
      <c r="G78" t="str">
        <f>IFERROR(INDEX(diakadat!$I$2:$I$50,MATCH(D78,diakadat!$J$2:$J$50,0),1),"")</f>
        <v/>
      </c>
      <c r="H78" t="str">
        <f>IFERROR(INDEX(diakadat!$O$2:$O$50,MATCH(D78,diakadat!$J$2:$J$50,0),1),"")</f>
        <v/>
      </c>
      <c r="I78" t="str">
        <f>IFERROR(INDEX(diakadat!#REF!,MATCH(D78,diakadat!$J$2:$J$50,0),1),"")</f>
        <v/>
      </c>
      <c r="J78" t="str">
        <f>IFERROR(INDEX(diakadat!$K$2:$K$50,MATCH(D78,diakadat!$J$2:$J$50,0),1),"")</f>
        <v/>
      </c>
      <c r="K78" t="str" cm="1">
        <f t="array" ref="K78">IFERROR(DatumSzovegge2(INDEX(diakadat!$L$2:$L$50,MATCH(D78,diakadat!$J$2:$J$50,0),1)),"")</f>
        <v/>
      </c>
      <c r="L78" t="str" cm="1">
        <f t="array" ref="L78">IFERROR(DatumSzovegge5(INDEX(diakadat!$L$2:$L$50,MATCH(D78,diakadat!$J$2:$J$50,0),1)),"")</f>
        <v/>
      </c>
      <c r="M78" t="str" cm="1">
        <f t="array" ref="M78">IFERROR(DatumSzovegge3(INDEX(diakadat!$L$2:$L$50,MATCH(D78,diakadat!$J$2:$J$50,0),1)),"")</f>
        <v/>
      </c>
      <c r="N78" t="str" cm="1">
        <f t="array" ref="N78">IFERROR(DatumSzovegge4(INDEX(diakadat!$L$2:$L$50,MATCH(D78,diakadat!$J$2:$J$50,0),1)),"")</f>
        <v/>
      </c>
      <c r="O78" t="str">
        <f>IFERROR(INDEX(diakadat!$R$2:$R$50,MATCH(D78,diakadat!$J$2:$J$50,0),1),"")</f>
        <v/>
      </c>
      <c r="P78" t="str">
        <f>IFERROR(INDEX(diakadat!$AI$2:$AI$50,MATCH(D78,diakadat!$J$2:$J$50,0),1),"")</f>
        <v/>
      </c>
      <c r="Q78" t="str">
        <f>IFERROR(INDEX('rangsor'!$C$2:$C$343,MATCH(D78,'rangsor'!$A$2:$A$343,0),1),"")</f>
        <v/>
      </c>
      <c r="T78" t="s">
        <v>831</v>
      </c>
      <c r="U78" t="str" cm="1">
        <f t="array" ref="U78">Határozat(D78)</f>
        <v/>
      </c>
      <c r="AC78" t="str">
        <f>IFERROR(INDEX(diakadat!$U$2:$U$50,MATCH(D78,diakadat!$J$2:$J$50),1),"")</f>
        <v/>
      </c>
      <c r="AD78" t="str">
        <f>IFERROR(INDEX(diakadat!$V$2:$V$50,MATCH(D78,diakadat!$J$2:$J$50),1),"")</f>
        <v/>
      </c>
      <c r="AE78" t="str">
        <f>IFERROR(INDEX(diakadat!$W$2:$W$50,MATCH(D78,diakadat!$J$2:$J$50),1),"")</f>
        <v/>
      </c>
      <c r="AF78">
        <v>1021</v>
      </c>
      <c r="AG78" t="s">
        <v>912</v>
      </c>
      <c r="AH78" t="s">
        <v>1241</v>
      </c>
      <c r="AI78" t="str">
        <f>IFERROR(INDEX(diakadat!$X$2:$X$50,MATCH(D78,diakadat!$J$2:$J$50),1),"")</f>
        <v/>
      </c>
      <c r="AK78">
        <f t="shared" si="1"/>
        <v>329</v>
      </c>
      <c r="AL78" t="str" cm="1">
        <f t="array" ref="AL78">ElsoBetuNagy(R78)</f>
        <v/>
      </c>
      <c r="AO78" t="str" cm="1">
        <f t="array" ref="AO78">DatumSzovegge5(AN78)</f>
        <v>1899.</v>
      </c>
      <c r="AP78" t="str" cm="1">
        <f t="array" ref="AP78">DatumSzovegge3(AN78)</f>
        <v>december</v>
      </c>
      <c r="AQ78" t="str" cm="1">
        <f t="array" ref="AQ78">DatumSzovegge4(AN78)</f>
        <v>30.</v>
      </c>
    </row>
    <row r="79" spans="4:43" x14ac:dyDescent="0.25">
      <c r="D79" t="str" cm="1">
        <f t="array" ref="D79">SzuressNev($B$1,ROW()-1)</f>
        <v/>
      </c>
      <c r="E79">
        <f>COUNTIF($D$2:D79,D79)</f>
        <v>58</v>
      </c>
      <c r="F79" t="str" cm="1">
        <f t="array" ref="F79">ElutasitasEgyOk2(D79,E79)</f>
        <v/>
      </c>
      <c r="G79" t="str">
        <f>IFERROR(INDEX(diakadat!$I$2:$I$50,MATCH(D79,diakadat!$J$2:$J$50,0),1),"")</f>
        <v/>
      </c>
      <c r="H79" t="str">
        <f>IFERROR(INDEX(diakadat!$O$2:$O$50,MATCH(D79,diakadat!$J$2:$J$50,0),1),"")</f>
        <v/>
      </c>
      <c r="I79" t="str">
        <f>IFERROR(INDEX(diakadat!#REF!,MATCH(D79,diakadat!$J$2:$J$50,0),1),"")</f>
        <v/>
      </c>
      <c r="J79" t="str">
        <f>IFERROR(INDEX(diakadat!$K$2:$K$50,MATCH(D79,diakadat!$J$2:$J$50,0),1),"")</f>
        <v/>
      </c>
      <c r="K79" t="str" cm="1">
        <f t="array" ref="K79">IFERROR(DatumSzovegge2(INDEX(diakadat!$L$2:$L$50,MATCH(D79,diakadat!$J$2:$J$50,0),1)),"")</f>
        <v/>
      </c>
      <c r="L79" t="str" cm="1">
        <f t="array" ref="L79">IFERROR(DatumSzovegge5(INDEX(diakadat!$L$2:$L$50,MATCH(D79,diakadat!$J$2:$J$50,0),1)),"")</f>
        <v/>
      </c>
      <c r="M79" t="str" cm="1">
        <f t="array" ref="M79">IFERROR(DatumSzovegge3(INDEX(diakadat!$L$2:$L$50,MATCH(D79,diakadat!$J$2:$J$50,0),1)),"")</f>
        <v/>
      </c>
      <c r="N79" t="str" cm="1">
        <f t="array" ref="N79">IFERROR(DatumSzovegge4(INDEX(diakadat!$L$2:$L$50,MATCH(D79,diakadat!$J$2:$J$50,0),1)),"")</f>
        <v/>
      </c>
      <c r="O79" t="str">
        <f>IFERROR(INDEX(diakadat!$R$2:$R$50,MATCH(D79,diakadat!$J$2:$J$50,0),1),"")</f>
        <v/>
      </c>
      <c r="P79" t="str">
        <f>IFERROR(INDEX(diakadat!$AI$2:$AI$50,MATCH(D79,diakadat!$J$2:$J$50,0),1),"")</f>
        <v/>
      </c>
      <c r="Q79" t="str">
        <f>IFERROR(INDEX('rangsor'!$C$2:$C$343,MATCH(D79,'rangsor'!$A$2:$A$343,0),1),"")</f>
        <v/>
      </c>
      <c r="T79" t="s">
        <v>831</v>
      </c>
      <c r="U79" t="str" cm="1">
        <f t="array" ref="U79">Határozat(D79)</f>
        <v/>
      </c>
      <c r="AC79" t="str">
        <f>IFERROR(INDEX(diakadat!$U$2:$U$50,MATCH(D79,diakadat!$J$2:$J$50),1),"")</f>
        <v/>
      </c>
      <c r="AD79" t="str">
        <f>IFERROR(INDEX(diakadat!$V$2:$V$50,MATCH(D79,diakadat!$J$2:$J$50),1),"")</f>
        <v/>
      </c>
      <c r="AE79" t="str">
        <f>IFERROR(INDEX(diakadat!$W$2:$W$50,MATCH(D79,diakadat!$J$2:$J$50),1),"")</f>
        <v/>
      </c>
      <c r="AF79">
        <v>1027</v>
      </c>
      <c r="AG79" t="s">
        <v>912</v>
      </c>
      <c r="AH79" t="s">
        <v>1242</v>
      </c>
      <c r="AI79" t="str">
        <f>IFERROR(INDEX(diakadat!$X$2:$X$50,MATCH(D79,diakadat!$J$2:$J$50),1),"")</f>
        <v/>
      </c>
      <c r="AK79">
        <f t="shared" si="1"/>
        <v>329</v>
      </c>
      <c r="AL79" t="str" cm="1">
        <f t="array" ref="AL79">ElsoBetuNagy(R79)</f>
        <v/>
      </c>
      <c r="AO79" t="str" cm="1">
        <f t="array" ref="AO79">DatumSzovegge5(AN79)</f>
        <v>1899.</v>
      </c>
      <c r="AP79" t="str" cm="1">
        <f t="array" ref="AP79">DatumSzovegge3(AN79)</f>
        <v>december</v>
      </c>
      <c r="AQ79" t="str" cm="1">
        <f t="array" ref="AQ79">DatumSzovegge4(AN79)</f>
        <v>30.</v>
      </c>
    </row>
    <row r="80" spans="4:43" x14ac:dyDescent="0.25">
      <c r="D80" t="str" cm="1">
        <f t="array" ref="D80">SzuressNev($B$1,ROW()-1)</f>
        <v/>
      </c>
      <c r="E80">
        <f>COUNTIF($D$2:D80,D80)</f>
        <v>59</v>
      </c>
      <c r="F80" t="str" cm="1">
        <f t="array" ref="F80">ElutasitasEgyOk2(D80,E80)</f>
        <v/>
      </c>
      <c r="G80" t="str">
        <f>IFERROR(INDEX(diakadat!$I$2:$I$50,MATCH(D80,diakadat!$J$2:$J$50,0),1),"")</f>
        <v/>
      </c>
      <c r="H80" t="str">
        <f>IFERROR(INDEX(diakadat!$O$2:$O$50,MATCH(D80,diakadat!$J$2:$J$50,0),1),"")</f>
        <v/>
      </c>
      <c r="I80" t="str">
        <f>IFERROR(INDEX(diakadat!#REF!,MATCH(D80,diakadat!$J$2:$J$50,0),1),"")</f>
        <v/>
      </c>
      <c r="J80" t="str">
        <f>IFERROR(INDEX(diakadat!$K$2:$K$50,MATCH(D80,diakadat!$J$2:$J$50,0),1),"")</f>
        <v/>
      </c>
      <c r="K80" t="str" cm="1">
        <f t="array" ref="K80">IFERROR(DatumSzovegge2(INDEX(diakadat!$L$2:$L$50,MATCH(D80,diakadat!$J$2:$J$50,0),1)),"")</f>
        <v/>
      </c>
      <c r="L80" t="str" cm="1">
        <f t="array" ref="L80">IFERROR(DatumSzovegge5(INDEX(diakadat!$L$2:$L$50,MATCH(D80,diakadat!$J$2:$J$50,0),1)),"")</f>
        <v/>
      </c>
      <c r="M80" t="str" cm="1">
        <f t="array" ref="M80">IFERROR(DatumSzovegge3(INDEX(diakadat!$L$2:$L$50,MATCH(D80,diakadat!$J$2:$J$50,0),1)),"")</f>
        <v/>
      </c>
      <c r="N80" t="str" cm="1">
        <f t="array" ref="N80">IFERROR(DatumSzovegge4(INDEX(diakadat!$L$2:$L$50,MATCH(D80,diakadat!$J$2:$J$50,0),1)),"")</f>
        <v/>
      </c>
      <c r="O80" t="str">
        <f>IFERROR(INDEX(diakadat!$R$2:$R$50,MATCH(D80,diakadat!$J$2:$J$50,0),1),"")</f>
        <v/>
      </c>
      <c r="P80" t="str">
        <f>IFERROR(INDEX(diakadat!$AI$2:$AI$50,MATCH(D80,diakadat!$J$2:$J$50,0),1),"")</f>
        <v/>
      </c>
      <c r="Q80" t="str">
        <f>IFERROR(INDEX('rangsor'!$C$2:$C$343,MATCH(D80,'rangsor'!$A$2:$A$343,0),1),"")</f>
        <v/>
      </c>
      <c r="T80" t="s">
        <v>831</v>
      </c>
      <c r="U80" t="str" cm="1">
        <f t="array" ref="U80">Határozat(D80)</f>
        <v/>
      </c>
      <c r="AC80" t="str">
        <f>IFERROR(INDEX(diakadat!$U$2:$U$50,MATCH(D80,diakadat!$J$2:$J$50),1),"")</f>
        <v/>
      </c>
      <c r="AD80" t="str">
        <f>IFERROR(INDEX(diakadat!$V$2:$V$50,MATCH(D80,diakadat!$J$2:$J$50),1),"")</f>
        <v/>
      </c>
      <c r="AE80" t="str">
        <f>IFERROR(INDEX(diakadat!$W$2:$W$50,MATCH(D80,diakadat!$J$2:$J$50),1),"")</f>
        <v/>
      </c>
      <c r="AF80">
        <v>1038</v>
      </c>
      <c r="AG80" t="s">
        <v>912</v>
      </c>
      <c r="AH80" t="s">
        <v>1243</v>
      </c>
      <c r="AI80" t="str">
        <f>IFERROR(INDEX(diakadat!$X$2:$X$50,MATCH(D80,diakadat!$J$2:$J$50),1),"")</f>
        <v/>
      </c>
      <c r="AK80">
        <f t="shared" si="1"/>
        <v>329</v>
      </c>
      <c r="AL80" t="str" cm="1">
        <f t="array" ref="AL80">ElsoBetuNagy(R80)</f>
        <v/>
      </c>
      <c r="AO80" t="str" cm="1">
        <f t="array" ref="AO80">DatumSzovegge5(AN80)</f>
        <v>1899.</v>
      </c>
      <c r="AP80" t="str" cm="1">
        <f t="array" ref="AP80">DatumSzovegge3(AN80)</f>
        <v>december</v>
      </c>
      <c r="AQ80" t="str" cm="1">
        <f t="array" ref="AQ80">DatumSzovegge4(AN80)</f>
        <v>30.</v>
      </c>
    </row>
    <row r="81" spans="4:43" x14ac:dyDescent="0.25">
      <c r="D81" t="str" cm="1">
        <f t="array" ref="D81">SzuressNev($B$1,ROW()-1)</f>
        <v/>
      </c>
      <c r="E81">
        <f>COUNTIF($D$2:D81,D81)</f>
        <v>60</v>
      </c>
      <c r="F81" t="str" cm="1">
        <f t="array" ref="F81">ElutasitasEgyOk2(D81,E81)</f>
        <v/>
      </c>
      <c r="G81" t="str">
        <f>IFERROR(INDEX(diakadat!$I$2:$I$50,MATCH(D81,diakadat!$J$2:$J$50,0),1),"")</f>
        <v/>
      </c>
      <c r="H81" t="str">
        <f>IFERROR(INDEX(diakadat!$O$2:$O$50,MATCH(D81,diakadat!$J$2:$J$50,0),1),"")</f>
        <v/>
      </c>
      <c r="I81" t="str">
        <f>IFERROR(INDEX(diakadat!#REF!,MATCH(D81,diakadat!$J$2:$J$50,0),1),"")</f>
        <v/>
      </c>
      <c r="J81" t="str">
        <f>IFERROR(INDEX(diakadat!$K$2:$K$50,MATCH(D81,diakadat!$J$2:$J$50,0),1),"")</f>
        <v/>
      </c>
      <c r="K81" t="str" cm="1">
        <f t="array" ref="K81">IFERROR(DatumSzovegge2(INDEX(diakadat!$L$2:$L$50,MATCH(D81,diakadat!$J$2:$J$50,0),1)),"")</f>
        <v/>
      </c>
      <c r="L81" t="str" cm="1">
        <f t="array" ref="L81">IFERROR(DatumSzovegge5(INDEX(diakadat!$L$2:$L$50,MATCH(D81,diakadat!$J$2:$J$50,0),1)),"")</f>
        <v/>
      </c>
      <c r="M81" t="str" cm="1">
        <f t="array" ref="M81">IFERROR(DatumSzovegge3(INDEX(diakadat!$L$2:$L$50,MATCH(D81,diakadat!$J$2:$J$50,0),1)),"")</f>
        <v/>
      </c>
      <c r="N81" t="str" cm="1">
        <f t="array" ref="N81">IFERROR(DatumSzovegge4(INDEX(diakadat!$L$2:$L$50,MATCH(D81,diakadat!$J$2:$J$50,0),1)),"")</f>
        <v/>
      </c>
      <c r="O81" t="str">
        <f>IFERROR(INDEX(diakadat!$R$2:$R$50,MATCH(D81,diakadat!$J$2:$J$50,0),1),"")</f>
        <v/>
      </c>
      <c r="P81" t="str">
        <f>IFERROR(INDEX(diakadat!$AI$2:$AI$50,MATCH(D81,diakadat!$J$2:$J$50,0),1),"")</f>
        <v/>
      </c>
      <c r="Q81" t="str">
        <f>IFERROR(INDEX('rangsor'!$C$2:$C$343,MATCH(D81,'rangsor'!$A$2:$A$343,0),1),"")</f>
        <v/>
      </c>
      <c r="T81" t="s">
        <v>831</v>
      </c>
      <c r="U81" t="str" cm="1">
        <f t="array" ref="U81">Határozat(D81)</f>
        <v/>
      </c>
      <c r="AC81" t="str">
        <f>IFERROR(INDEX(diakadat!$U$2:$U$50,MATCH(D81,diakadat!$J$2:$J$50),1),"")</f>
        <v/>
      </c>
      <c r="AD81" t="str">
        <f>IFERROR(INDEX(diakadat!$V$2:$V$50,MATCH(D81,diakadat!$J$2:$J$50),1),"")</f>
        <v/>
      </c>
      <c r="AE81" t="str">
        <f>IFERROR(INDEX(diakadat!$W$2:$W$50,MATCH(D81,diakadat!$J$2:$J$50),1),"")</f>
        <v/>
      </c>
      <c r="AF81">
        <v>1066</v>
      </c>
      <c r="AG81" t="s">
        <v>1164</v>
      </c>
      <c r="AH81" t="s">
        <v>1244</v>
      </c>
      <c r="AI81" t="str">
        <f>IFERROR(INDEX(diakadat!$X$2:$X$50,MATCH(D81,diakadat!$J$2:$J$50),1),"")</f>
        <v/>
      </c>
      <c r="AK81">
        <f t="shared" si="1"/>
        <v>329</v>
      </c>
      <c r="AL81" t="str" cm="1">
        <f t="array" ref="AL81">ElsoBetuNagy(R81)</f>
        <v/>
      </c>
      <c r="AO81" t="str" cm="1">
        <f t="array" ref="AO81">DatumSzovegge5(AN81)</f>
        <v>1899.</v>
      </c>
      <c r="AP81" t="str" cm="1">
        <f t="array" ref="AP81">DatumSzovegge3(AN81)</f>
        <v>december</v>
      </c>
      <c r="AQ81" t="str" cm="1">
        <f t="array" ref="AQ81">DatumSzovegge4(AN81)</f>
        <v>30.</v>
      </c>
    </row>
    <row r="82" spans="4:43" x14ac:dyDescent="0.25">
      <c r="D82" t="str" cm="1">
        <f t="array" ref="D82">SzuressNev($B$1,ROW()-1)</f>
        <v/>
      </c>
      <c r="E82">
        <f>COUNTIF($D$2:D82,D82)</f>
        <v>61</v>
      </c>
      <c r="F82" t="str" cm="1">
        <f t="array" ref="F82">ElutasitasEgyOk2(D82,E82)</f>
        <v/>
      </c>
      <c r="G82" t="str">
        <f>IFERROR(INDEX(diakadat!$I$2:$I$50,MATCH(D82,diakadat!$J$2:$J$50,0),1),"")</f>
        <v/>
      </c>
      <c r="H82" t="str">
        <f>IFERROR(INDEX(diakadat!$O$2:$O$50,MATCH(D82,diakadat!$J$2:$J$50,0),1),"")</f>
        <v/>
      </c>
      <c r="I82" t="str">
        <f>IFERROR(INDEX(diakadat!#REF!,MATCH(D82,diakadat!$J$2:$J$50,0),1),"")</f>
        <v/>
      </c>
      <c r="J82" t="str">
        <f>IFERROR(INDEX(diakadat!$K$2:$K$50,MATCH(D82,diakadat!$J$2:$J$50,0),1),"")</f>
        <v/>
      </c>
      <c r="K82" t="str" cm="1">
        <f t="array" ref="K82">IFERROR(DatumSzovegge2(INDEX(diakadat!$L$2:$L$50,MATCH(D82,diakadat!$J$2:$J$50,0),1)),"")</f>
        <v/>
      </c>
      <c r="L82" t="str" cm="1">
        <f t="array" ref="L82">IFERROR(DatumSzovegge5(INDEX(diakadat!$L$2:$L$50,MATCH(D82,diakadat!$J$2:$J$50,0),1)),"")</f>
        <v/>
      </c>
      <c r="M82" t="str" cm="1">
        <f t="array" ref="M82">IFERROR(DatumSzovegge3(INDEX(diakadat!$L$2:$L$50,MATCH(D82,diakadat!$J$2:$J$50,0),1)),"")</f>
        <v/>
      </c>
      <c r="N82" t="str" cm="1">
        <f t="array" ref="N82">IFERROR(DatumSzovegge4(INDEX(diakadat!$L$2:$L$50,MATCH(D82,diakadat!$J$2:$J$50,0),1)),"")</f>
        <v/>
      </c>
      <c r="O82" t="str">
        <f>IFERROR(INDEX(diakadat!$R$2:$R$50,MATCH(D82,diakadat!$J$2:$J$50,0),1),"")</f>
        <v/>
      </c>
      <c r="P82" t="str">
        <f>IFERROR(INDEX(diakadat!$AI$2:$AI$50,MATCH(D82,diakadat!$J$2:$J$50,0),1),"")</f>
        <v/>
      </c>
      <c r="Q82" t="str">
        <f>IFERROR(INDEX('rangsor'!$C$2:$C$343,MATCH(D82,'rangsor'!$A$2:$A$343,0),1),"")</f>
        <v/>
      </c>
      <c r="T82" t="s">
        <v>831</v>
      </c>
      <c r="U82" t="str" cm="1">
        <f t="array" ref="U82">Határozat(D82)</f>
        <v/>
      </c>
      <c r="AC82" t="str">
        <f>IFERROR(INDEX(diakadat!$U$2:$U$50,MATCH(D82,diakadat!$J$2:$J$50),1),"")</f>
        <v/>
      </c>
      <c r="AD82" t="str">
        <f>IFERROR(INDEX(diakadat!$V$2:$V$50,MATCH(D82,diakadat!$J$2:$J$50),1),"")</f>
        <v/>
      </c>
      <c r="AE82" t="str">
        <f>IFERROR(INDEX(diakadat!$W$2:$W$50,MATCH(D82,diakadat!$J$2:$J$50),1),"")</f>
        <v/>
      </c>
      <c r="AF82">
        <v>2049</v>
      </c>
      <c r="AG82" t="s">
        <v>1245</v>
      </c>
      <c r="AH82" t="s">
        <v>1246</v>
      </c>
      <c r="AI82" t="str">
        <f>IFERROR(INDEX(diakadat!$X$2:$X$50,MATCH(D82,diakadat!$J$2:$J$50),1),"")</f>
        <v/>
      </c>
      <c r="AK82">
        <f t="shared" si="1"/>
        <v>329</v>
      </c>
      <c r="AL82" t="str" cm="1">
        <f t="array" ref="AL82">ElsoBetuNagy(R82)</f>
        <v/>
      </c>
      <c r="AO82" t="str" cm="1">
        <f t="array" ref="AO82">DatumSzovegge5(AN82)</f>
        <v>1899.</v>
      </c>
      <c r="AP82" t="str" cm="1">
        <f t="array" ref="AP82">DatumSzovegge3(AN82)</f>
        <v>december</v>
      </c>
      <c r="AQ82" t="str" cm="1">
        <f t="array" ref="AQ82">DatumSzovegge4(AN82)</f>
        <v>30.</v>
      </c>
    </row>
    <row r="83" spans="4:43" x14ac:dyDescent="0.25">
      <c r="D83" t="str" cm="1">
        <f t="array" ref="D83">SzuressNev($B$1,ROW()-1)</f>
        <v/>
      </c>
      <c r="E83">
        <f>COUNTIF($D$2:D83,D83)</f>
        <v>62</v>
      </c>
      <c r="F83" t="str" cm="1">
        <f t="array" ref="F83">ElutasitasEgyOk2(D83,E83)</f>
        <v/>
      </c>
      <c r="G83" t="str">
        <f>IFERROR(INDEX(diakadat!$I$2:$I$50,MATCH(D83,diakadat!$J$2:$J$50,0),1),"")</f>
        <v/>
      </c>
      <c r="H83" t="str">
        <f>IFERROR(INDEX(diakadat!$O$2:$O$50,MATCH(D83,diakadat!$J$2:$J$50,0),1),"")</f>
        <v/>
      </c>
      <c r="I83" t="str">
        <f>IFERROR(INDEX(diakadat!#REF!,MATCH(D83,diakadat!$J$2:$J$50,0),1),"")</f>
        <v/>
      </c>
      <c r="J83" t="str">
        <f>IFERROR(INDEX(diakadat!$K$2:$K$50,MATCH(D83,diakadat!$J$2:$J$50,0),1),"")</f>
        <v/>
      </c>
      <c r="K83" t="str" cm="1">
        <f t="array" ref="K83">IFERROR(DatumSzovegge2(INDEX(diakadat!$L$2:$L$50,MATCH(D83,diakadat!$J$2:$J$50,0),1)),"")</f>
        <v/>
      </c>
      <c r="L83" t="str" cm="1">
        <f t="array" ref="L83">IFERROR(DatumSzovegge5(INDEX(diakadat!$L$2:$L$50,MATCH(D83,diakadat!$J$2:$J$50,0),1)),"")</f>
        <v/>
      </c>
      <c r="M83" t="str" cm="1">
        <f t="array" ref="M83">IFERROR(DatumSzovegge3(INDEX(diakadat!$L$2:$L$50,MATCH(D83,diakadat!$J$2:$J$50,0),1)),"")</f>
        <v/>
      </c>
      <c r="N83" t="str" cm="1">
        <f t="array" ref="N83">IFERROR(DatumSzovegge4(INDEX(diakadat!$L$2:$L$50,MATCH(D83,diakadat!$J$2:$J$50,0),1)),"")</f>
        <v/>
      </c>
      <c r="O83" t="str">
        <f>IFERROR(INDEX(diakadat!$R$2:$R$50,MATCH(D83,diakadat!$J$2:$J$50,0),1),"")</f>
        <v/>
      </c>
      <c r="P83" t="str">
        <f>IFERROR(INDEX(diakadat!$AI$2:$AI$50,MATCH(D83,diakadat!$J$2:$J$50,0),1),"")</f>
        <v/>
      </c>
      <c r="Q83" t="str">
        <f>IFERROR(INDEX('rangsor'!$C$2:$C$343,MATCH(D83,'rangsor'!$A$2:$A$343,0),1),"")</f>
        <v/>
      </c>
      <c r="T83" t="s">
        <v>831</v>
      </c>
      <c r="U83" t="str" cm="1">
        <f t="array" ref="U83">Határozat(D83)</f>
        <v/>
      </c>
      <c r="AC83" t="str">
        <f>IFERROR(INDEX(diakadat!$U$2:$U$50,MATCH(D83,diakadat!$J$2:$J$50),1),"")</f>
        <v/>
      </c>
      <c r="AD83" t="str">
        <f>IFERROR(INDEX(diakadat!$V$2:$V$50,MATCH(D83,diakadat!$J$2:$J$50),1),"")</f>
        <v/>
      </c>
      <c r="AE83" t="str">
        <f>IFERROR(INDEX(diakadat!$W$2:$W$50,MATCH(D83,diakadat!$J$2:$J$50),1),"")</f>
        <v/>
      </c>
      <c r="AF83">
        <v>1119</v>
      </c>
      <c r="AG83" t="s">
        <v>912</v>
      </c>
      <c r="AH83" t="s">
        <v>1247</v>
      </c>
      <c r="AI83" t="str">
        <f>IFERROR(INDEX(diakadat!$X$2:$X$50,MATCH(D83,diakadat!$J$2:$J$50),1),"")</f>
        <v/>
      </c>
      <c r="AK83">
        <f t="shared" si="1"/>
        <v>329</v>
      </c>
      <c r="AL83" t="str" cm="1">
        <f t="array" ref="AL83">ElsoBetuNagy(R83)</f>
        <v/>
      </c>
      <c r="AO83" t="str" cm="1">
        <f t="array" ref="AO83">DatumSzovegge5(AN83)</f>
        <v>1899.</v>
      </c>
      <c r="AP83" t="str" cm="1">
        <f t="array" ref="AP83">DatumSzovegge3(AN83)</f>
        <v>december</v>
      </c>
      <c r="AQ83" t="str" cm="1">
        <f t="array" ref="AQ83">DatumSzovegge4(AN83)</f>
        <v>30.</v>
      </c>
    </row>
    <row r="84" spans="4:43" x14ac:dyDescent="0.25">
      <c r="D84" t="str" cm="1">
        <f t="array" ref="D84">SzuressNev($B$1,ROW()-1)</f>
        <v/>
      </c>
      <c r="E84">
        <f>COUNTIF($D$2:D84,D84)</f>
        <v>63</v>
      </c>
      <c r="F84" t="str" cm="1">
        <f t="array" ref="F84">ElutasitasEgyOk2(D84,E84)</f>
        <v/>
      </c>
      <c r="G84" t="str">
        <f>IFERROR(INDEX(diakadat!$I$2:$I$50,MATCH(D84,diakadat!$J$2:$J$50,0),1),"")</f>
        <v/>
      </c>
      <c r="H84" t="str">
        <f>IFERROR(INDEX(diakadat!$O$2:$O$50,MATCH(D84,diakadat!$J$2:$J$50,0),1),"")</f>
        <v/>
      </c>
      <c r="I84" t="str">
        <f>IFERROR(INDEX(diakadat!#REF!,MATCH(D84,diakadat!$J$2:$J$50,0),1),"")</f>
        <v/>
      </c>
      <c r="J84" t="str">
        <f>IFERROR(INDEX(diakadat!$K$2:$K$50,MATCH(D84,diakadat!$J$2:$J$50,0),1),"")</f>
        <v/>
      </c>
      <c r="K84" t="str" cm="1">
        <f t="array" ref="K84">IFERROR(DatumSzovegge2(INDEX(diakadat!$L$2:$L$50,MATCH(D84,diakadat!$J$2:$J$50,0),1)),"")</f>
        <v/>
      </c>
      <c r="L84" t="str" cm="1">
        <f t="array" ref="L84">IFERROR(DatumSzovegge5(INDEX(diakadat!$L$2:$L$50,MATCH(D84,diakadat!$J$2:$J$50,0),1)),"")</f>
        <v/>
      </c>
      <c r="M84" t="str" cm="1">
        <f t="array" ref="M84">IFERROR(DatumSzovegge3(INDEX(diakadat!$L$2:$L$50,MATCH(D84,diakadat!$J$2:$J$50,0),1)),"")</f>
        <v/>
      </c>
      <c r="N84" t="str" cm="1">
        <f t="array" ref="N84">IFERROR(DatumSzovegge4(INDEX(diakadat!$L$2:$L$50,MATCH(D84,diakadat!$J$2:$J$50,0),1)),"")</f>
        <v/>
      </c>
      <c r="O84" t="str">
        <f>IFERROR(INDEX(diakadat!$R$2:$R$50,MATCH(D84,diakadat!$J$2:$J$50,0),1),"")</f>
        <v/>
      </c>
      <c r="P84" t="str">
        <f>IFERROR(INDEX(diakadat!$AI$2:$AI$50,MATCH(D84,diakadat!$J$2:$J$50,0),1),"")</f>
        <v/>
      </c>
      <c r="Q84" t="str">
        <f>IFERROR(INDEX('rangsor'!$C$2:$C$343,MATCH(D84,'rangsor'!$A$2:$A$343,0),1),"")</f>
        <v/>
      </c>
      <c r="T84" t="s">
        <v>831</v>
      </c>
      <c r="U84" t="str" cm="1">
        <f t="array" ref="U84">Határozat(D84)</f>
        <v/>
      </c>
      <c r="AC84" t="str">
        <f>IFERROR(INDEX(diakadat!$U$2:$U$50,MATCH(D84,diakadat!$J$2:$J$50),1),"")</f>
        <v/>
      </c>
      <c r="AD84" t="str">
        <f>IFERROR(INDEX(diakadat!$V$2:$V$50,MATCH(D84,diakadat!$J$2:$J$50),1),"")</f>
        <v/>
      </c>
      <c r="AE84" t="str">
        <f>IFERROR(INDEX(diakadat!$W$2:$W$50,MATCH(D84,diakadat!$J$2:$J$50),1),"")</f>
        <v/>
      </c>
      <c r="AF84">
        <v>1031</v>
      </c>
      <c r="AG84" t="s">
        <v>912</v>
      </c>
      <c r="AH84" t="s">
        <v>1248</v>
      </c>
      <c r="AI84" t="str">
        <f>IFERROR(INDEX(diakadat!$X$2:$X$50,MATCH(D84,diakadat!$J$2:$J$50),1),"")</f>
        <v/>
      </c>
      <c r="AK84">
        <f t="shared" si="1"/>
        <v>329</v>
      </c>
      <c r="AL84" t="str" cm="1">
        <f t="array" ref="AL84">ElsoBetuNagy(R84)</f>
        <v/>
      </c>
      <c r="AO84" t="str" cm="1">
        <f t="array" ref="AO84">DatumSzovegge5(AN84)</f>
        <v>1899.</v>
      </c>
      <c r="AP84" t="str" cm="1">
        <f t="array" ref="AP84">DatumSzovegge3(AN84)</f>
        <v>december</v>
      </c>
      <c r="AQ84" t="str" cm="1">
        <f t="array" ref="AQ84">DatumSzovegge4(AN84)</f>
        <v>30.</v>
      </c>
    </row>
    <row r="85" spans="4:43" x14ac:dyDescent="0.25">
      <c r="D85" t="str" cm="1">
        <f t="array" ref="D85">SzuressNev($B$1,ROW()-1)</f>
        <v/>
      </c>
      <c r="E85">
        <f>COUNTIF($D$2:D85,D85)</f>
        <v>64</v>
      </c>
      <c r="F85" t="str" cm="1">
        <f t="array" ref="F85">ElutasitasEgyOk2(D85,E85)</f>
        <v/>
      </c>
      <c r="G85" t="str">
        <f>IFERROR(INDEX(diakadat!$I$2:$I$50,MATCH(D85,diakadat!$J$2:$J$50,0),1),"")</f>
        <v/>
      </c>
      <c r="H85" t="str">
        <f>IFERROR(INDEX(diakadat!$O$2:$O$50,MATCH(D85,diakadat!$J$2:$J$50,0),1),"")</f>
        <v/>
      </c>
      <c r="I85" t="str">
        <f>IFERROR(INDEX(diakadat!#REF!,MATCH(D85,diakadat!$J$2:$J$50,0),1),"")</f>
        <v/>
      </c>
      <c r="J85" t="str">
        <f>IFERROR(INDEX(diakadat!$K$2:$K$50,MATCH(D85,diakadat!$J$2:$J$50,0),1),"")</f>
        <v/>
      </c>
      <c r="K85" t="str" cm="1">
        <f t="array" ref="K85">IFERROR(DatumSzovegge2(INDEX(diakadat!$L$2:$L$50,MATCH(D85,diakadat!$J$2:$J$50,0),1)),"")</f>
        <v/>
      </c>
      <c r="L85" t="str" cm="1">
        <f t="array" ref="L85">IFERROR(DatumSzovegge5(INDEX(diakadat!$L$2:$L$50,MATCH(D85,diakadat!$J$2:$J$50,0),1)),"")</f>
        <v/>
      </c>
      <c r="M85" t="str" cm="1">
        <f t="array" ref="M85">IFERROR(DatumSzovegge3(INDEX(diakadat!$L$2:$L$50,MATCH(D85,diakadat!$J$2:$J$50,0),1)),"")</f>
        <v/>
      </c>
      <c r="N85" t="str" cm="1">
        <f t="array" ref="N85">IFERROR(DatumSzovegge4(INDEX(diakadat!$L$2:$L$50,MATCH(D85,diakadat!$J$2:$J$50,0),1)),"")</f>
        <v/>
      </c>
      <c r="O85" t="str">
        <f>IFERROR(INDEX(diakadat!$R$2:$R$50,MATCH(D85,diakadat!$J$2:$J$50,0),1),"")</f>
        <v/>
      </c>
      <c r="P85" t="str">
        <f>IFERROR(INDEX(diakadat!$AI$2:$AI$50,MATCH(D85,diakadat!$J$2:$J$50,0),1),"")</f>
        <v/>
      </c>
      <c r="Q85" t="str">
        <f>IFERROR(INDEX('rangsor'!$C$2:$C$343,MATCH(D85,'rangsor'!$A$2:$A$343,0),1),"")</f>
        <v/>
      </c>
      <c r="T85" t="s">
        <v>831</v>
      </c>
      <c r="U85" t="str" cm="1">
        <f t="array" ref="U85">Határozat(D85)</f>
        <v/>
      </c>
      <c r="AC85" t="str">
        <f>IFERROR(INDEX(diakadat!$U$2:$U$50,MATCH(D85,diakadat!$J$2:$J$50),1),"")</f>
        <v/>
      </c>
      <c r="AD85" t="str">
        <f>IFERROR(INDEX(diakadat!$V$2:$V$50,MATCH(D85,diakadat!$J$2:$J$50),1),"")</f>
        <v/>
      </c>
      <c r="AE85" t="str">
        <f>IFERROR(INDEX(diakadat!$W$2:$W$50,MATCH(D85,diakadat!$J$2:$J$50),1),"")</f>
        <v/>
      </c>
      <c r="AF85">
        <v>1054</v>
      </c>
      <c r="AG85" t="s">
        <v>1164</v>
      </c>
      <c r="AH85" t="s">
        <v>1249</v>
      </c>
      <c r="AI85" t="str">
        <f>IFERROR(INDEX(diakadat!$X$2:$X$50,MATCH(D85,diakadat!$J$2:$J$50),1),"")</f>
        <v/>
      </c>
      <c r="AK85">
        <f t="shared" si="1"/>
        <v>329</v>
      </c>
      <c r="AL85" t="str" cm="1">
        <f t="array" ref="AL85">ElsoBetuNagy(R85)</f>
        <v/>
      </c>
      <c r="AO85" t="str" cm="1">
        <f t="array" ref="AO85">DatumSzovegge5(AN85)</f>
        <v>1899.</v>
      </c>
      <c r="AP85" t="str" cm="1">
        <f t="array" ref="AP85">DatumSzovegge3(AN85)</f>
        <v>december</v>
      </c>
      <c r="AQ85" t="str" cm="1">
        <f t="array" ref="AQ85">DatumSzovegge4(AN85)</f>
        <v>30.</v>
      </c>
    </row>
    <row r="86" spans="4:43" x14ac:dyDescent="0.25">
      <c r="D86" t="str" cm="1">
        <f t="array" ref="D86">SzuressNev($B$1,ROW()-1)</f>
        <v/>
      </c>
      <c r="E86">
        <f>COUNTIF($D$2:D86,D86)</f>
        <v>65</v>
      </c>
      <c r="F86" t="str" cm="1">
        <f t="array" ref="F86">ElutasitasEgyOk2(D86,E86)</f>
        <v/>
      </c>
      <c r="G86" t="str">
        <f>IFERROR(INDEX(diakadat!$I$2:$I$50,MATCH(D86,diakadat!$J$2:$J$50,0),1),"")</f>
        <v/>
      </c>
      <c r="H86" t="str">
        <f>IFERROR(INDEX(diakadat!$O$2:$O$50,MATCH(D86,diakadat!$J$2:$J$50,0),1),"")</f>
        <v/>
      </c>
      <c r="I86" t="str">
        <f>IFERROR(INDEX(diakadat!#REF!,MATCH(D86,diakadat!$J$2:$J$50,0),1),"")</f>
        <v/>
      </c>
      <c r="J86" t="str">
        <f>IFERROR(INDEX(diakadat!$K$2:$K$50,MATCH(D86,diakadat!$J$2:$J$50,0),1),"")</f>
        <v/>
      </c>
      <c r="K86" t="str" cm="1">
        <f t="array" ref="K86">IFERROR(DatumSzovegge2(INDEX(diakadat!$L$2:$L$50,MATCH(D86,diakadat!$J$2:$J$50,0),1)),"")</f>
        <v/>
      </c>
      <c r="L86" t="str" cm="1">
        <f t="array" ref="L86">IFERROR(DatumSzovegge5(INDEX(diakadat!$L$2:$L$50,MATCH(D86,diakadat!$J$2:$J$50,0),1)),"")</f>
        <v/>
      </c>
      <c r="M86" t="str" cm="1">
        <f t="array" ref="M86">IFERROR(DatumSzovegge3(INDEX(diakadat!$L$2:$L$50,MATCH(D86,diakadat!$J$2:$J$50,0),1)),"")</f>
        <v/>
      </c>
      <c r="N86" t="str" cm="1">
        <f t="array" ref="N86">IFERROR(DatumSzovegge4(INDEX(diakadat!$L$2:$L$50,MATCH(D86,diakadat!$J$2:$J$50,0),1)),"")</f>
        <v/>
      </c>
      <c r="O86" t="str">
        <f>IFERROR(INDEX(diakadat!$R$2:$R$50,MATCH(D86,diakadat!$J$2:$J$50,0),1),"")</f>
        <v/>
      </c>
      <c r="P86" t="str">
        <f>IFERROR(INDEX(diakadat!$AI$2:$AI$50,MATCH(D86,diakadat!$J$2:$J$50,0),1),"")</f>
        <v/>
      </c>
      <c r="Q86" t="str">
        <f>IFERROR(INDEX('rangsor'!$C$2:$C$343,MATCH(D86,'rangsor'!$A$2:$A$343,0),1),"")</f>
        <v/>
      </c>
      <c r="T86" t="s">
        <v>831</v>
      </c>
      <c r="U86" t="str" cm="1">
        <f t="array" ref="U86">Határozat(D86)</f>
        <v/>
      </c>
      <c r="AC86" t="str">
        <f>IFERROR(INDEX(diakadat!$U$2:$U$50,MATCH(D86,diakadat!$J$2:$J$50),1),"")</f>
        <v/>
      </c>
      <c r="AD86" t="str">
        <f>IFERROR(INDEX(diakadat!$V$2:$V$50,MATCH(D86,diakadat!$J$2:$J$50),1),"")</f>
        <v/>
      </c>
      <c r="AE86" t="str">
        <f>IFERROR(INDEX(diakadat!$W$2:$W$50,MATCH(D86,diakadat!$J$2:$J$50),1),"")</f>
        <v/>
      </c>
      <c r="AF86">
        <v>1204</v>
      </c>
      <c r="AG86" t="s">
        <v>1164</v>
      </c>
      <c r="AH86" t="s">
        <v>1250</v>
      </c>
      <c r="AI86" t="str">
        <f>IFERROR(INDEX(diakadat!$X$2:$X$50,MATCH(D86,diakadat!$J$2:$J$50),1),"")</f>
        <v/>
      </c>
      <c r="AK86">
        <f t="shared" si="1"/>
        <v>329</v>
      </c>
      <c r="AL86" t="str" cm="1">
        <f t="array" ref="AL86">ElsoBetuNagy(R86)</f>
        <v/>
      </c>
      <c r="AO86" t="str" cm="1">
        <f t="array" ref="AO86">DatumSzovegge5(AN86)</f>
        <v>1899.</v>
      </c>
      <c r="AP86" t="str" cm="1">
        <f t="array" ref="AP86">DatumSzovegge3(AN86)</f>
        <v>december</v>
      </c>
      <c r="AQ86" t="str" cm="1">
        <f t="array" ref="AQ86">DatumSzovegge4(AN86)</f>
        <v>30.</v>
      </c>
    </row>
    <row r="87" spans="4:43" x14ac:dyDescent="0.25">
      <c r="D87" t="str" cm="1">
        <f t="array" ref="D87">SzuressNev($B$1,ROW()-1)</f>
        <v/>
      </c>
      <c r="E87">
        <f>COUNTIF($D$2:D87,D87)</f>
        <v>66</v>
      </c>
      <c r="F87" t="str" cm="1">
        <f t="array" ref="F87">ElutasitasEgyOk2(D87,E87)</f>
        <v/>
      </c>
      <c r="G87" t="str">
        <f>IFERROR(INDEX(diakadat!$I$2:$I$50,MATCH(D87,diakadat!$J$2:$J$50,0),1),"")</f>
        <v/>
      </c>
      <c r="H87" t="str">
        <f>IFERROR(INDEX(diakadat!$O$2:$O$50,MATCH(D87,diakadat!$J$2:$J$50,0),1),"")</f>
        <v/>
      </c>
      <c r="I87" t="str">
        <f>IFERROR(INDEX(diakadat!#REF!,MATCH(D87,diakadat!$J$2:$J$50,0),1),"")</f>
        <v/>
      </c>
      <c r="J87" t="str">
        <f>IFERROR(INDEX(diakadat!$K$2:$K$50,MATCH(D87,diakadat!$J$2:$J$50,0),1),"")</f>
        <v/>
      </c>
      <c r="K87" t="str" cm="1">
        <f t="array" ref="K87">IFERROR(DatumSzovegge2(INDEX(diakadat!$L$2:$L$50,MATCH(D87,diakadat!$J$2:$J$50,0),1)),"")</f>
        <v/>
      </c>
      <c r="L87" t="str" cm="1">
        <f t="array" ref="L87">IFERROR(DatumSzovegge5(INDEX(diakadat!$L$2:$L$50,MATCH(D87,diakadat!$J$2:$J$50,0),1)),"")</f>
        <v/>
      </c>
      <c r="M87" t="str" cm="1">
        <f t="array" ref="M87">IFERROR(DatumSzovegge3(INDEX(diakadat!$L$2:$L$50,MATCH(D87,diakadat!$J$2:$J$50,0),1)),"")</f>
        <v/>
      </c>
      <c r="N87" t="str" cm="1">
        <f t="array" ref="N87">IFERROR(DatumSzovegge4(INDEX(diakadat!$L$2:$L$50,MATCH(D87,diakadat!$J$2:$J$50,0),1)),"")</f>
        <v/>
      </c>
      <c r="O87" t="str">
        <f>IFERROR(INDEX(diakadat!$R$2:$R$50,MATCH(D87,diakadat!$J$2:$J$50,0),1),"")</f>
        <v/>
      </c>
      <c r="P87" t="str">
        <f>IFERROR(INDEX(diakadat!$AI$2:$AI$50,MATCH(D87,diakadat!$J$2:$J$50,0),1),"")</f>
        <v/>
      </c>
      <c r="Q87" t="str">
        <f>IFERROR(INDEX('rangsor'!$C$2:$C$343,MATCH(D87,'rangsor'!$A$2:$A$343,0),1),"")</f>
        <v/>
      </c>
      <c r="T87" t="s">
        <v>831</v>
      </c>
      <c r="U87" t="str" cm="1">
        <f t="array" ref="U87">Határozat(D87)</f>
        <v/>
      </c>
      <c r="AC87" t="str">
        <f>IFERROR(INDEX(diakadat!$U$2:$U$50,MATCH(D87,diakadat!$J$2:$J$50),1),"")</f>
        <v/>
      </c>
      <c r="AD87" t="str">
        <f>IFERROR(INDEX(diakadat!$V$2:$V$50,MATCH(D87,diakadat!$J$2:$J$50),1),"")</f>
        <v/>
      </c>
      <c r="AE87" t="str">
        <f>IFERROR(INDEX(diakadat!$W$2:$W$50,MATCH(D87,diakadat!$J$2:$J$50),1),"")</f>
        <v/>
      </c>
      <c r="AF87">
        <v>1033</v>
      </c>
      <c r="AG87" t="s">
        <v>912</v>
      </c>
      <c r="AH87" t="s">
        <v>1251</v>
      </c>
      <c r="AI87" t="str">
        <f>IFERROR(INDEX(diakadat!$X$2:$X$50,MATCH(D87,diakadat!$J$2:$J$50),1),"")</f>
        <v/>
      </c>
      <c r="AK87">
        <f t="shared" si="1"/>
        <v>329</v>
      </c>
      <c r="AL87" t="str" cm="1">
        <f t="array" ref="AL87">ElsoBetuNagy(R87)</f>
        <v/>
      </c>
      <c r="AO87" t="str" cm="1">
        <f t="array" ref="AO87">DatumSzovegge5(AN87)</f>
        <v>1899.</v>
      </c>
      <c r="AP87" t="str" cm="1">
        <f t="array" ref="AP87">DatumSzovegge3(AN87)</f>
        <v>december</v>
      </c>
      <c r="AQ87" t="str" cm="1">
        <f t="array" ref="AQ87">DatumSzovegge4(AN87)</f>
        <v>30.</v>
      </c>
    </row>
    <row r="88" spans="4:43" x14ac:dyDescent="0.25">
      <c r="D88" t="str" cm="1">
        <f t="array" ref="D88">SzuressNev($B$1,ROW()-1)</f>
        <v/>
      </c>
      <c r="E88">
        <f>COUNTIF($D$2:D88,D88)</f>
        <v>67</v>
      </c>
      <c r="F88" t="str" cm="1">
        <f t="array" ref="F88">ElutasitasEgyOk2(D88,E88)</f>
        <v/>
      </c>
      <c r="G88" t="str">
        <f>IFERROR(INDEX(diakadat!$I$2:$I$50,MATCH(D88,diakadat!$J$2:$J$50,0),1),"")</f>
        <v/>
      </c>
      <c r="H88" t="str">
        <f>IFERROR(INDEX(diakadat!$O$2:$O$50,MATCH(D88,diakadat!$J$2:$J$50,0),1),"")</f>
        <v/>
      </c>
      <c r="I88" t="str">
        <f>IFERROR(INDEX(diakadat!#REF!,MATCH(D88,diakadat!$J$2:$J$50,0),1),"")</f>
        <v/>
      </c>
      <c r="J88" t="str">
        <f>IFERROR(INDEX(diakadat!$K$2:$K$50,MATCH(D88,diakadat!$J$2:$J$50,0),1),"")</f>
        <v/>
      </c>
      <c r="K88" t="str" cm="1">
        <f t="array" ref="K88">IFERROR(DatumSzovegge2(INDEX(diakadat!$L$2:$L$50,MATCH(D88,diakadat!$J$2:$J$50,0),1)),"")</f>
        <v/>
      </c>
      <c r="L88" t="str" cm="1">
        <f t="array" ref="L88">IFERROR(DatumSzovegge5(INDEX(diakadat!$L$2:$L$50,MATCH(D88,diakadat!$J$2:$J$50,0),1)),"")</f>
        <v/>
      </c>
      <c r="M88" t="str" cm="1">
        <f t="array" ref="M88">IFERROR(DatumSzovegge3(INDEX(diakadat!$L$2:$L$50,MATCH(D88,diakadat!$J$2:$J$50,0),1)),"")</f>
        <v/>
      </c>
      <c r="N88" t="str" cm="1">
        <f t="array" ref="N88">IFERROR(DatumSzovegge4(INDEX(diakadat!$L$2:$L$50,MATCH(D88,diakadat!$J$2:$J$50,0),1)),"")</f>
        <v/>
      </c>
      <c r="O88" t="str">
        <f>IFERROR(INDEX(diakadat!$R$2:$R$50,MATCH(D88,diakadat!$J$2:$J$50,0),1),"")</f>
        <v/>
      </c>
      <c r="P88" t="str">
        <f>IFERROR(INDEX(diakadat!$AI$2:$AI$50,MATCH(D88,diakadat!$J$2:$J$50,0),1),"")</f>
        <v/>
      </c>
      <c r="Q88" t="str">
        <f>IFERROR(INDEX('rangsor'!$C$2:$C$343,MATCH(D88,'rangsor'!$A$2:$A$343,0),1),"")</f>
        <v/>
      </c>
      <c r="T88" t="s">
        <v>831</v>
      </c>
      <c r="U88" t="str" cm="1">
        <f t="array" ref="U88">Határozat(D88)</f>
        <v/>
      </c>
      <c r="AC88" t="str">
        <f>IFERROR(INDEX(diakadat!$U$2:$U$50,MATCH(D88,diakadat!$J$2:$J$50),1),"")</f>
        <v/>
      </c>
      <c r="AD88" t="str">
        <f>IFERROR(INDEX(diakadat!$V$2:$V$50,MATCH(D88,diakadat!$J$2:$J$50),1),"")</f>
        <v/>
      </c>
      <c r="AE88" t="str">
        <f>IFERROR(INDEX(diakadat!$W$2:$W$50,MATCH(D88,diakadat!$J$2:$J$50),1),"")</f>
        <v/>
      </c>
      <c r="AF88">
        <v>1071</v>
      </c>
      <c r="AG88" t="s">
        <v>912</v>
      </c>
      <c r="AH88" t="s">
        <v>1252</v>
      </c>
      <c r="AI88" t="str">
        <f>IFERROR(INDEX(diakadat!$X$2:$X$50,MATCH(D88,diakadat!$J$2:$J$50),1),"")</f>
        <v/>
      </c>
      <c r="AK88">
        <f t="shared" si="1"/>
        <v>329</v>
      </c>
      <c r="AL88" t="str" cm="1">
        <f t="array" ref="AL88">ElsoBetuNagy(R88)</f>
        <v/>
      </c>
      <c r="AO88" t="str" cm="1">
        <f t="array" ref="AO88">DatumSzovegge5(AN88)</f>
        <v>1899.</v>
      </c>
      <c r="AP88" t="str" cm="1">
        <f t="array" ref="AP88">DatumSzovegge3(AN88)</f>
        <v>december</v>
      </c>
      <c r="AQ88" t="str" cm="1">
        <f t="array" ref="AQ88">DatumSzovegge4(AN88)</f>
        <v>30.</v>
      </c>
    </row>
    <row r="89" spans="4:43" x14ac:dyDescent="0.25">
      <c r="D89" t="str" cm="1">
        <f t="array" ref="D89">SzuressNev($B$1,ROW()-1)</f>
        <v/>
      </c>
      <c r="E89">
        <f>COUNTIF($D$2:D89,D89)</f>
        <v>68</v>
      </c>
      <c r="F89" t="str" cm="1">
        <f t="array" ref="F89">ElutasitasEgyOk2(D89,E89)</f>
        <v/>
      </c>
      <c r="G89" t="str">
        <f>IFERROR(INDEX(diakadat!$I$2:$I$50,MATCH(D89,diakadat!$J$2:$J$50,0),1),"")</f>
        <v/>
      </c>
      <c r="H89" t="str">
        <f>IFERROR(INDEX(diakadat!$O$2:$O$50,MATCH(D89,diakadat!$J$2:$J$50,0),1),"")</f>
        <v/>
      </c>
      <c r="I89" t="str">
        <f>IFERROR(INDEX(diakadat!#REF!,MATCH(D89,diakadat!$J$2:$J$50,0),1),"")</f>
        <v/>
      </c>
      <c r="J89" t="str">
        <f>IFERROR(INDEX(diakadat!$K$2:$K$50,MATCH(D89,diakadat!$J$2:$J$50,0),1),"")</f>
        <v/>
      </c>
      <c r="K89" t="str" cm="1">
        <f t="array" ref="K89">IFERROR(DatumSzovegge2(INDEX(diakadat!$L$2:$L$50,MATCH(D89,diakadat!$J$2:$J$50,0),1)),"")</f>
        <v/>
      </c>
      <c r="L89" t="str" cm="1">
        <f t="array" ref="L89">IFERROR(DatumSzovegge5(INDEX(diakadat!$L$2:$L$50,MATCH(D89,diakadat!$J$2:$J$50,0),1)),"")</f>
        <v/>
      </c>
      <c r="M89" t="str" cm="1">
        <f t="array" ref="M89">IFERROR(DatumSzovegge3(INDEX(diakadat!$L$2:$L$50,MATCH(D89,diakadat!$J$2:$J$50,0),1)),"")</f>
        <v/>
      </c>
      <c r="N89" t="str" cm="1">
        <f t="array" ref="N89">IFERROR(DatumSzovegge4(INDEX(diakadat!$L$2:$L$50,MATCH(D89,diakadat!$J$2:$J$50,0),1)),"")</f>
        <v/>
      </c>
      <c r="O89" t="str">
        <f>IFERROR(INDEX(diakadat!$R$2:$R$50,MATCH(D89,diakadat!$J$2:$J$50,0),1),"")</f>
        <v/>
      </c>
      <c r="P89" t="str">
        <f>IFERROR(INDEX(diakadat!$AI$2:$AI$50,MATCH(D89,diakadat!$J$2:$J$50,0),1),"")</f>
        <v/>
      </c>
      <c r="Q89" t="str">
        <f>IFERROR(INDEX('rangsor'!$C$2:$C$343,MATCH(D89,'rangsor'!$A$2:$A$343,0),1),"")</f>
        <v/>
      </c>
      <c r="T89" t="s">
        <v>831</v>
      </c>
      <c r="U89" t="str" cm="1">
        <f t="array" ref="U89">Határozat(D89)</f>
        <v/>
      </c>
      <c r="AC89" t="str">
        <f>IFERROR(INDEX(diakadat!$U$2:$U$50,MATCH(D89,diakadat!$J$2:$J$50),1),"")</f>
        <v/>
      </c>
      <c r="AD89" t="str">
        <f>IFERROR(INDEX(diakadat!$V$2:$V$50,MATCH(D89,diakadat!$J$2:$J$50),1),"")</f>
        <v/>
      </c>
      <c r="AE89" t="str">
        <f>IFERROR(INDEX(diakadat!$W$2:$W$50,MATCH(D89,diakadat!$J$2:$J$50),1),"")</f>
        <v/>
      </c>
      <c r="AF89">
        <v>1126</v>
      </c>
      <c r="AG89" t="s">
        <v>912</v>
      </c>
      <c r="AH89" t="s">
        <v>1253</v>
      </c>
      <c r="AI89" t="str">
        <f>IFERROR(INDEX(diakadat!$X$2:$X$50,MATCH(D89,diakadat!$J$2:$J$50),1),"")</f>
        <v/>
      </c>
      <c r="AK89">
        <f t="shared" si="1"/>
        <v>329</v>
      </c>
      <c r="AL89" t="str" cm="1">
        <f t="array" ref="AL89">ElsoBetuNagy(R89)</f>
        <v/>
      </c>
      <c r="AO89" t="str" cm="1">
        <f t="array" ref="AO89">DatumSzovegge5(AN89)</f>
        <v>1899.</v>
      </c>
      <c r="AP89" t="str" cm="1">
        <f t="array" ref="AP89">DatumSzovegge3(AN89)</f>
        <v>december</v>
      </c>
      <c r="AQ89" t="str" cm="1">
        <f t="array" ref="AQ89">DatumSzovegge4(AN89)</f>
        <v>30.</v>
      </c>
    </row>
    <row r="90" spans="4:43" x14ac:dyDescent="0.25">
      <c r="D90" t="str" cm="1">
        <f t="array" ref="D90">SzuressNev($B$1,ROW()-1)</f>
        <v/>
      </c>
      <c r="E90">
        <f>COUNTIF($D$2:D90,D90)</f>
        <v>69</v>
      </c>
      <c r="F90" t="str" cm="1">
        <f t="array" ref="F90">ElutasitasEgyOk2(D90,E90)</f>
        <v/>
      </c>
      <c r="G90" t="str">
        <f>IFERROR(INDEX(diakadat!$I$2:$I$50,MATCH(D90,diakadat!$J$2:$J$50,0),1),"")</f>
        <v/>
      </c>
      <c r="H90" t="str">
        <f>IFERROR(INDEX(diakadat!$O$2:$O$50,MATCH(D90,diakadat!$J$2:$J$50,0),1),"")</f>
        <v/>
      </c>
      <c r="I90" t="str">
        <f>IFERROR(INDEX(diakadat!#REF!,MATCH(D90,diakadat!$J$2:$J$50,0),1),"")</f>
        <v/>
      </c>
      <c r="J90" t="str">
        <f>IFERROR(INDEX(diakadat!$K$2:$K$50,MATCH(D90,diakadat!$J$2:$J$50,0),1),"")</f>
        <v/>
      </c>
      <c r="K90" t="str" cm="1">
        <f t="array" ref="K90">IFERROR(DatumSzovegge2(INDEX(diakadat!$L$2:$L$50,MATCH(D90,diakadat!$J$2:$J$50,0),1)),"")</f>
        <v/>
      </c>
      <c r="L90" t="str" cm="1">
        <f t="array" ref="L90">IFERROR(DatumSzovegge5(INDEX(diakadat!$L$2:$L$50,MATCH(D90,diakadat!$J$2:$J$50,0),1)),"")</f>
        <v/>
      </c>
      <c r="M90" t="str" cm="1">
        <f t="array" ref="M90">IFERROR(DatumSzovegge3(INDEX(diakadat!$L$2:$L$50,MATCH(D90,diakadat!$J$2:$J$50,0),1)),"")</f>
        <v/>
      </c>
      <c r="N90" t="str" cm="1">
        <f t="array" ref="N90">IFERROR(DatumSzovegge4(INDEX(diakadat!$L$2:$L$50,MATCH(D90,diakadat!$J$2:$J$50,0),1)),"")</f>
        <v/>
      </c>
      <c r="O90" t="str">
        <f>IFERROR(INDEX(diakadat!$R$2:$R$50,MATCH(D90,diakadat!$J$2:$J$50,0),1),"")</f>
        <v/>
      </c>
      <c r="P90" t="str">
        <f>IFERROR(INDEX(diakadat!$AI$2:$AI$50,MATCH(D90,diakadat!$J$2:$J$50,0),1),"")</f>
        <v/>
      </c>
      <c r="Q90" t="str">
        <f>IFERROR(INDEX('rangsor'!$C$2:$C$343,MATCH(D90,'rangsor'!$A$2:$A$343,0),1),"")</f>
        <v/>
      </c>
      <c r="T90" t="s">
        <v>831</v>
      </c>
      <c r="U90" t="str" cm="1">
        <f t="array" ref="U90">Határozat(D90)</f>
        <v/>
      </c>
      <c r="AC90" t="str">
        <f>IFERROR(INDEX(diakadat!$U$2:$U$50,MATCH(D90,diakadat!$J$2:$J$50),1),"")</f>
        <v/>
      </c>
      <c r="AD90" t="str">
        <f>IFERROR(INDEX(diakadat!$V$2:$V$50,MATCH(D90,diakadat!$J$2:$J$50),1),"")</f>
        <v/>
      </c>
      <c r="AE90" t="str">
        <f>IFERROR(INDEX(diakadat!$W$2:$W$50,MATCH(D90,diakadat!$J$2:$J$50),1),"")</f>
        <v/>
      </c>
      <c r="AF90">
        <v>2030</v>
      </c>
      <c r="AG90" t="s">
        <v>1254</v>
      </c>
      <c r="AH90" t="s">
        <v>1255</v>
      </c>
      <c r="AI90" t="str">
        <f>IFERROR(INDEX(diakadat!$X$2:$X$50,MATCH(D90,diakadat!$J$2:$J$50),1),"")</f>
        <v/>
      </c>
      <c r="AK90">
        <f t="shared" si="1"/>
        <v>329</v>
      </c>
      <c r="AL90" t="str" cm="1">
        <f t="array" ref="AL90">ElsoBetuNagy(R90)</f>
        <v/>
      </c>
      <c r="AO90" t="str" cm="1">
        <f t="array" ref="AO90">DatumSzovegge5(AN90)</f>
        <v>1899.</v>
      </c>
      <c r="AP90" t="str" cm="1">
        <f t="array" ref="AP90">DatumSzovegge3(AN90)</f>
        <v>december</v>
      </c>
      <c r="AQ90" t="str" cm="1">
        <f t="array" ref="AQ90">DatumSzovegge4(AN90)</f>
        <v>30.</v>
      </c>
    </row>
    <row r="91" spans="4:43" x14ac:dyDescent="0.25">
      <c r="D91" t="str" cm="1">
        <f t="array" ref="D91">SzuressNev($B$1,ROW()-1)</f>
        <v/>
      </c>
      <c r="E91">
        <f>COUNTIF($D$2:D91,D91)</f>
        <v>70</v>
      </c>
      <c r="F91" t="str" cm="1">
        <f t="array" ref="F91">ElutasitasEgyOk2(D91,E91)</f>
        <v/>
      </c>
      <c r="G91" t="str">
        <f>IFERROR(INDEX(diakadat!$I$2:$I$50,MATCH(D91,diakadat!$J$2:$J$50,0),1),"")</f>
        <v/>
      </c>
      <c r="H91" t="str">
        <f>IFERROR(INDEX(diakadat!$O$2:$O$50,MATCH(D91,diakadat!$J$2:$J$50,0),1),"")</f>
        <v/>
      </c>
      <c r="I91" t="str">
        <f>IFERROR(INDEX(diakadat!#REF!,MATCH(D91,diakadat!$J$2:$J$50,0),1),"")</f>
        <v/>
      </c>
      <c r="J91" t="str">
        <f>IFERROR(INDEX(diakadat!$K$2:$K$50,MATCH(D91,diakadat!$J$2:$J$50,0),1),"")</f>
        <v/>
      </c>
      <c r="K91" t="str" cm="1">
        <f t="array" ref="K91">IFERROR(DatumSzovegge2(INDEX(diakadat!$L$2:$L$50,MATCH(D91,diakadat!$J$2:$J$50,0),1)),"")</f>
        <v/>
      </c>
      <c r="L91" t="str" cm="1">
        <f t="array" ref="L91">IFERROR(DatumSzovegge5(INDEX(diakadat!$L$2:$L$50,MATCH(D91,diakadat!$J$2:$J$50,0),1)),"")</f>
        <v/>
      </c>
      <c r="M91" t="str" cm="1">
        <f t="array" ref="M91">IFERROR(DatumSzovegge3(INDEX(diakadat!$L$2:$L$50,MATCH(D91,diakadat!$J$2:$J$50,0),1)),"")</f>
        <v/>
      </c>
      <c r="N91" t="str" cm="1">
        <f t="array" ref="N91">IFERROR(DatumSzovegge4(INDEX(diakadat!$L$2:$L$50,MATCH(D91,diakadat!$J$2:$J$50,0),1)),"")</f>
        <v/>
      </c>
      <c r="O91" t="str">
        <f>IFERROR(INDEX(diakadat!$R$2:$R$50,MATCH(D91,diakadat!$J$2:$J$50,0),1),"")</f>
        <v/>
      </c>
      <c r="P91" t="str">
        <f>IFERROR(INDEX(diakadat!$AI$2:$AI$50,MATCH(D91,diakadat!$J$2:$J$50,0),1),"")</f>
        <v/>
      </c>
      <c r="Q91" t="str">
        <f>IFERROR(INDEX('rangsor'!$C$2:$C$343,MATCH(D91,'rangsor'!$A$2:$A$343,0),1),"")</f>
        <v/>
      </c>
      <c r="T91" t="s">
        <v>831</v>
      </c>
      <c r="U91" t="str" cm="1">
        <f t="array" ref="U91">Határozat(D91)</f>
        <v/>
      </c>
      <c r="AC91" t="str">
        <f>IFERROR(INDEX(diakadat!$U$2:$U$50,MATCH(D91,diakadat!$J$2:$J$50),1),"")</f>
        <v/>
      </c>
      <c r="AD91" t="str">
        <f>IFERROR(INDEX(diakadat!$V$2:$V$50,MATCH(D91,diakadat!$J$2:$J$50),1),"")</f>
        <v/>
      </c>
      <c r="AE91" t="str">
        <f>IFERROR(INDEX(diakadat!$W$2:$W$50,MATCH(D91,diakadat!$J$2:$J$50),1),"")</f>
        <v/>
      </c>
      <c r="AF91">
        <v>2030</v>
      </c>
      <c r="AG91" t="s">
        <v>1254</v>
      </c>
      <c r="AH91" t="s">
        <v>1256</v>
      </c>
      <c r="AI91" t="str">
        <f>IFERROR(INDEX(diakadat!$X$2:$X$50,MATCH(D91,diakadat!$J$2:$J$50),1),"")</f>
        <v/>
      </c>
      <c r="AK91">
        <f t="shared" si="1"/>
        <v>329</v>
      </c>
      <c r="AL91" t="str" cm="1">
        <f t="array" ref="AL91">ElsoBetuNagy(R91)</f>
        <v/>
      </c>
      <c r="AO91" t="str" cm="1">
        <f t="array" ref="AO91">DatumSzovegge5(AN91)</f>
        <v>1899.</v>
      </c>
      <c r="AP91" t="str" cm="1">
        <f t="array" ref="AP91">DatumSzovegge3(AN91)</f>
        <v>december</v>
      </c>
      <c r="AQ91" t="str" cm="1">
        <f t="array" ref="AQ91">DatumSzovegge4(AN91)</f>
        <v>30.</v>
      </c>
    </row>
    <row r="92" spans="4:43" x14ac:dyDescent="0.25">
      <c r="D92" t="str" cm="1">
        <f t="array" ref="D92">SzuressNev($B$1,ROW()-1)</f>
        <v/>
      </c>
      <c r="E92">
        <f>COUNTIF($D$2:D92,D92)</f>
        <v>71</v>
      </c>
      <c r="F92" t="str" cm="1">
        <f t="array" ref="F92">ElutasitasEgyOk2(D92,E92)</f>
        <v/>
      </c>
      <c r="G92" t="str">
        <f>IFERROR(INDEX(diakadat!$I$2:$I$50,MATCH(D92,diakadat!$J$2:$J$50,0),1),"")</f>
        <v/>
      </c>
      <c r="H92" t="str">
        <f>IFERROR(INDEX(diakadat!$O$2:$O$50,MATCH(D92,diakadat!$J$2:$J$50,0),1),"")</f>
        <v/>
      </c>
      <c r="I92" t="str">
        <f>IFERROR(INDEX(diakadat!#REF!,MATCH(D92,diakadat!$J$2:$J$50,0),1),"")</f>
        <v/>
      </c>
      <c r="J92" t="str">
        <f>IFERROR(INDEX(diakadat!$K$2:$K$50,MATCH(D92,diakadat!$J$2:$J$50,0),1),"")</f>
        <v/>
      </c>
      <c r="K92" t="str" cm="1">
        <f t="array" ref="K92">IFERROR(DatumSzovegge2(INDEX(diakadat!$L$2:$L$50,MATCH(D92,diakadat!$J$2:$J$50,0),1)),"")</f>
        <v/>
      </c>
      <c r="L92" t="str" cm="1">
        <f t="array" ref="L92">IFERROR(DatumSzovegge5(INDEX(diakadat!$L$2:$L$50,MATCH(D92,diakadat!$J$2:$J$50,0),1)),"")</f>
        <v/>
      </c>
      <c r="M92" t="str" cm="1">
        <f t="array" ref="M92">IFERROR(DatumSzovegge3(INDEX(diakadat!$L$2:$L$50,MATCH(D92,diakadat!$J$2:$J$50,0),1)),"")</f>
        <v/>
      </c>
      <c r="N92" t="str" cm="1">
        <f t="array" ref="N92">IFERROR(DatumSzovegge4(INDEX(diakadat!$L$2:$L$50,MATCH(D92,diakadat!$J$2:$J$50,0),1)),"")</f>
        <v/>
      </c>
      <c r="O92" t="str">
        <f>IFERROR(INDEX(diakadat!$R$2:$R$50,MATCH(D92,diakadat!$J$2:$J$50,0),1),"")</f>
        <v/>
      </c>
      <c r="P92" t="str">
        <f>IFERROR(INDEX(diakadat!$AI$2:$AI$50,MATCH(D92,diakadat!$J$2:$J$50,0),1),"")</f>
        <v/>
      </c>
      <c r="Q92" t="str">
        <f>IFERROR(INDEX('rangsor'!$C$2:$C$343,MATCH(D92,'rangsor'!$A$2:$A$343,0),1),"")</f>
        <v/>
      </c>
      <c r="T92" t="s">
        <v>831</v>
      </c>
      <c r="U92" t="str" cm="1">
        <f t="array" ref="U92">Határozat(D92)</f>
        <v/>
      </c>
      <c r="AC92" t="str">
        <f>IFERROR(INDEX(diakadat!$U$2:$U$50,MATCH(D92,diakadat!$J$2:$J$50),1),"")</f>
        <v/>
      </c>
      <c r="AD92" t="str">
        <f>IFERROR(INDEX(diakadat!$V$2:$V$50,MATCH(D92,diakadat!$J$2:$J$50),1),"")</f>
        <v/>
      </c>
      <c r="AE92" t="str">
        <f>IFERROR(INDEX(diakadat!$W$2:$W$50,MATCH(D92,diakadat!$J$2:$J$50),1),"")</f>
        <v/>
      </c>
      <c r="AF92">
        <v>2030</v>
      </c>
      <c r="AG92" t="s">
        <v>1254</v>
      </c>
      <c r="AH92" t="s">
        <v>1257</v>
      </c>
      <c r="AI92" t="str">
        <f>IFERROR(INDEX(diakadat!$X$2:$X$50,MATCH(D92,diakadat!$J$2:$J$50),1),"")</f>
        <v/>
      </c>
      <c r="AK92">
        <f t="shared" si="1"/>
        <v>329</v>
      </c>
      <c r="AL92" t="str" cm="1">
        <f t="array" ref="AL92">ElsoBetuNagy(R92)</f>
        <v/>
      </c>
      <c r="AO92" t="str" cm="1">
        <f t="array" ref="AO92">DatumSzovegge5(AN92)</f>
        <v>1899.</v>
      </c>
      <c r="AP92" t="str" cm="1">
        <f t="array" ref="AP92">DatumSzovegge3(AN92)</f>
        <v>december</v>
      </c>
      <c r="AQ92" t="str" cm="1">
        <f t="array" ref="AQ92">DatumSzovegge4(AN92)</f>
        <v>30.</v>
      </c>
    </row>
    <row r="93" spans="4:43" x14ac:dyDescent="0.25">
      <c r="D93" t="str" cm="1">
        <f t="array" ref="D93">SzuressNev($B$1,ROW()-1)</f>
        <v/>
      </c>
      <c r="E93">
        <f>COUNTIF($D$2:D93,D93)</f>
        <v>72</v>
      </c>
      <c r="F93" t="str" cm="1">
        <f t="array" ref="F93">ElutasitasEgyOk2(D93,E93)</f>
        <v/>
      </c>
      <c r="G93" t="str">
        <f>IFERROR(INDEX(diakadat!$I$2:$I$50,MATCH(D93,diakadat!$J$2:$J$50,0),1),"")</f>
        <v/>
      </c>
      <c r="H93" t="str">
        <f>IFERROR(INDEX(diakadat!$O$2:$O$50,MATCH(D93,diakadat!$J$2:$J$50,0),1),"")</f>
        <v/>
      </c>
      <c r="I93" t="str">
        <f>IFERROR(INDEX(diakadat!#REF!,MATCH(D93,diakadat!$J$2:$J$50,0),1),"")</f>
        <v/>
      </c>
      <c r="J93" t="str">
        <f>IFERROR(INDEX(diakadat!$K$2:$K$50,MATCH(D93,diakadat!$J$2:$J$50,0),1),"")</f>
        <v/>
      </c>
      <c r="K93" t="str" cm="1">
        <f t="array" ref="K93">IFERROR(DatumSzovegge2(INDEX(diakadat!$L$2:$L$50,MATCH(D93,diakadat!$J$2:$J$50,0),1)),"")</f>
        <v/>
      </c>
      <c r="L93" t="str" cm="1">
        <f t="array" ref="L93">IFERROR(DatumSzovegge5(INDEX(diakadat!$L$2:$L$50,MATCH(D93,diakadat!$J$2:$J$50,0),1)),"")</f>
        <v/>
      </c>
      <c r="M93" t="str" cm="1">
        <f t="array" ref="M93">IFERROR(DatumSzovegge3(INDEX(diakadat!$L$2:$L$50,MATCH(D93,diakadat!$J$2:$J$50,0),1)),"")</f>
        <v/>
      </c>
      <c r="N93" t="str" cm="1">
        <f t="array" ref="N93">IFERROR(DatumSzovegge4(INDEX(diakadat!$L$2:$L$50,MATCH(D93,diakadat!$J$2:$J$50,0),1)),"")</f>
        <v/>
      </c>
      <c r="O93" t="str">
        <f>IFERROR(INDEX(diakadat!$R$2:$R$50,MATCH(D93,diakadat!$J$2:$J$50,0),1),"")</f>
        <v/>
      </c>
      <c r="P93" t="str">
        <f>IFERROR(INDEX(diakadat!$AI$2:$AI$50,MATCH(D93,diakadat!$J$2:$J$50,0),1),"")</f>
        <v/>
      </c>
      <c r="Q93" t="str">
        <f>IFERROR(INDEX('rangsor'!$C$2:$C$343,MATCH(D93,'rangsor'!$A$2:$A$343,0),1),"")</f>
        <v/>
      </c>
      <c r="T93" t="s">
        <v>831</v>
      </c>
      <c r="U93" t="str" cm="1">
        <f t="array" ref="U93">Határozat(D93)</f>
        <v/>
      </c>
      <c r="AC93" t="str">
        <f>IFERROR(INDEX(diakadat!$U$2:$U$50,MATCH(D93,diakadat!$J$2:$J$50),1),"")</f>
        <v/>
      </c>
      <c r="AD93" t="str">
        <f>IFERROR(INDEX(diakadat!$V$2:$V$50,MATCH(D93,diakadat!$J$2:$J$50),1),"")</f>
        <v/>
      </c>
      <c r="AE93" t="str">
        <f>IFERROR(INDEX(diakadat!$W$2:$W$50,MATCH(D93,diakadat!$J$2:$J$50),1),"")</f>
        <v/>
      </c>
      <c r="AF93">
        <v>1073</v>
      </c>
      <c r="AG93" t="s">
        <v>912</v>
      </c>
      <c r="AH93" t="s">
        <v>1258</v>
      </c>
      <c r="AI93" t="str">
        <f>IFERROR(INDEX(diakadat!$X$2:$X$50,MATCH(D93,diakadat!$J$2:$J$50),1),"")</f>
        <v/>
      </c>
      <c r="AK93">
        <f t="shared" si="1"/>
        <v>329</v>
      </c>
      <c r="AL93" t="str" cm="1">
        <f t="array" ref="AL93">ElsoBetuNagy(R93)</f>
        <v/>
      </c>
      <c r="AO93" t="str" cm="1">
        <f t="array" ref="AO93">DatumSzovegge5(AN93)</f>
        <v>1899.</v>
      </c>
      <c r="AP93" t="str" cm="1">
        <f t="array" ref="AP93">DatumSzovegge3(AN93)</f>
        <v>december</v>
      </c>
      <c r="AQ93" t="str" cm="1">
        <f t="array" ref="AQ93">DatumSzovegge4(AN93)</f>
        <v>30.</v>
      </c>
    </row>
    <row r="94" spans="4:43" x14ac:dyDescent="0.25">
      <c r="D94" t="str" cm="1">
        <f t="array" ref="D94">SzuressNev($B$1,ROW()-1)</f>
        <v/>
      </c>
      <c r="E94">
        <f>COUNTIF($D$2:D94,D94)</f>
        <v>73</v>
      </c>
      <c r="F94" t="str" cm="1">
        <f t="array" ref="F94">ElutasitasEgyOk2(D94,E94)</f>
        <v/>
      </c>
      <c r="G94" t="str">
        <f>IFERROR(INDEX(diakadat!$I$2:$I$50,MATCH(D94,diakadat!$J$2:$J$50,0),1),"")</f>
        <v/>
      </c>
      <c r="H94" t="str">
        <f>IFERROR(INDEX(diakadat!$O$2:$O$50,MATCH(D94,diakadat!$J$2:$J$50,0),1),"")</f>
        <v/>
      </c>
      <c r="I94" t="str">
        <f>IFERROR(INDEX(diakadat!#REF!,MATCH(D94,diakadat!$J$2:$J$50,0),1),"")</f>
        <v/>
      </c>
      <c r="J94" t="str">
        <f>IFERROR(INDEX(diakadat!$K$2:$K$50,MATCH(D94,diakadat!$J$2:$J$50,0),1),"")</f>
        <v/>
      </c>
      <c r="K94" t="str" cm="1">
        <f t="array" ref="K94">IFERROR(DatumSzovegge2(INDEX(diakadat!$L$2:$L$50,MATCH(D94,diakadat!$J$2:$J$50,0),1)),"")</f>
        <v/>
      </c>
      <c r="L94" t="str" cm="1">
        <f t="array" ref="L94">IFERROR(DatumSzovegge5(INDEX(diakadat!$L$2:$L$50,MATCH(D94,diakadat!$J$2:$J$50,0),1)),"")</f>
        <v/>
      </c>
      <c r="M94" t="str" cm="1">
        <f t="array" ref="M94">IFERROR(DatumSzovegge3(INDEX(diakadat!$L$2:$L$50,MATCH(D94,diakadat!$J$2:$J$50,0),1)),"")</f>
        <v/>
      </c>
      <c r="N94" t="str" cm="1">
        <f t="array" ref="N94">IFERROR(DatumSzovegge4(INDEX(diakadat!$L$2:$L$50,MATCH(D94,diakadat!$J$2:$J$50,0),1)),"")</f>
        <v/>
      </c>
      <c r="O94" t="str">
        <f>IFERROR(INDEX(diakadat!$R$2:$R$50,MATCH(D94,diakadat!$J$2:$J$50,0),1),"")</f>
        <v/>
      </c>
      <c r="P94" t="str">
        <f>IFERROR(INDEX(diakadat!$AI$2:$AI$50,MATCH(D94,diakadat!$J$2:$J$50,0),1),"")</f>
        <v/>
      </c>
      <c r="Q94" t="str">
        <f>IFERROR(INDEX('rangsor'!$C$2:$C$343,MATCH(D94,'rangsor'!$A$2:$A$343,0),1),"")</f>
        <v/>
      </c>
      <c r="T94" t="s">
        <v>831</v>
      </c>
      <c r="U94" t="str" cm="1">
        <f t="array" ref="U94">Határozat(D94)</f>
        <v/>
      </c>
      <c r="AC94" t="str">
        <f>IFERROR(INDEX(diakadat!$U$2:$U$50,MATCH(D94,diakadat!$J$2:$J$50),1),"")</f>
        <v/>
      </c>
      <c r="AD94" t="str">
        <f>IFERROR(INDEX(diakadat!$V$2:$V$50,MATCH(D94,diakadat!$J$2:$J$50),1),"")</f>
        <v/>
      </c>
      <c r="AE94" t="str">
        <f>IFERROR(INDEX(diakadat!$W$2:$W$50,MATCH(D94,diakadat!$J$2:$J$50),1),"")</f>
        <v/>
      </c>
      <c r="AF94">
        <v>8083</v>
      </c>
      <c r="AG94" t="s">
        <v>1259</v>
      </c>
      <c r="AH94" t="s">
        <v>1260</v>
      </c>
      <c r="AI94" t="str">
        <f>IFERROR(INDEX(diakadat!$X$2:$X$50,MATCH(D94,diakadat!$J$2:$J$50),1),"")</f>
        <v/>
      </c>
      <c r="AK94">
        <f t="shared" si="1"/>
        <v>329</v>
      </c>
      <c r="AL94" t="str" cm="1">
        <f t="array" ref="AL94">ElsoBetuNagy(R94)</f>
        <v/>
      </c>
      <c r="AO94" t="str" cm="1">
        <f t="array" ref="AO94">DatumSzovegge5(AN94)</f>
        <v>1899.</v>
      </c>
      <c r="AP94" t="str" cm="1">
        <f t="array" ref="AP94">DatumSzovegge3(AN94)</f>
        <v>december</v>
      </c>
      <c r="AQ94" t="str" cm="1">
        <f t="array" ref="AQ94">DatumSzovegge4(AN94)</f>
        <v>30.</v>
      </c>
    </row>
    <row r="95" spans="4:43" x14ac:dyDescent="0.25">
      <c r="D95" t="str" cm="1">
        <f t="array" ref="D95">SzuressNev($B$1,ROW()-1)</f>
        <v/>
      </c>
      <c r="E95">
        <f>COUNTIF($D$2:D95,D95)</f>
        <v>74</v>
      </c>
      <c r="F95" t="str" cm="1">
        <f t="array" ref="F95">ElutasitasEgyOk2(D95,E95)</f>
        <v/>
      </c>
      <c r="G95" t="str">
        <f>IFERROR(INDEX(diakadat!$I$2:$I$50,MATCH(D95,diakadat!$J$2:$J$50,0),1),"")</f>
        <v/>
      </c>
      <c r="H95" t="str">
        <f>IFERROR(INDEX(diakadat!$O$2:$O$50,MATCH(D95,diakadat!$J$2:$J$50,0),1),"")</f>
        <v/>
      </c>
      <c r="I95" t="str">
        <f>IFERROR(INDEX(diakadat!#REF!,MATCH(D95,diakadat!$J$2:$J$50,0),1),"")</f>
        <v/>
      </c>
      <c r="J95" t="str">
        <f>IFERROR(INDEX(diakadat!$K$2:$K$50,MATCH(D95,diakadat!$J$2:$J$50,0),1),"")</f>
        <v/>
      </c>
      <c r="K95" t="str" cm="1">
        <f t="array" ref="K95">IFERROR(DatumSzovegge2(INDEX(diakadat!$L$2:$L$50,MATCH(D95,diakadat!$J$2:$J$50,0),1)),"")</f>
        <v/>
      </c>
      <c r="L95" t="str" cm="1">
        <f t="array" ref="L95">IFERROR(DatumSzovegge5(INDEX(diakadat!$L$2:$L$50,MATCH(D95,diakadat!$J$2:$J$50,0),1)),"")</f>
        <v/>
      </c>
      <c r="M95" t="str" cm="1">
        <f t="array" ref="M95">IFERROR(DatumSzovegge3(INDEX(diakadat!$L$2:$L$50,MATCH(D95,diakadat!$J$2:$J$50,0),1)),"")</f>
        <v/>
      </c>
      <c r="N95" t="str" cm="1">
        <f t="array" ref="N95">IFERROR(DatumSzovegge4(INDEX(diakadat!$L$2:$L$50,MATCH(D95,diakadat!$J$2:$J$50,0),1)),"")</f>
        <v/>
      </c>
      <c r="O95" t="str">
        <f>IFERROR(INDEX(diakadat!$R$2:$R$50,MATCH(D95,diakadat!$J$2:$J$50,0),1),"")</f>
        <v/>
      </c>
      <c r="P95" t="str">
        <f>IFERROR(INDEX(diakadat!$AI$2:$AI$50,MATCH(D95,diakadat!$J$2:$J$50,0),1),"")</f>
        <v/>
      </c>
      <c r="Q95" t="str">
        <f>IFERROR(INDEX('rangsor'!$C$2:$C$343,MATCH(D95,'rangsor'!$A$2:$A$343,0),1),"")</f>
        <v/>
      </c>
      <c r="T95" t="s">
        <v>831</v>
      </c>
      <c r="U95" t="str" cm="1">
        <f t="array" ref="U95">Határozat(D95)</f>
        <v/>
      </c>
      <c r="AC95" t="str">
        <f>IFERROR(INDEX(diakadat!$U$2:$U$50,MATCH(D95,diakadat!$J$2:$J$50),1),"")</f>
        <v/>
      </c>
      <c r="AD95" t="str">
        <f>IFERROR(INDEX(diakadat!$V$2:$V$50,MATCH(D95,diakadat!$J$2:$J$50),1),"")</f>
        <v/>
      </c>
      <c r="AE95" t="str">
        <f>IFERROR(INDEX(diakadat!$W$2:$W$50,MATCH(D95,diakadat!$J$2:$J$50),1),"")</f>
        <v/>
      </c>
      <c r="AF95">
        <v>1122</v>
      </c>
      <c r="AG95" t="s">
        <v>1164</v>
      </c>
      <c r="AH95" t="s">
        <v>1261</v>
      </c>
      <c r="AI95" t="str">
        <f>IFERROR(INDEX(diakadat!$X$2:$X$50,MATCH(D95,diakadat!$J$2:$J$50),1),"")</f>
        <v/>
      </c>
      <c r="AK95">
        <f t="shared" si="1"/>
        <v>329</v>
      </c>
      <c r="AL95" t="str" cm="1">
        <f t="array" ref="AL95">ElsoBetuNagy(R95)</f>
        <v/>
      </c>
      <c r="AO95" t="str" cm="1">
        <f t="array" ref="AO95">DatumSzovegge5(AN95)</f>
        <v>1899.</v>
      </c>
      <c r="AP95" t="str" cm="1">
        <f t="array" ref="AP95">DatumSzovegge3(AN95)</f>
        <v>december</v>
      </c>
      <c r="AQ95" t="str" cm="1">
        <f t="array" ref="AQ95">DatumSzovegge4(AN95)</f>
        <v>30.</v>
      </c>
    </row>
    <row r="96" spans="4:43" x14ac:dyDescent="0.25">
      <c r="D96" t="str" cm="1">
        <f t="array" ref="D96">SzuressNev($B$1,ROW()-1)</f>
        <v/>
      </c>
      <c r="E96">
        <f>COUNTIF($D$2:D96,D96)</f>
        <v>75</v>
      </c>
      <c r="F96" t="str" cm="1">
        <f t="array" ref="F96">ElutasitasEgyOk2(D96,E96)</f>
        <v/>
      </c>
      <c r="G96" t="str">
        <f>IFERROR(INDEX(diakadat!$I$2:$I$50,MATCH(D96,diakadat!$J$2:$J$50,0),1),"")</f>
        <v/>
      </c>
      <c r="H96" t="str">
        <f>IFERROR(INDEX(diakadat!$O$2:$O$50,MATCH(D96,diakadat!$J$2:$J$50,0),1),"")</f>
        <v/>
      </c>
      <c r="I96" t="str">
        <f>IFERROR(INDEX(diakadat!#REF!,MATCH(D96,diakadat!$J$2:$J$50,0),1),"")</f>
        <v/>
      </c>
      <c r="J96" t="str">
        <f>IFERROR(INDEX(diakadat!$K$2:$K$50,MATCH(D96,diakadat!$J$2:$J$50,0),1),"")</f>
        <v/>
      </c>
      <c r="K96" t="str" cm="1">
        <f t="array" ref="K96">IFERROR(DatumSzovegge2(INDEX(diakadat!$L$2:$L$50,MATCH(D96,diakadat!$J$2:$J$50,0),1)),"")</f>
        <v/>
      </c>
      <c r="L96" t="str" cm="1">
        <f t="array" ref="L96">IFERROR(DatumSzovegge5(INDEX(diakadat!$L$2:$L$50,MATCH(D96,diakadat!$J$2:$J$50,0),1)),"")</f>
        <v/>
      </c>
      <c r="M96" t="str" cm="1">
        <f t="array" ref="M96">IFERROR(DatumSzovegge3(INDEX(diakadat!$L$2:$L$50,MATCH(D96,diakadat!$J$2:$J$50,0),1)),"")</f>
        <v/>
      </c>
      <c r="N96" t="str" cm="1">
        <f t="array" ref="N96">IFERROR(DatumSzovegge4(INDEX(diakadat!$L$2:$L$50,MATCH(D96,diakadat!$J$2:$J$50,0),1)),"")</f>
        <v/>
      </c>
      <c r="O96" t="str">
        <f>IFERROR(INDEX(diakadat!$R$2:$R$50,MATCH(D96,diakadat!$J$2:$J$50,0),1),"")</f>
        <v/>
      </c>
      <c r="P96" t="str">
        <f>IFERROR(INDEX(diakadat!$AI$2:$AI$50,MATCH(D96,diakadat!$J$2:$J$50,0),1),"")</f>
        <v/>
      </c>
      <c r="Q96" t="str">
        <f>IFERROR(INDEX('rangsor'!$C$2:$C$343,MATCH(D96,'rangsor'!$A$2:$A$343,0),1),"")</f>
        <v/>
      </c>
      <c r="T96" t="s">
        <v>831</v>
      </c>
      <c r="U96" t="str" cm="1">
        <f t="array" ref="U96">Határozat(D96)</f>
        <v/>
      </c>
      <c r="AC96" t="str">
        <f>IFERROR(INDEX(diakadat!$U$2:$U$50,MATCH(D96,diakadat!$J$2:$J$50),1),"")</f>
        <v/>
      </c>
      <c r="AD96" t="str">
        <f>IFERROR(INDEX(diakadat!$V$2:$V$50,MATCH(D96,diakadat!$J$2:$J$50),1),"")</f>
        <v/>
      </c>
      <c r="AE96" t="str">
        <f>IFERROR(INDEX(diakadat!$W$2:$W$50,MATCH(D96,diakadat!$J$2:$J$50),1),"")</f>
        <v/>
      </c>
      <c r="AF96">
        <v>2112</v>
      </c>
      <c r="AG96" t="s">
        <v>1262</v>
      </c>
      <c r="AH96" t="s">
        <v>1263</v>
      </c>
      <c r="AI96" t="str">
        <f>IFERROR(INDEX(diakadat!$X$2:$X$50,MATCH(D96,diakadat!$J$2:$J$50),1),"")</f>
        <v/>
      </c>
      <c r="AK96">
        <f t="shared" si="1"/>
        <v>329</v>
      </c>
      <c r="AL96" t="str" cm="1">
        <f t="array" ref="AL96">ElsoBetuNagy(R96)</f>
        <v/>
      </c>
      <c r="AO96" t="str" cm="1">
        <f t="array" ref="AO96">DatumSzovegge5(AN96)</f>
        <v>1899.</v>
      </c>
      <c r="AP96" t="str" cm="1">
        <f t="array" ref="AP96">DatumSzovegge3(AN96)</f>
        <v>december</v>
      </c>
      <c r="AQ96" t="str" cm="1">
        <f t="array" ref="AQ96">DatumSzovegge4(AN96)</f>
        <v>30.</v>
      </c>
    </row>
    <row r="97" spans="4:43" x14ac:dyDescent="0.25">
      <c r="D97" t="str" cm="1">
        <f t="array" ref="D97">SzuressNev($B$1,ROW()-1)</f>
        <v/>
      </c>
      <c r="E97">
        <f>COUNTIF($D$2:D97,D97)</f>
        <v>76</v>
      </c>
      <c r="F97" t="str" cm="1">
        <f t="array" ref="F97">ElutasitasEgyOk2(D97,E97)</f>
        <v/>
      </c>
      <c r="G97" t="str">
        <f>IFERROR(INDEX(diakadat!$I$2:$I$50,MATCH(D97,diakadat!$J$2:$J$50,0),1),"")</f>
        <v/>
      </c>
      <c r="H97" t="str">
        <f>IFERROR(INDEX(diakadat!$O$2:$O$50,MATCH(D97,diakadat!$J$2:$J$50,0),1),"")</f>
        <v/>
      </c>
      <c r="I97" t="str">
        <f>IFERROR(INDEX(diakadat!#REF!,MATCH(D97,diakadat!$J$2:$J$50,0),1),"")</f>
        <v/>
      </c>
      <c r="J97" t="str">
        <f>IFERROR(INDEX(diakadat!$K$2:$K$50,MATCH(D97,diakadat!$J$2:$J$50,0),1),"")</f>
        <v/>
      </c>
      <c r="K97" t="str" cm="1">
        <f t="array" ref="K97">IFERROR(DatumSzovegge2(INDEX(diakadat!$L$2:$L$50,MATCH(D97,diakadat!$J$2:$J$50,0),1)),"")</f>
        <v/>
      </c>
      <c r="L97" t="str" cm="1">
        <f t="array" ref="L97">IFERROR(DatumSzovegge5(INDEX(diakadat!$L$2:$L$50,MATCH(D97,diakadat!$J$2:$J$50,0),1)),"")</f>
        <v/>
      </c>
      <c r="M97" t="str" cm="1">
        <f t="array" ref="M97">IFERROR(DatumSzovegge3(INDEX(diakadat!$L$2:$L$50,MATCH(D97,diakadat!$J$2:$J$50,0),1)),"")</f>
        <v/>
      </c>
      <c r="N97" t="str" cm="1">
        <f t="array" ref="N97">IFERROR(DatumSzovegge4(INDEX(diakadat!$L$2:$L$50,MATCH(D97,diakadat!$J$2:$J$50,0),1)),"")</f>
        <v/>
      </c>
      <c r="O97" t="str">
        <f>IFERROR(INDEX(diakadat!$R$2:$R$50,MATCH(D97,diakadat!$J$2:$J$50,0),1),"")</f>
        <v/>
      </c>
      <c r="P97" t="str">
        <f>IFERROR(INDEX(diakadat!$AI$2:$AI$50,MATCH(D97,diakadat!$J$2:$J$50,0),1),"")</f>
        <v/>
      </c>
      <c r="Q97" t="str">
        <f>IFERROR(INDEX('rangsor'!$C$2:$C$343,MATCH(D97,'rangsor'!$A$2:$A$343,0),1),"")</f>
        <v/>
      </c>
      <c r="T97" t="s">
        <v>831</v>
      </c>
      <c r="U97" t="str" cm="1">
        <f t="array" ref="U97">Határozat(D97)</f>
        <v/>
      </c>
      <c r="AC97" t="str">
        <f>IFERROR(INDEX(diakadat!$U$2:$U$50,MATCH(D97,diakadat!$J$2:$J$50),1),"")</f>
        <v/>
      </c>
      <c r="AD97" t="str">
        <f>IFERROR(INDEX(diakadat!$V$2:$V$50,MATCH(D97,diakadat!$J$2:$J$50),1),"")</f>
        <v/>
      </c>
      <c r="AE97" t="str">
        <f>IFERROR(INDEX(diakadat!$W$2:$W$50,MATCH(D97,diakadat!$J$2:$J$50),1),"")</f>
        <v/>
      </c>
      <c r="AF97">
        <v>1112</v>
      </c>
      <c r="AG97" t="s">
        <v>912</v>
      </c>
      <c r="AH97" t="s">
        <v>1264</v>
      </c>
      <c r="AI97" t="str">
        <f>IFERROR(INDEX(diakadat!$X$2:$X$50,MATCH(D97,diakadat!$J$2:$J$50),1),"")</f>
        <v/>
      </c>
      <c r="AK97">
        <f t="shared" si="1"/>
        <v>329</v>
      </c>
      <c r="AL97" t="str" cm="1">
        <f t="array" ref="AL97">ElsoBetuNagy(R97)</f>
        <v/>
      </c>
      <c r="AO97" t="str" cm="1">
        <f t="array" ref="AO97">DatumSzovegge5(AN97)</f>
        <v>1899.</v>
      </c>
      <c r="AP97" t="str" cm="1">
        <f t="array" ref="AP97">DatumSzovegge3(AN97)</f>
        <v>december</v>
      </c>
      <c r="AQ97" t="str" cm="1">
        <f t="array" ref="AQ97">DatumSzovegge4(AN97)</f>
        <v>30.</v>
      </c>
    </row>
    <row r="98" spans="4:43" x14ac:dyDescent="0.25">
      <c r="D98" t="str" cm="1">
        <f t="array" ref="D98">SzuressNev($B$1,ROW()-1)</f>
        <v/>
      </c>
      <c r="E98">
        <f>COUNTIF($D$2:D98,D98)</f>
        <v>77</v>
      </c>
      <c r="F98" t="str" cm="1">
        <f t="array" ref="F98">ElutasitasEgyOk2(D98,E98)</f>
        <v/>
      </c>
      <c r="G98" t="str">
        <f>IFERROR(INDEX(diakadat!$I$2:$I$50,MATCH(D98,diakadat!$J$2:$J$50,0),1),"")</f>
        <v/>
      </c>
      <c r="H98" t="str">
        <f>IFERROR(INDEX(diakadat!$O$2:$O$50,MATCH(D98,diakadat!$J$2:$J$50,0),1),"")</f>
        <v/>
      </c>
      <c r="I98" t="str">
        <f>IFERROR(INDEX(diakadat!#REF!,MATCH(D98,diakadat!$J$2:$J$50,0),1),"")</f>
        <v/>
      </c>
      <c r="J98" t="str">
        <f>IFERROR(INDEX(diakadat!$K$2:$K$50,MATCH(D98,diakadat!$J$2:$J$50,0),1),"")</f>
        <v/>
      </c>
      <c r="K98" t="str" cm="1">
        <f t="array" ref="K98">IFERROR(DatumSzovegge2(INDEX(diakadat!$L$2:$L$50,MATCH(D98,diakadat!$J$2:$J$50,0),1)),"")</f>
        <v/>
      </c>
      <c r="L98" t="str" cm="1">
        <f t="array" ref="L98">IFERROR(DatumSzovegge5(INDEX(diakadat!$L$2:$L$50,MATCH(D98,diakadat!$J$2:$J$50,0),1)),"")</f>
        <v/>
      </c>
      <c r="M98" t="str" cm="1">
        <f t="array" ref="M98">IFERROR(DatumSzovegge3(INDEX(diakadat!$L$2:$L$50,MATCH(D98,diakadat!$J$2:$J$50,0),1)),"")</f>
        <v/>
      </c>
      <c r="N98" t="str" cm="1">
        <f t="array" ref="N98">IFERROR(DatumSzovegge4(INDEX(diakadat!$L$2:$L$50,MATCH(D98,diakadat!$J$2:$J$50,0),1)),"")</f>
        <v/>
      </c>
      <c r="O98" t="str">
        <f>IFERROR(INDEX(diakadat!$R$2:$R$50,MATCH(D98,diakadat!$J$2:$J$50,0),1),"")</f>
        <v/>
      </c>
      <c r="P98" t="str">
        <f>IFERROR(INDEX(diakadat!$AI$2:$AI$50,MATCH(D98,diakadat!$J$2:$J$50,0),1),"")</f>
        <v/>
      </c>
      <c r="Q98" t="str">
        <f>IFERROR(INDEX('rangsor'!$C$2:$C$343,MATCH(D98,'rangsor'!$A$2:$A$343,0),1),"")</f>
        <v/>
      </c>
      <c r="T98" t="s">
        <v>831</v>
      </c>
      <c r="U98" t="str" cm="1">
        <f t="array" ref="U98">Határozat(D98)</f>
        <v/>
      </c>
      <c r="AC98" t="str">
        <f>IFERROR(INDEX(diakadat!$U$2:$U$50,MATCH(D98,diakadat!$J$2:$J$50),1),"")</f>
        <v/>
      </c>
      <c r="AD98" t="str">
        <f>IFERROR(INDEX(diakadat!$V$2:$V$50,MATCH(D98,diakadat!$J$2:$J$50),1),"")</f>
        <v/>
      </c>
      <c r="AE98" t="str">
        <f>IFERROR(INDEX(diakadat!$W$2:$W$50,MATCH(D98,diakadat!$J$2:$J$50),1),"")</f>
        <v/>
      </c>
      <c r="AF98">
        <v>1022</v>
      </c>
      <c r="AG98" t="s">
        <v>912</v>
      </c>
      <c r="AH98" t="s">
        <v>1265</v>
      </c>
      <c r="AI98" t="str">
        <f>IFERROR(INDEX(diakadat!$X$2:$X$50,MATCH(D98,diakadat!$J$2:$J$50),1),"")</f>
        <v/>
      </c>
      <c r="AK98">
        <f t="shared" si="1"/>
        <v>329</v>
      </c>
      <c r="AL98" t="str" cm="1">
        <f t="array" ref="AL98">ElsoBetuNagy(R98)</f>
        <v/>
      </c>
      <c r="AO98" t="str" cm="1">
        <f t="array" ref="AO98">DatumSzovegge5(AN98)</f>
        <v>1899.</v>
      </c>
      <c r="AP98" t="str" cm="1">
        <f t="array" ref="AP98">DatumSzovegge3(AN98)</f>
        <v>december</v>
      </c>
      <c r="AQ98" t="str" cm="1">
        <f t="array" ref="AQ98">DatumSzovegge4(AN98)</f>
        <v>30.</v>
      </c>
    </row>
    <row r="99" spans="4:43" x14ac:dyDescent="0.25">
      <c r="D99" t="str" cm="1">
        <f t="array" ref="D99">SzuressNev($B$1,ROW()-1)</f>
        <v/>
      </c>
      <c r="E99">
        <f>COUNTIF($D$2:D99,D99)</f>
        <v>78</v>
      </c>
      <c r="F99" t="str" cm="1">
        <f t="array" ref="F99">ElutasitasEgyOk2(D99,E99)</f>
        <v/>
      </c>
      <c r="G99" t="str">
        <f>IFERROR(INDEX(diakadat!$I$2:$I$50,MATCH(D99,diakadat!$J$2:$J$50,0),1),"")</f>
        <v/>
      </c>
      <c r="H99" t="str">
        <f>IFERROR(INDEX(diakadat!$O$2:$O$50,MATCH(D99,diakadat!$J$2:$J$50,0),1),"")</f>
        <v/>
      </c>
      <c r="I99" t="str">
        <f>IFERROR(INDEX(diakadat!#REF!,MATCH(D99,diakadat!$J$2:$J$50,0),1),"")</f>
        <v/>
      </c>
      <c r="J99" t="str">
        <f>IFERROR(INDEX(diakadat!$K$2:$K$50,MATCH(D99,diakadat!$J$2:$J$50,0),1),"")</f>
        <v/>
      </c>
      <c r="K99" t="str" cm="1">
        <f t="array" ref="K99">IFERROR(DatumSzovegge2(INDEX(diakadat!$L$2:$L$50,MATCH(D99,diakadat!$J$2:$J$50,0),1)),"")</f>
        <v/>
      </c>
      <c r="L99" t="str" cm="1">
        <f t="array" ref="L99">IFERROR(DatumSzovegge5(INDEX(diakadat!$L$2:$L$50,MATCH(D99,diakadat!$J$2:$J$50,0),1)),"")</f>
        <v/>
      </c>
      <c r="M99" t="str" cm="1">
        <f t="array" ref="M99">IFERROR(DatumSzovegge3(INDEX(diakadat!$L$2:$L$50,MATCH(D99,diakadat!$J$2:$J$50,0),1)),"")</f>
        <v/>
      </c>
      <c r="N99" t="str" cm="1">
        <f t="array" ref="N99">IFERROR(DatumSzovegge4(INDEX(diakadat!$L$2:$L$50,MATCH(D99,diakadat!$J$2:$J$50,0),1)),"")</f>
        <v/>
      </c>
      <c r="O99" t="str">
        <f>IFERROR(INDEX(diakadat!$R$2:$R$50,MATCH(D99,diakadat!$J$2:$J$50,0),1),"")</f>
        <v/>
      </c>
      <c r="P99" t="str">
        <f>IFERROR(INDEX(diakadat!$AI$2:$AI$50,MATCH(D99,diakadat!$J$2:$J$50,0),1),"")</f>
        <v/>
      </c>
      <c r="Q99" t="str">
        <f>IFERROR(INDEX('rangsor'!$C$2:$C$343,MATCH(D99,'rangsor'!$A$2:$A$343,0),1),"")</f>
        <v/>
      </c>
      <c r="T99" t="s">
        <v>831</v>
      </c>
      <c r="U99" t="str" cm="1">
        <f t="array" ref="U99">Határozat(D99)</f>
        <v/>
      </c>
      <c r="AC99" t="str">
        <f>IFERROR(INDEX(diakadat!$U$2:$U$50,MATCH(D99,diakadat!$J$2:$J$50),1),"")</f>
        <v/>
      </c>
      <c r="AD99" t="str">
        <f>IFERROR(INDEX(diakadat!$V$2:$V$50,MATCH(D99,diakadat!$J$2:$J$50),1),"")</f>
        <v/>
      </c>
      <c r="AE99" t="str">
        <f>IFERROR(INDEX(diakadat!$W$2:$W$50,MATCH(D99,diakadat!$J$2:$J$50),1),"")</f>
        <v/>
      </c>
      <c r="AF99">
        <v>1039</v>
      </c>
      <c r="AG99" t="s">
        <v>912</v>
      </c>
      <c r="AH99" t="s">
        <v>1266</v>
      </c>
      <c r="AI99" t="str">
        <f>IFERROR(INDEX(diakadat!$X$2:$X$50,MATCH(D99,diakadat!$J$2:$J$50),1),"")</f>
        <v/>
      </c>
      <c r="AK99">
        <f t="shared" si="1"/>
        <v>329</v>
      </c>
      <c r="AL99" t="str" cm="1">
        <f t="array" ref="AL99">ElsoBetuNagy(R99)</f>
        <v/>
      </c>
      <c r="AO99" t="str" cm="1">
        <f t="array" ref="AO99">DatumSzovegge5(AN99)</f>
        <v>1899.</v>
      </c>
      <c r="AP99" t="str" cm="1">
        <f t="array" ref="AP99">DatumSzovegge3(AN99)</f>
        <v>december</v>
      </c>
      <c r="AQ99" t="str" cm="1">
        <f t="array" ref="AQ99">DatumSzovegge4(AN99)</f>
        <v>30.</v>
      </c>
    </row>
    <row r="100" spans="4:43" x14ac:dyDescent="0.25">
      <c r="D100" t="str" cm="1">
        <f t="array" ref="D100">SzuressNev($B$1,ROW()-1)</f>
        <v/>
      </c>
      <c r="E100">
        <f>COUNTIF($D$2:D100,D100)</f>
        <v>79</v>
      </c>
      <c r="F100" t="str" cm="1">
        <f t="array" ref="F100">ElutasitasEgyOk2(D100,E100)</f>
        <v/>
      </c>
      <c r="G100" t="str">
        <f>IFERROR(INDEX(diakadat!$I$2:$I$50,MATCH(D100,diakadat!$J$2:$J$50,0),1),"")</f>
        <v/>
      </c>
      <c r="H100" t="str">
        <f>IFERROR(INDEX(diakadat!$O$2:$O$50,MATCH(D100,diakadat!$J$2:$J$50,0),1),"")</f>
        <v/>
      </c>
      <c r="I100" t="str">
        <f>IFERROR(INDEX(diakadat!#REF!,MATCH(D100,diakadat!$J$2:$J$50,0),1),"")</f>
        <v/>
      </c>
      <c r="J100" t="str">
        <f>IFERROR(INDEX(diakadat!$K$2:$K$50,MATCH(D100,diakadat!$J$2:$J$50,0),1),"")</f>
        <v/>
      </c>
      <c r="K100" t="str" cm="1">
        <f t="array" ref="K100">IFERROR(DatumSzovegge2(INDEX(diakadat!$L$2:$L$50,MATCH(D100,diakadat!$J$2:$J$50,0),1)),"")</f>
        <v/>
      </c>
      <c r="L100" t="str" cm="1">
        <f t="array" ref="L100">IFERROR(DatumSzovegge5(INDEX(diakadat!$L$2:$L$50,MATCH(D100,diakadat!$J$2:$J$50,0),1)),"")</f>
        <v/>
      </c>
      <c r="M100" t="str" cm="1">
        <f t="array" ref="M100">IFERROR(DatumSzovegge3(INDEX(diakadat!$L$2:$L$50,MATCH(D100,diakadat!$J$2:$J$50,0),1)),"")</f>
        <v/>
      </c>
      <c r="N100" t="str" cm="1">
        <f t="array" ref="N100">IFERROR(DatumSzovegge4(INDEX(diakadat!$L$2:$L$50,MATCH(D100,diakadat!$J$2:$J$50,0),1)),"")</f>
        <v/>
      </c>
      <c r="O100" t="str">
        <f>IFERROR(INDEX(diakadat!$R$2:$R$50,MATCH(D100,diakadat!$J$2:$J$50,0),1),"")</f>
        <v/>
      </c>
      <c r="P100" t="str">
        <f>IFERROR(INDEX(diakadat!$AI$2:$AI$50,MATCH(D100,diakadat!$J$2:$J$50,0),1),"")</f>
        <v/>
      </c>
      <c r="Q100" t="str">
        <f>IFERROR(INDEX('rangsor'!$C$2:$C$343,MATCH(D100,'rangsor'!$A$2:$A$343,0),1),"")</f>
        <v/>
      </c>
      <c r="T100" t="s">
        <v>831</v>
      </c>
      <c r="U100" t="str" cm="1">
        <f t="array" ref="U100">Határozat(D100)</f>
        <v/>
      </c>
      <c r="AC100" t="str">
        <f>IFERROR(INDEX(diakadat!$U$2:$U$50,MATCH(D100,diakadat!$J$2:$J$50),1),"")</f>
        <v/>
      </c>
      <c r="AD100" t="str">
        <f>IFERROR(INDEX(diakadat!$V$2:$V$50,MATCH(D100,diakadat!$J$2:$J$50),1),"")</f>
        <v/>
      </c>
      <c r="AE100" t="str">
        <f>IFERROR(INDEX(diakadat!$W$2:$W$50,MATCH(D100,diakadat!$J$2:$J$50),1),"")</f>
        <v/>
      </c>
      <c r="AF100">
        <v>1021</v>
      </c>
      <c r="AG100" t="s">
        <v>912</v>
      </c>
      <c r="AH100" t="s">
        <v>1167</v>
      </c>
      <c r="AI100" t="str">
        <f>IFERROR(INDEX(diakadat!$X$2:$X$50,MATCH(D100,diakadat!$J$2:$J$50),1),"")</f>
        <v/>
      </c>
      <c r="AK100">
        <f t="shared" si="1"/>
        <v>329</v>
      </c>
      <c r="AL100" t="str" cm="1">
        <f t="array" ref="AL100">ElsoBetuNagy(R100)</f>
        <v/>
      </c>
      <c r="AO100" t="str" cm="1">
        <f t="array" ref="AO100">DatumSzovegge5(AN100)</f>
        <v>1899.</v>
      </c>
      <c r="AP100" t="str" cm="1">
        <f t="array" ref="AP100">DatumSzovegge3(AN100)</f>
        <v>december</v>
      </c>
      <c r="AQ100" t="str" cm="1">
        <f t="array" ref="AQ100">DatumSzovegge4(AN100)</f>
        <v>30.</v>
      </c>
    </row>
    <row r="101" spans="4:43" x14ac:dyDescent="0.25">
      <c r="D101" t="str" cm="1">
        <f t="array" ref="D101">SzuressNev($B$1,ROW()-1)</f>
        <v/>
      </c>
      <c r="E101">
        <f>COUNTIF($D$2:D101,D101)</f>
        <v>80</v>
      </c>
      <c r="F101" t="str" cm="1">
        <f t="array" ref="F101">ElutasitasEgyOk2(D101,E101)</f>
        <v/>
      </c>
      <c r="G101" t="str">
        <f>IFERROR(INDEX(diakadat!$I$2:$I$50,MATCH(D101,diakadat!$J$2:$J$50,0),1),"")</f>
        <v/>
      </c>
      <c r="H101" t="str">
        <f>IFERROR(INDEX(diakadat!$O$2:$O$50,MATCH(D101,diakadat!$J$2:$J$50,0),1),"")</f>
        <v/>
      </c>
      <c r="I101" t="str">
        <f>IFERROR(INDEX(diakadat!#REF!,MATCH(D101,diakadat!$J$2:$J$50,0),1),"")</f>
        <v/>
      </c>
      <c r="J101" t="str">
        <f>IFERROR(INDEX(diakadat!$K$2:$K$50,MATCH(D101,diakadat!$J$2:$J$50,0),1),"")</f>
        <v/>
      </c>
      <c r="K101" t="str" cm="1">
        <f t="array" ref="K101">IFERROR(DatumSzovegge2(INDEX(diakadat!$L$2:$L$50,MATCH(D101,diakadat!$J$2:$J$50,0),1)),"")</f>
        <v/>
      </c>
      <c r="L101" t="str" cm="1">
        <f t="array" ref="L101">IFERROR(DatumSzovegge5(INDEX(diakadat!$L$2:$L$50,MATCH(D101,diakadat!$J$2:$J$50,0),1)),"")</f>
        <v/>
      </c>
      <c r="M101" t="str" cm="1">
        <f t="array" ref="M101">IFERROR(DatumSzovegge3(INDEX(diakadat!$L$2:$L$50,MATCH(D101,diakadat!$J$2:$J$50,0),1)),"")</f>
        <v/>
      </c>
      <c r="N101" t="str" cm="1">
        <f t="array" ref="N101">IFERROR(DatumSzovegge4(INDEX(diakadat!$L$2:$L$50,MATCH(D101,diakadat!$J$2:$J$50,0),1)),"")</f>
        <v/>
      </c>
      <c r="O101" t="str">
        <f>IFERROR(INDEX(diakadat!$R$2:$R$50,MATCH(D101,diakadat!$J$2:$J$50,0),1),"")</f>
        <v/>
      </c>
      <c r="P101" t="str">
        <f>IFERROR(INDEX(diakadat!$AI$2:$AI$50,MATCH(D101,diakadat!$J$2:$J$50,0),1),"")</f>
        <v/>
      </c>
      <c r="Q101" t="str">
        <f>IFERROR(INDEX('rangsor'!$C$2:$C$343,MATCH(D101,'rangsor'!$A$2:$A$343,0),1),"")</f>
        <v/>
      </c>
      <c r="T101" t="s">
        <v>831</v>
      </c>
      <c r="U101" t="str" cm="1">
        <f t="array" ref="U101">Határozat(D101)</f>
        <v/>
      </c>
      <c r="AC101" t="str">
        <f>IFERROR(INDEX(diakadat!$U$2:$U$50,MATCH(D101,diakadat!$J$2:$J$50),1),"")</f>
        <v/>
      </c>
      <c r="AD101" t="str">
        <f>IFERROR(INDEX(diakadat!$V$2:$V$50,MATCH(D101,diakadat!$J$2:$J$50),1),"")</f>
        <v/>
      </c>
      <c r="AE101" t="str">
        <f>IFERROR(INDEX(diakadat!$W$2:$W$50,MATCH(D101,diakadat!$J$2:$J$50),1),"")</f>
        <v/>
      </c>
      <c r="AF101">
        <v>1122</v>
      </c>
      <c r="AG101" t="s">
        <v>1164</v>
      </c>
      <c r="AH101" t="s">
        <v>1267</v>
      </c>
      <c r="AI101" t="str">
        <f>IFERROR(INDEX(diakadat!$X$2:$X$50,MATCH(D101,diakadat!$J$2:$J$50),1),"")</f>
        <v/>
      </c>
      <c r="AK101">
        <f t="shared" si="1"/>
        <v>329</v>
      </c>
      <c r="AL101" t="str" cm="1">
        <f t="array" ref="AL101">ElsoBetuNagy(R101)</f>
        <v/>
      </c>
      <c r="AO101" t="str" cm="1">
        <f t="array" ref="AO101">DatumSzovegge5(AN101)</f>
        <v>1899.</v>
      </c>
      <c r="AP101" t="str" cm="1">
        <f t="array" ref="AP101">DatumSzovegge3(AN101)</f>
        <v>december</v>
      </c>
      <c r="AQ101" t="str" cm="1">
        <f t="array" ref="AQ101">DatumSzovegge4(AN101)</f>
        <v>30.</v>
      </c>
    </row>
    <row r="102" spans="4:43" x14ac:dyDescent="0.25">
      <c r="D102" t="str" cm="1">
        <f t="array" ref="D102">SzuressNev($B$1,ROW()-1)</f>
        <v/>
      </c>
      <c r="E102">
        <f>COUNTIF($D$2:D102,D102)</f>
        <v>81</v>
      </c>
      <c r="F102" t="str" cm="1">
        <f t="array" ref="F102">ElutasitasEgyOk2(D102,E102)</f>
        <v/>
      </c>
      <c r="G102" t="str">
        <f>IFERROR(INDEX(diakadat!$I$2:$I$50,MATCH(D102,diakadat!$J$2:$J$50,0),1),"")</f>
        <v/>
      </c>
      <c r="H102" t="str">
        <f>IFERROR(INDEX(diakadat!$O$2:$O$50,MATCH(D102,diakadat!$J$2:$J$50,0),1),"")</f>
        <v/>
      </c>
      <c r="I102" t="str">
        <f>IFERROR(INDEX(diakadat!#REF!,MATCH(D102,diakadat!$J$2:$J$50,0),1),"")</f>
        <v/>
      </c>
      <c r="J102" t="str">
        <f>IFERROR(INDEX(diakadat!$K$2:$K$50,MATCH(D102,diakadat!$J$2:$J$50,0),1),"")</f>
        <v/>
      </c>
      <c r="K102" t="str" cm="1">
        <f t="array" ref="K102">IFERROR(DatumSzovegge2(INDEX(diakadat!$L$2:$L$50,MATCH(D102,diakadat!$J$2:$J$50,0),1)),"")</f>
        <v/>
      </c>
      <c r="L102" t="str" cm="1">
        <f t="array" ref="L102">IFERROR(DatumSzovegge5(INDEX(diakadat!$L$2:$L$50,MATCH(D102,diakadat!$J$2:$J$50,0),1)),"")</f>
        <v/>
      </c>
      <c r="M102" t="str" cm="1">
        <f t="array" ref="M102">IFERROR(DatumSzovegge3(INDEX(diakadat!$L$2:$L$50,MATCH(D102,diakadat!$J$2:$J$50,0),1)),"")</f>
        <v/>
      </c>
      <c r="N102" t="str" cm="1">
        <f t="array" ref="N102">IFERROR(DatumSzovegge4(INDEX(diakadat!$L$2:$L$50,MATCH(D102,diakadat!$J$2:$J$50,0),1)),"")</f>
        <v/>
      </c>
      <c r="O102" t="str">
        <f>IFERROR(INDEX(diakadat!$R$2:$R$50,MATCH(D102,diakadat!$J$2:$J$50,0),1),"")</f>
        <v/>
      </c>
      <c r="P102" t="str">
        <f>IFERROR(INDEX(diakadat!$AI$2:$AI$50,MATCH(D102,diakadat!$J$2:$J$50,0),1),"")</f>
        <v/>
      </c>
      <c r="Q102" t="str">
        <f>IFERROR(INDEX('rangsor'!$C$2:$C$343,MATCH(D102,'rangsor'!$A$2:$A$343,0),1),"")</f>
        <v/>
      </c>
      <c r="T102" t="s">
        <v>831</v>
      </c>
      <c r="U102" t="str" cm="1">
        <f t="array" ref="U102">Határozat(D102)</f>
        <v/>
      </c>
      <c r="AC102" t="str">
        <f>IFERROR(INDEX(diakadat!$U$2:$U$50,MATCH(D102,diakadat!$J$2:$J$50),1),"")</f>
        <v/>
      </c>
      <c r="AD102" t="str">
        <f>IFERROR(INDEX(diakadat!$V$2:$V$50,MATCH(D102,diakadat!$J$2:$J$50),1),"")</f>
        <v/>
      </c>
      <c r="AE102" t="str">
        <f>IFERROR(INDEX(diakadat!$W$2:$W$50,MATCH(D102,diakadat!$J$2:$J$50),1),"")</f>
        <v/>
      </c>
      <c r="AF102">
        <v>1118</v>
      </c>
      <c r="AG102" t="s">
        <v>912</v>
      </c>
      <c r="AH102" t="s">
        <v>1268</v>
      </c>
      <c r="AI102" t="str">
        <f>IFERROR(INDEX(diakadat!$X$2:$X$50,MATCH(D102,diakadat!$J$2:$J$50),1),"")</f>
        <v/>
      </c>
      <c r="AK102">
        <f t="shared" si="1"/>
        <v>329</v>
      </c>
      <c r="AL102" t="str" cm="1">
        <f t="array" ref="AL102">ElsoBetuNagy(R102)</f>
        <v/>
      </c>
      <c r="AO102" t="str" cm="1">
        <f t="array" ref="AO102">DatumSzovegge5(AN102)</f>
        <v>1899.</v>
      </c>
      <c r="AP102" t="str" cm="1">
        <f t="array" ref="AP102">DatumSzovegge3(AN102)</f>
        <v>december</v>
      </c>
      <c r="AQ102" t="str" cm="1">
        <f t="array" ref="AQ102">DatumSzovegge4(AN102)</f>
        <v>30.</v>
      </c>
    </row>
    <row r="103" spans="4:43" x14ac:dyDescent="0.25">
      <c r="D103" t="str" cm="1">
        <f t="array" ref="D103">SzuressNev($B$1,ROW()-1)</f>
        <v/>
      </c>
      <c r="E103">
        <f>COUNTIF($D$2:D103,D103)</f>
        <v>82</v>
      </c>
      <c r="F103" t="str" cm="1">
        <f t="array" ref="F103">ElutasitasEgyOk2(D103,E103)</f>
        <v/>
      </c>
      <c r="G103" t="str">
        <f>IFERROR(INDEX(diakadat!$I$2:$I$50,MATCH(D103,diakadat!$J$2:$J$50,0),1),"")</f>
        <v/>
      </c>
      <c r="H103" t="str">
        <f>IFERROR(INDEX(diakadat!$O$2:$O$50,MATCH(D103,diakadat!$J$2:$J$50,0),1),"")</f>
        <v/>
      </c>
      <c r="I103" t="str">
        <f>IFERROR(INDEX(diakadat!#REF!,MATCH(D103,diakadat!$J$2:$J$50,0),1),"")</f>
        <v/>
      </c>
      <c r="J103" t="str">
        <f>IFERROR(INDEX(diakadat!$K$2:$K$50,MATCH(D103,diakadat!$J$2:$J$50,0),1),"")</f>
        <v/>
      </c>
      <c r="K103" t="str" cm="1">
        <f t="array" ref="K103">IFERROR(DatumSzovegge2(INDEX(diakadat!$L$2:$L$50,MATCH(D103,diakadat!$J$2:$J$50,0),1)),"")</f>
        <v/>
      </c>
      <c r="L103" t="str" cm="1">
        <f t="array" ref="L103">IFERROR(DatumSzovegge5(INDEX(diakadat!$L$2:$L$50,MATCH(D103,diakadat!$J$2:$J$50,0),1)),"")</f>
        <v/>
      </c>
      <c r="M103" t="str" cm="1">
        <f t="array" ref="M103">IFERROR(DatumSzovegge3(INDEX(diakadat!$L$2:$L$50,MATCH(D103,diakadat!$J$2:$J$50,0),1)),"")</f>
        <v/>
      </c>
      <c r="N103" t="str" cm="1">
        <f t="array" ref="N103">IFERROR(DatumSzovegge4(INDEX(diakadat!$L$2:$L$50,MATCH(D103,diakadat!$J$2:$J$50,0),1)),"")</f>
        <v/>
      </c>
      <c r="O103" t="str">
        <f>IFERROR(INDEX(diakadat!$R$2:$R$50,MATCH(D103,diakadat!$J$2:$J$50,0),1),"")</f>
        <v/>
      </c>
      <c r="P103" t="str">
        <f>IFERROR(INDEX(diakadat!$AI$2:$AI$50,MATCH(D103,diakadat!$J$2:$J$50,0),1),"")</f>
        <v/>
      </c>
      <c r="Q103" t="str">
        <f>IFERROR(INDEX('rangsor'!$C$2:$C$343,MATCH(D103,'rangsor'!$A$2:$A$343,0),1),"")</f>
        <v/>
      </c>
      <c r="T103" t="s">
        <v>831</v>
      </c>
      <c r="U103" t="str" cm="1">
        <f t="array" ref="U103">Határozat(D103)</f>
        <v/>
      </c>
      <c r="AC103" t="str">
        <f>IFERROR(INDEX(diakadat!$U$2:$U$50,MATCH(D103,diakadat!$J$2:$J$50),1),"")</f>
        <v/>
      </c>
      <c r="AD103" t="str">
        <f>IFERROR(INDEX(diakadat!$V$2:$V$50,MATCH(D103,diakadat!$J$2:$J$50),1),"")</f>
        <v/>
      </c>
      <c r="AE103" t="str">
        <f>IFERROR(INDEX(diakadat!$W$2:$W$50,MATCH(D103,diakadat!$J$2:$J$50),1),"")</f>
        <v/>
      </c>
      <c r="AF103">
        <v>1118</v>
      </c>
      <c r="AG103" t="s">
        <v>912</v>
      </c>
      <c r="AH103" t="s">
        <v>1269</v>
      </c>
      <c r="AI103" t="str">
        <f>IFERROR(INDEX(diakadat!$X$2:$X$50,MATCH(D103,diakadat!$J$2:$J$50),1),"")</f>
        <v/>
      </c>
      <c r="AK103">
        <f t="shared" si="1"/>
        <v>329</v>
      </c>
      <c r="AL103" t="str" cm="1">
        <f t="array" ref="AL103">ElsoBetuNagy(R103)</f>
        <v/>
      </c>
      <c r="AO103" t="str" cm="1">
        <f t="array" ref="AO103">DatumSzovegge5(AN103)</f>
        <v>1899.</v>
      </c>
      <c r="AP103" t="str" cm="1">
        <f t="array" ref="AP103">DatumSzovegge3(AN103)</f>
        <v>december</v>
      </c>
      <c r="AQ103" t="str" cm="1">
        <f t="array" ref="AQ103">DatumSzovegge4(AN103)</f>
        <v>30.</v>
      </c>
    </row>
    <row r="104" spans="4:43" x14ac:dyDescent="0.25">
      <c r="D104" t="str" cm="1">
        <f t="array" ref="D104">SzuressNev($B$1,ROW()-1)</f>
        <v/>
      </c>
      <c r="E104">
        <f>COUNTIF($D$2:D104,D104)</f>
        <v>83</v>
      </c>
      <c r="F104" t="str" cm="1">
        <f t="array" ref="F104">ElutasitasEgyOk2(D104,E104)</f>
        <v/>
      </c>
      <c r="G104" t="str">
        <f>IFERROR(INDEX(diakadat!$I$2:$I$50,MATCH(D104,diakadat!$J$2:$J$50,0),1),"")</f>
        <v/>
      </c>
      <c r="H104" t="str">
        <f>IFERROR(INDEX(diakadat!$O$2:$O$50,MATCH(D104,diakadat!$J$2:$J$50,0),1),"")</f>
        <v/>
      </c>
      <c r="I104" t="str">
        <f>IFERROR(INDEX(diakadat!#REF!,MATCH(D104,diakadat!$J$2:$J$50,0),1),"")</f>
        <v/>
      </c>
      <c r="J104" t="str">
        <f>IFERROR(INDEX(diakadat!$K$2:$K$50,MATCH(D104,diakadat!$J$2:$J$50,0),1),"")</f>
        <v/>
      </c>
      <c r="K104" t="str" cm="1">
        <f t="array" ref="K104">IFERROR(DatumSzovegge2(INDEX(diakadat!$L$2:$L$50,MATCH(D104,diakadat!$J$2:$J$50,0),1)),"")</f>
        <v/>
      </c>
      <c r="L104" t="str" cm="1">
        <f t="array" ref="L104">IFERROR(DatumSzovegge5(INDEX(diakadat!$L$2:$L$50,MATCH(D104,diakadat!$J$2:$J$50,0),1)),"")</f>
        <v/>
      </c>
      <c r="M104" t="str" cm="1">
        <f t="array" ref="M104">IFERROR(DatumSzovegge3(INDEX(diakadat!$L$2:$L$50,MATCH(D104,diakadat!$J$2:$J$50,0),1)),"")</f>
        <v/>
      </c>
      <c r="N104" t="str" cm="1">
        <f t="array" ref="N104">IFERROR(DatumSzovegge4(INDEX(diakadat!$L$2:$L$50,MATCH(D104,diakadat!$J$2:$J$50,0),1)),"")</f>
        <v/>
      </c>
      <c r="O104" t="str">
        <f>IFERROR(INDEX(diakadat!$R$2:$R$50,MATCH(D104,diakadat!$J$2:$J$50,0),1),"")</f>
        <v/>
      </c>
      <c r="P104" t="str">
        <f>IFERROR(INDEX(diakadat!$AI$2:$AI$50,MATCH(D104,diakadat!$J$2:$J$50,0),1),"")</f>
        <v/>
      </c>
      <c r="Q104" t="str">
        <f>IFERROR(INDEX('rangsor'!$C$2:$C$343,MATCH(D104,'rangsor'!$A$2:$A$343,0),1),"")</f>
        <v/>
      </c>
      <c r="T104" t="s">
        <v>831</v>
      </c>
      <c r="U104" t="str" cm="1">
        <f t="array" ref="U104">Határozat(D104)</f>
        <v/>
      </c>
      <c r="AC104" t="str">
        <f>IFERROR(INDEX(diakadat!$U$2:$U$50,MATCH(D104,diakadat!$J$2:$J$50),1),"")</f>
        <v/>
      </c>
      <c r="AD104" t="str">
        <f>IFERROR(INDEX(diakadat!$V$2:$V$50,MATCH(D104,diakadat!$J$2:$J$50),1),"")</f>
        <v/>
      </c>
      <c r="AE104" t="str">
        <f>IFERROR(INDEX(diakadat!$W$2:$W$50,MATCH(D104,diakadat!$J$2:$J$50),1),"")</f>
        <v/>
      </c>
      <c r="AF104">
        <v>2100</v>
      </c>
      <c r="AG104" t="s">
        <v>1164</v>
      </c>
      <c r="AH104" t="s">
        <v>1270</v>
      </c>
      <c r="AI104" t="str">
        <f>IFERROR(INDEX(diakadat!$X$2:$X$50,MATCH(D104,diakadat!$J$2:$J$50),1),"")</f>
        <v/>
      </c>
      <c r="AK104">
        <f t="shared" si="1"/>
        <v>329</v>
      </c>
      <c r="AL104" t="str" cm="1">
        <f t="array" ref="AL104">ElsoBetuNagy(R104)</f>
        <v/>
      </c>
      <c r="AO104" t="str" cm="1">
        <f t="array" ref="AO104">DatumSzovegge5(AN104)</f>
        <v>1899.</v>
      </c>
      <c r="AP104" t="str" cm="1">
        <f t="array" ref="AP104">DatumSzovegge3(AN104)</f>
        <v>december</v>
      </c>
      <c r="AQ104" t="str" cm="1">
        <f t="array" ref="AQ104">DatumSzovegge4(AN104)</f>
        <v>30.</v>
      </c>
    </row>
    <row r="105" spans="4:43" x14ac:dyDescent="0.25">
      <c r="D105" t="str" cm="1">
        <f t="array" ref="D105">SzuressNev($B$1,ROW()-1)</f>
        <v/>
      </c>
      <c r="E105">
        <f>COUNTIF($D$2:D105,D105)</f>
        <v>84</v>
      </c>
      <c r="F105" t="str" cm="1">
        <f t="array" ref="F105">ElutasitasEgyOk2(D105,E105)</f>
        <v/>
      </c>
      <c r="G105" t="str">
        <f>IFERROR(INDEX(diakadat!$I$2:$I$50,MATCH(D105,diakadat!$J$2:$J$50,0),1),"")</f>
        <v/>
      </c>
      <c r="H105" t="str">
        <f>IFERROR(INDEX(diakadat!$O$2:$O$50,MATCH(D105,diakadat!$J$2:$J$50,0),1),"")</f>
        <v/>
      </c>
      <c r="I105" t="str">
        <f>IFERROR(INDEX(diakadat!#REF!,MATCH(D105,diakadat!$J$2:$J$50,0),1),"")</f>
        <v/>
      </c>
      <c r="J105" t="str">
        <f>IFERROR(INDEX(diakadat!$K$2:$K$50,MATCH(D105,diakadat!$J$2:$J$50,0),1),"")</f>
        <v/>
      </c>
      <c r="K105" t="str" cm="1">
        <f t="array" ref="K105">IFERROR(DatumSzovegge2(INDEX(diakadat!$L$2:$L$50,MATCH(D105,diakadat!$J$2:$J$50,0),1)),"")</f>
        <v/>
      </c>
      <c r="L105" t="str" cm="1">
        <f t="array" ref="L105">IFERROR(DatumSzovegge5(INDEX(diakadat!$L$2:$L$50,MATCH(D105,diakadat!$J$2:$J$50,0),1)),"")</f>
        <v/>
      </c>
      <c r="M105" t="str" cm="1">
        <f t="array" ref="M105">IFERROR(DatumSzovegge3(INDEX(diakadat!$L$2:$L$50,MATCH(D105,diakadat!$J$2:$J$50,0),1)),"")</f>
        <v/>
      </c>
      <c r="N105" t="str" cm="1">
        <f t="array" ref="N105">IFERROR(DatumSzovegge4(INDEX(diakadat!$L$2:$L$50,MATCH(D105,diakadat!$J$2:$J$50,0),1)),"")</f>
        <v/>
      </c>
      <c r="O105" t="str">
        <f>IFERROR(INDEX(diakadat!$R$2:$R$50,MATCH(D105,diakadat!$J$2:$J$50,0),1),"")</f>
        <v/>
      </c>
      <c r="P105" t="str">
        <f>IFERROR(INDEX(diakadat!$AI$2:$AI$50,MATCH(D105,diakadat!$J$2:$J$50,0),1),"")</f>
        <v/>
      </c>
      <c r="Q105" t="str">
        <f>IFERROR(INDEX('rangsor'!$C$2:$C$343,MATCH(D105,'rangsor'!$A$2:$A$343,0),1),"")</f>
        <v/>
      </c>
      <c r="T105" t="s">
        <v>831</v>
      </c>
      <c r="U105" t="str" cm="1">
        <f t="array" ref="U105">Határozat(D105)</f>
        <v/>
      </c>
      <c r="AC105" t="str">
        <f>IFERROR(INDEX(diakadat!$U$2:$U$50,MATCH(D105,diakadat!$J$2:$J$50),1),"")</f>
        <v/>
      </c>
      <c r="AD105" t="str">
        <f>IFERROR(INDEX(diakadat!$V$2:$V$50,MATCH(D105,diakadat!$J$2:$J$50),1),"")</f>
        <v/>
      </c>
      <c r="AE105" t="str">
        <f>IFERROR(INDEX(diakadat!$W$2:$W$50,MATCH(D105,diakadat!$J$2:$J$50),1),"")</f>
        <v/>
      </c>
      <c r="AF105">
        <v>2220</v>
      </c>
      <c r="AG105" t="s">
        <v>1271</v>
      </c>
      <c r="AH105" t="s">
        <v>1272</v>
      </c>
      <c r="AI105" t="str">
        <f>IFERROR(INDEX(diakadat!$X$2:$X$50,MATCH(D105,diakadat!$J$2:$J$50),1),"")</f>
        <v/>
      </c>
      <c r="AK105">
        <f t="shared" si="1"/>
        <v>329</v>
      </c>
      <c r="AL105" t="str" cm="1">
        <f t="array" ref="AL105">ElsoBetuNagy(R105)</f>
        <v/>
      </c>
      <c r="AO105" t="str" cm="1">
        <f t="array" ref="AO105">DatumSzovegge5(AN105)</f>
        <v>1899.</v>
      </c>
      <c r="AP105" t="str" cm="1">
        <f t="array" ref="AP105">DatumSzovegge3(AN105)</f>
        <v>december</v>
      </c>
      <c r="AQ105" t="str" cm="1">
        <f t="array" ref="AQ105">DatumSzovegge4(AN105)</f>
        <v>30.</v>
      </c>
    </row>
    <row r="106" spans="4:43" x14ac:dyDescent="0.25">
      <c r="D106" t="str" cm="1">
        <f t="array" ref="D106">SzuressNev($B$1,ROW()-1)</f>
        <v/>
      </c>
      <c r="E106">
        <f>COUNTIF($D$2:D106,D106)</f>
        <v>85</v>
      </c>
      <c r="F106" t="str" cm="1">
        <f t="array" ref="F106">ElutasitasEgyOk2(D106,E106)</f>
        <v/>
      </c>
      <c r="G106" t="str">
        <f>IFERROR(INDEX(diakadat!$I$2:$I$50,MATCH(D106,diakadat!$J$2:$J$50,0),1),"")</f>
        <v/>
      </c>
      <c r="H106" t="str">
        <f>IFERROR(INDEX(diakadat!$O$2:$O$50,MATCH(D106,diakadat!$J$2:$J$50,0),1),"")</f>
        <v/>
      </c>
      <c r="I106" t="str">
        <f>IFERROR(INDEX(diakadat!#REF!,MATCH(D106,diakadat!$J$2:$J$50,0),1),"")</f>
        <v/>
      </c>
      <c r="J106" t="str">
        <f>IFERROR(INDEX(diakadat!$K$2:$K$50,MATCH(D106,diakadat!$J$2:$J$50,0),1),"")</f>
        <v/>
      </c>
      <c r="K106" t="str" cm="1">
        <f t="array" ref="K106">IFERROR(DatumSzovegge2(INDEX(diakadat!$L$2:$L$50,MATCH(D106,diakadat!$J$2:$J$50,0),1)),"")</f>
        <v/>
      </c>
      <c r="L106" t="str" cm="1">
        <f t="array" ref="L106">IFERROR(DatumSzovegge5(INDEX(diakadat!$L$2:$L$50,MATCH(D106,diakadat!$J$2:$J$50,0),1)),"")</f>
        <v/>
      </c>
      <c r="M106" t="str" cm="1">
        <f t="array" ref="M106">IFERROR(DatumSzovegge3(INDEX(diakadat!$L$2:$L$50,MATCH(D106,diakadat!$J$2:$J$50,0),1)),"")</f>
        <v/>
      </c>
      <c r="N106" t="str" cm="1">
        <f t="array" ref="N106">IFERROR(DatumSzovegge4(INDEX(diakadat!$L$2:$L$50,MATCH(D106,diakadat!$J$2:$J$50,0),1)),"")</f>
        <v/>
      </c>
      <c r="O106" t="str">
        <f>IFERROR(INDEX(diakadat!$R$2:$R$50,MATCH(D106,diakadat!$J$2:$J$50,0),1),"")</f>
        <v/>
      </c>
      <c r="P106" t="str">
        <f>IFERROR(INDEX(diakadat!$AI$2:$AI$50,MATCH(D106,diakadat!$J$2:$J$50,0),1),"")</f>
        <v/>
      </c>
      <c r="Q106" t="str">
        <f>IFERROR(INDEX('rangsor'!$C$2:$C$343,MATCH(D106,'rangsor'!$A$2:$A$343,0),1),"")</f>
        <v/>
      </c>
      <c r="T106" t="s">
        <v>831</v>
      </c>
      <c r="U106" t="str" cm="1">
        <f t="array" ref="U106">Határozat(D106)</f>
        <v/>
      </c>
      <c r="AC106" t="str">
        <f>IFERROR(INDEX(diakadat!$U$2:$U$50,MATCH(D106,diakadat!$J$2:$J$50),1),"")</f>
        <v/>
      </c>
      <c r="AD106" t="str">
        <f>IFERROR(INDEX(diakadat!$V$2:$V$50,MATCH(D106,diakadat!$J$2:$J$50),1),"")</f>
        <v/>
      </c>
      <c r="AE106" t="str">
        <f>IFERROR(INDEX(diakadat!$W$2:$W$50,MATCH(D106,diakadat!$J$2:$J$50),1),"")</f>
        <v/>
      </c>
      <c r="AF106">
        <v>1119</v>
      </c>
      <c r="AG106" t="s">
        <v>912</v>
      </c>
      <c r="AH106" t="s">
        <v>1273</v>
      </c>
      <c r="AI106" t="str">
        <f>IFERROR(INDEX(diakadat!$X$2:$X$50,MATCH(D106,diakadat!$J$2:$J$50),1),"")</f>
        <v/>
      </c>
      <c r="AK106">
        <f t="shared" si="1"/>
        <v>329</v>
      </c>
      <c r="AL106" t="str" cm="1">
        <f t="array" ref="AL106">ElsoBetuNagy(R106)</f>
        <v/>
      </c>
      <c r="AO106" t="str" cm="1">
        <f t="array" ref="AO106">DatumSzovegge5(AN106)</f>
        <v>1899.</v>
      </c>
      <c r="AP106" t="str" cm="1">
        <f t="array" ref="AP106">DatumSzovegge3(AN106)</f>
        <v>december</v>
      </c>
      <c r="AQ106" t="str" cm="1">
        <f t="array" ref="AQ106">DatumSzovegge4(AN106)</f>
        <v>30.</v>
      </c>
    </row>
    <row r="107" spans="4:43" x14ac:dyDescent="0.25">
      <c r="D107" t="str" cm="1">
        <f t="array" ref="D107">SzuressNev($B$1,ROW()-1)</f>
        <v/>
      </c>
      <c r="E107">
        <f>COUNTIF($D$2:D107,D107)</f>
        <v>86</v>
      </c>
      <c r="F107" t="str" cm="1">
        <f t="array" ref="F107">ElutasitasEgyOk2(D107,E107)</f>
        <v/>
      </c>
      <c r="G107" t="str">
        <f>IFERROR(INDEX(diakadat!$I$2:$I$50,MATCH(D107,diakadat!$J$2:$J$50,0),1),"")</f>
        <v/>
      </c>
      <c r="H107" t="str">
        <f>IFERROR(INDEX(diakadat!$O$2:$O$50,MATCH(D107,diakadat!$J$2:$J$50,0),1),"")</f>
        <v/>
      </c>
      <c r="I107" t="str">
        <f>IFERROR(INDEX(diakadat!#REF!,MATCH(D107,diakadat!$J$2:$J$50,0),1),"")</f>
        <v/>
      </c>
      <c r="J107" t="str">
        <f>IFERROR(INDEX(diakadat!$K$2:$K$50,MATCH(D107,diakadat!$J$2:$J$50,0),1),"")</f>
        <v/>
      </c>
      <c r="K107" t="str" cm="1">
        <f t="array" ref="K107">IFERROR(DatumSzovegge2(INDEX(diakadat!$L$2:$L$50,MATCH(D107,diakadat!$J$2:$J$50,0),1)),"")</f>
        <v/>
      </c>
      <c r="L107" t="str" cm="1">
        <f t="array" ref="L107">IFERROR(DatumSzovegge5(INDEX(diakadat!$L$2:$L$50,MATCH(D107,diakadat!$J$2:$J$50,0),1)),"")</f>
        <v/>
      </c>
      <c r="M107" t="str" cm="1">
        <f t="array" ref="M107">IFERROR(DatumSzovegge3(INDEX(diakadat!$L$2:$L$50,MATCH(D107,diakadat!$J$2:$J$50,0),1)),"")</f>
        <v/>
      </c>
      <c r="N107" t="str" cm="1">
        <f t="array" ref="N107">IFERROR(DatumSzovegge4(INDEX(diakadat!$L$2:$L$50,MATCH(D107,diakadat!$J$2:$J$50,0),1)),"")</f>
        <v/>
      </c>
      <c r="O107" t="str">
        <f>IFERROR(INDEX(diakadat!$R$2:$R$50,MATCH(D107,diakadat!$J$2:$J$50,0),1),"")</f>
        <v/>
      </c>
      <c r="P107" t="str">
        <f>IFERROR(INDEX(diakadat!$AI$2:$AI$50,MATCH(D107,diakadat!$J$2:$J$50,0),1),"")</f>
        <v/>
      </c>
      <c r="Q107" t="str">
        <f>IFERROR(INDEX('rangsor'!$C$2:$C$343,MATCH(D107,'rangsor'!$A$2:$A$343,0),1),"")</f>
        <v/>
      </c>
      <c r="T107" t="s">
        <v>831</v>
      </c>
      <c r="U107" t="str" cm="1">
        <f t="array" ref="U107">Határozat(D107)</f>
        <v/>
      </c>
      <c r="AC107" t="str">
        <f>IFERROR(INDEX(diakadat!$U$2:$U$50,MATCH(D107,diakadat!$J$2:$J$50),1),"")</f>
        <v/>
      </c>
      <c r="AD107" t="str">
        <f>IFERROR(INDEX(diakadat!$V$2:$V$50,MATCH(D107,diakadat!$J$2:$J$50),1),"")</f>
        <v/>
      </c>
      <c r="AE107" t="str">
        <f>IFERROR(INDEX(diakadat!$W$2:$W$50,MATCH(D107,diakadat!$J$2:$J$50),1),"")</f>
        <v/>
      </c>
      <c r="AF107">
        <v>1183</v>
      </c>
      <c r="AG107" t="s">
        <v>912</v>
      </c>
      <c r="AH107" t="s">
        <v>1274</v>
      </c>
      <c r="AI107" t="str">
        <f>IFERROR(INDEX(diakadat!$X$2:$X$50,MATCH(D107,diakadat!$J$2:$J$50),1),"")</f>
        <v/>
      </c>
      <c r="AK107">
        <f t="shared" si="1"/>
        <v>329</v>
      </c>
      <c r="AL107" t="str" cm="1">
        <f t="array" ref="AL107">ElsoBetuNagy(R107)</f>
        <v/>
      </c>
      <c r="AO107" t="str" cm="1">
        <f t="array" ref="AO107">DatumSzovegge5(AN107)</f>
        <v>1899.</v>
      </c>
      <c r="AP107" t="str" cm="1">
        <f t="array" ref="AP107">DatumSzovegge3(AN107)</f>
        <v>december</v>
      </c>
      <c r="AQ107" t="str" cm="1">
        <f t="array" ref="AQ107">DatumSzovegge4(AN107)</f>
        <v>30.</v>
      </c>
    </row>
    <row r="108" spans="4:43" x14ac:dyDescent="0.25">
      <c r="D108" t="str" cm="1">
        <f t="array" ref="D108">SzuressNev($B$1,ROW()-1)</f>
        <v/>
      </c>
      <c r="E108">
        <f>COUNTIF($D$2:D108,D108)</f>
        <v>87</v>
      </c>
      <c r="F108" t="str" cm="1">
        <f t="array" ref="F108">ElutasitasEgyOk2(D108,E108)</f>
        <v/>
      </c>
      <c r="G108" t="str">
        <f>IFERROR(INDEX(diakadat!$I$2:$I$50,MATCH(D108,diakadat!$J$2:$J$50,0),1),"")</f>
        <v/>
      </c>
      <c r="H108" t="str">
        <f>IFERROR(INDEX(diakadat!$O$2:$O$50,MATCH(D108,diakadat!$J$2:$J$50,0),1),"")</f>
        <v/>
      </c>
      <c r="I108" t="str">
        <f>IFERROR(INDEX(diakadat!#REF!,MATCH(D108,diakadat!$J$2:$J$50,0),1),"")</f>
        <v/>
      </c>
      <c r="J108" t="str">
        <f>IFERROR(INDEX(diakadat!$K$2:$K$50,MATCH(D108,diakadat!$J$2:$J$50,0),1),"")</f>
        <v/>
      </c>
      <c r="K108" t="str" cm="1">
        <f t="array" ref="K108">IFERROR(DatumSzovegge2(INDEX(diakadat!$L$2:$L$50,MATCH(D108,diakadat!$J$2:$J$50,0),1)),"")</f>
        <v/>
      </c>
      <c r="L108" t="str" cm="1">
        <f t="array" ref="L108">IFERROR(DatumSzovegge5(INDEX(diakadat!$L$2:$L$50,MATCH(D108,diakadat!$J$2:$J$50,0),1)),"")</f>
        <v/>
      </c>
      <c r="M108" t="str" cm="1">
        <f t="array" ref="M108">IFERROR(DatumSzovegge3(INDEX(diakadat!$L$2:$L$50,MATCH(D108,diakadat!$J$2:$J$50,0),1)),"")</f>
        <v/>
      </c>
      <c r="N108" t="str" cm="1">
        <f t="array" ref="N108">IFERROR(DatumSzovegge4(INDEX(diakadat!$L$2:$L$50,MATCH(D108,diakadat!$J$2:$J$50,0),1)),"")</f>
        <v/>
      </c>
      <c r="O108" t="str">
        <f>IFERROR(INDEX(diakadat!$R$2:$R$50,MATCH(D108,diakadat!$J$2:$J$50,0),1),"")</f>
        <v/>
      </c>
      <c r="P108" t="str">
        <f>IFERROR(INDEX(diakadat!$AI$2:$AI$50,MATCH(D108,diakadat!$J$2:$J$50,0),1),"")</f>
        <v/>
      </c>
      <c r="Q108" t="str">
        <f>IFERROR(INDEX('rangsor'!$C$2:$C$343,MATCH(D108,'rangsor'!$A$2:$A$343,0),1),"")</f>
        <v/>
      </c>
      <c r="T108" t="s">
        <v>831</v>
      </c>
      <c r="U108" t="str" cm="1">
        <f t="array" ref="U108">Határozat(D108)</f>
        <v/>
      </c>
      <c r="AC108" t="str">
        <f>IFERROR(INDEX(diakadat!$U$2:$U$50,MATCH(D108,diakadat!$J$2:$J$50),1),"")</f>
        <v/>
      </c>
      <c r="AD108" t="str">
        <f>IFERROR(INDEX(diakadat!$V$2:$V$50,MATCH(D108,diakadat!$J$2:$J$50),1),"")</f>
        <v/>
      </c>
      <c r="AE108" t="str">
        <f>IFERROR(INDEX(diakadat!$W$2:$W$50,MATCH(D108,diakadat!$J$2:$J$50),1),"")</f>
        <v/>
      </c>
      <c r="AF108">
        <v>1062</v>
      </c>
      <c r="AG108" t="s">
        <v>912</v>
      </c>
      <c r="AH108" t="s">
        <v>1275</v>
      </c>
      <c r="AI108" t="str">
        <f>IFERROR(INDEX(diakadat!$X$2:$X$50,MATCH(D108,diakadat!$J$2:$J$50),1),"")</f>
        <v/>
      </c>
      <c r="AK108">
        <f t="shared" si="1"/>
        <v>329</v>
      </c>
      <c r="AL108" t="str" cm="1">
        <f t="array" ref="AL108">ElsoBetuNagy(R108)</f>
        <v/>
      </c>
      <c r="AO108" t="str" cm="1">
        <f t="array" ref="AO108">DatumSzovegge5(AN108)</f>
        <v>1899.</v>
      </c>
      <c r="AP108" t="str" cm="1">
        <f t="array" ref="AP108">DatumSzovegge3(AN108)</f>
        <v>december</v>
      </c>
      <c r="AQ108" t="str" cm="1">
        <f t="array" ref="AQ108">DatumSzovegge4(AN108)</f>
        <v>30.</v>
      </c>
    </row>
    <row r="109" spans="4:43" x14ac:dyDescent="0.25">
      <c r="D109" t="str" cm="1">
        <f t="array" ref="D109">SzuressNev($B$1,ROW()-1)</f>
        <v/>
      </c>
      <c r="E109">
        <f>COUNTIF($D$2:D109,D109)</f>
        <v>88</v>
      </c>
      <c r="F109" t="str" cm="1">
        <f t="array" ref="F109">ElutasitasEgyOk2(D109,E109)</f>
        <v/>
      </c>
      <c r="G109" t="str">
        <f>IFERROR(INDEX(diakadat!$I$2:$I$50,MATCH(D109,diakadat!$J$2:$J$50,0),1),"")</f>
        <v/>
      </c>
      <c r="H109" t="str">
        <f>IFERROR(INDEX(diakadat!$O$2:$O$50,MATCH(D109,diakadat!$J$2:$J$50,0),1),"")</f>
        <v/>
      </c>
      <c r="I109" t="str">
        <f>IFERROR(INDEX(diakadat!#REF!,MATCH(D109,diakadat!$J$2:$J$50,0),1),"")</f>
        <v/>
      </c>
      <c r="J109" t="str">
        <f>IFERROR(INDEX(diakadat!$K$2:$K$50,MATCH(D109,diakadat!$J$2:$J$50,0),1),"")</f>
        <v/>
      </c>
      <c r="K109" t="str" cm="1">
        <f t="array" ref="K109">IFERROR(DatumSzovegge2(INDEX(diakadat!$L$2:$L$50,MATCH(D109,diakadat!$J$2:$J$50,0),1)),"")</f>
        <v/>
      </c>
      <c r="L109" t="str" cm="1">
        <f t="array" ref="L109">IFERROR(DatumSzovegge5(INDEX(diakadat!$L$2:$L$50,MATCH(D109,diakadat!$J$2:$J$50,0),1)),"")</f>
        <v/>
      </c>
      <c r="M109" t="str" cm="1">
        <f t="array" ref="M109">IFERROR(DatumSzovegge3(INDEX(diakadat!$L$2:$L$50,MATCH(D109,diakadat!$J$2:$J$50,0),1)),"")</f>
        <v/>
      </c>
      <c r="N109" t="str" cm="1">
        <f t="array" ref="N109">IFERROR(DatumSzovegge4(INDEX(diakadat!$L$2:$L$50,MATCH(D109,diakadat!$J$2:$J$50,0),1)),"")</f>
        <v/>
      </c>
      <c r="O109" t="str">
        <f>IFERROR(INDEX(diakadat!$R$2:$R$50,MATCH(D109,diakadat!$J$2:$J$50,0),1),"")</f>
        <v/>
      </c>
      <c r="P109" t="str">
        <f>IFERROR(INDEX(diakadat!$AI$2:$AI$50,MATCH(D109,diakadat!$J$2:$J$50,0),1),"")</f>
        <v/>
      </c>
      <c r="Q109" t="str">
        <f>IFERROR(INDEX('rangsor'!$C$2:$C$343,MATCH(D109,'rangsor'!$A$2:$A$343,0),1),"")</f>
        <v/>
      </c>
      <c r="T109" t="s">
        <v>831</v>
      </c>
      <c r="U109" t="str" cm="1">
        <f t="array" ref="U109">Határozat(D109)</f>
        <v/>
      </c>
      <c r="AC109" t="str">
        <f>IFERROR(INDEX(diakadat!$U$2:$U$50,MATCH(D109,diakadat!$J$2:$J$50),1),"")</f>
        <v/>
      </c>
      <c r="AD109" t="str">
        <f>IFERROR(INDEX(diakadat!$V$2:$V$50,MATCH(D109,diakadat!$J$2:$J$50),1),"")</f>
        <v/>
      </c>
      <c r="AE109" t="str">
        <f>IFERROR(INDEX(diakadat!$W$2:$W$50,MATCH(D109,diakadat!$J$2:$J$50),1),"")</f>
        <v/>
      </c>
      <c r="AF109">
        <v>2230</v>
      </c>
      <c r="AG109" t="s">
        <v>1276</v>
      </c>
      <c r="AH109" t="s">
        <v>1277</v>
      </c>
      <c r="AI109" t="str">
        <f>IFERROR(INDEX(diakadat!$X$2:$X$50,MATCH(D109,diakadat!$J$2:$J$50),1),"")</f>
        <v/>
      </c>
      <c r="AK109">
        <f t="shared" si="1"/>
        <v>329</v>
      </c>
      <c r="AL109" t="str" cm="1">
        <f t="array" ref="AL109">ElsoBetuNagy(R109)</f>
        <v/>
      </c>
      <c r="AO109" t="str" cm="1">
        <f t="array" ref="AO109">DatumSzovegge5(AN109)</f>
        <v>1899.</v>
      </c>
      <c r="AP109" t="str" cm="1">
        <f t="array" ref="AP109">DatumSzovegge3(AN109)</f>
        <v>december</v>
      </c>
      <c r="AQ109" t="str" cm="1">
        <f t="array" ref="AQ109">DatumSzovegge4(AN109)</f>
        <v>30.</v>
      </c>
    </row>
    <row r="110" spans="4:43" x14ac:dyDescent="0.25">
      <c r="D110" t="str" cm="1">
        <f t="array" ref="D110">SzuressNev($B$1,ROW()-1)</f>
        <v/>
      </c>
      <c r="E110">
        <f>COUNTIF($D$2:D110,D110)</f>
        <v>89</v>
      </c>
      <c r="F110" t="str" cm="1">
        <f t="array" ref="F110">ElutasitasEgyOk2(D110,E110)</f>
        <v/>
      </c>
      <c r="G110" t="str">
        <f>IFERROR(INDEX(diakadat!$I$2:$I$50,MATCH(D110,diakadat!$J$2:$J$50,0),1),"")</f>
        <v/>
      </c>
      <c r="H110" t="str">
        <f>IFERROR(INDEX(diakadat!$O$2:$O$50,MATCH(D110,diakadat!$J$2:$J$50,0),1),"")</f>
        <v/>
      </c>
      <c r="I110" t="str">
        <f>IFERROR(INDEX(diakadat!#REF!,MATCH(D110,diakadat!$J$2:$J$50,0),1),"")</f>
        <v/>
      </c>
      <c r="J110" t="str">
        <f>IFERROR(INDEX(diakadat!$K$2:$K$50,MATCH(D110,diakadat!$J$2:$J$50,0),1),"")</f>
        <v/>
      </c>
      <c r="K110" t="str" cm="1">
        <f t="array" ref="K110">IFERROR(DatumSzovegge2(INDEX(diakadat!$L$2:$L$50,MATCH(D110,diakadat!$J$2:$J$50,0),1)),"")</f>
        <v/>
      </c>
      <c r="L110" t="str" cm="1">
        <f t="array" ref="L110">IFERROR(DatumSzovegge5(INDEX(diakadat!$L$2:$L$50,MATCH(D110,diakadat!$J$2:$J$50,0),1)),"")</f>
        <v/>
      </c>
      <c r="M110" t="str" cm="1">
        <f t="array" ref="M110">IFERROR(DatumSzovegge3(INDEX(diakadat!$L$2:$L$50,MATCH(D110,diakadat!$J$2:$J$50,0),1)),"")</f>
        <v/>
      </c>
      <c r="N110" t="str" cm="1">
        <f t="array" ref="N110">IFERROR(DatumSzovegge4(INDEX(diakadat!$L$2:$L$50,MATCH(D110,diakadat!$J$2:$J$50,0),1)),"")</f>
        <v/>
      </c>
      <c r="O110" t="str">
        <f>IFERROR(INDEX(diakadat!$R$2:$R$50,MATCH(D110,diakadat!$J$2:$J$50,0),1),"")</f>
        <v/>
      </c>
      <c r="P110" t="str">
        <f>IFERROR(INDEX(diakadat!$AI$2:$AI$50,MATCH(D110,diakadat!$J$2:$J$50,0),1),"")</f>
        <v/>
      </c>
      <c r="Q110" t="str">
        <f>IFERROR(INDEX('rangsor'!$C$2:$C$343,MATCH(D110,'rangsor'!$A$2:$A$343,0),1),"")</f>
        <v/>
      </c>
      <c r="T110" t="s">
        <v>831</v>
      </c>
      <c r="U110" t="str" cm="1">
        <f t="array" ref="U110">Határozat(D110)</f>
        <v/>
      </c>
      <c r="AC110" t="str">
        <f>IFERROR(INDEX(diakadat!$U$2:$U$50,MATCH(D110,diakadat!$J$2:$J$50),1),"")</f>
        <v/>
      </c>
      <c r="AD110" t="str">
        <f>IFERROR(INDEX(diakadat!$V$2:$V$50,MATCH(D110,diakadat!$J$2:$J$50),1),"")</f>
        <v/>
      </c>
      <c r="AE110" t="str">
        <f>IFERROR(INDEX(diakadat!$W$2:$W$50,MATCH(D110,diakadat!$J$2:$J$50),1),"")</f>
        <v/>
      </c>
      <c r="AF110">
        <v>1202</v>
      </c>
      <c r="AG110" t="s">
        <v>912</v>
      </c>
      <c r="AH110" t="s">
        <v>1278</v>
      </c>
      <c r="AI110" t="str">
        <f>IFERROR(INDEX(diakadat!$X$2:$X$50,MATCH(D110,diakadat!$J$2:$J$50),1),"")</f>
        <v/>
      </c>
      <c r="AK110">
        <f t="shared" si="1"/>
        <v>329</v>
      </c>
      <c r="AL110" t="str" cm="1">
        <f t="array" ref="AL110">ElsoBetuNagy(R110)</f>
        <v/>
      </c>
      <c r="AO110" t="str" cm="1">
        <f t="array" ref="AO110">DatumSzovegge5(AN110)</f>
        <v>1899.</v>
      </c>
      <c r="AP110" t="str" cm="1">
        <f t="array" ref="AP110">DatumSzovegge3(AN110)</f>
        <v>december</v>
      </c>
      <c r="AQ110" t="str" cm="1">
        <f t="array" ref="AQ110">DatumSzovegge4(AN110)</f>
        <v>30.</v>
      </c>
    </row>
    <row r="111" spans="4:43" x14ac:dyDescent="0.25">
      <c r="D111" t="str" cm="1">
        <f t="array" ref="D111">SzuressNev($B$1,ROW()-1)</f>
        <v/>
      </c>
      <c r="E111">
        <f>COUNTIF($D$2:D111,D111)</f>
        <v>90</v>
      </c>
      <c r="F111" t="str" cm="1">
        <f t="array" ref="F111">ElutasitasEgyOk2(D111,E111)</f>
        <v/>
      </c>
      <c r="G111" t="str">
        <f>IFERROR(INDEX(diakadat!$I$2:$I$50,MATCH(D111,diakadat!$J$2:$J$50,0),1),"")</f>
        <v/>
      </c>
      <c r="H111" t="str">
        <f>IFERROR(INDEX(diakadat!$O$2:$O$50,MATCH(D111,diakadat!$J$2:$J$50,0),1),"")</f>
        <v/>
      </c>
      <c r="I111" t="str">
        <f>IFERROR(INDEX(diakadat!#REF!,MATCH(D111,diakadat!$J$2:$J$50,0),1),"")</f>
        <v/>
      </c>
      <c r="J111" t="str">
        <f>IFERROR(INDEX(diakadat!$K$2:$K$50,MATCH(D111,diakadat!$J$2:$J$50,0),1),"")</f>
        <v/>
      </c>
      <c r="K111" t="str" cm="1">
        <f t="array" ref="K111">IFERROR(DatumSzovegge2(INDEX(diakadat!$L$2:$L$50,MATCH(D111,diakadat!$J$2:$J$50,0),1)),"")</f>
        <v/>
      </c>
      <c r="L111" t="str" cm="1">
        <f t="array" ref="L111">IFERROR(DatumSzovegge5(INDEX(diakadat!$L$2:$L$50,MATCH(D111,diakadat!$J$2:$J$50,0),1)),"")</f>
        <v/>
      </c>
      <c r="M111" t="str" cm="1">
        <f t="array" ref="M111">IFERROR(DatumSzovegge3(INDEX(diakadat!$L$2:$L$50,MATCH(D111,diakadat!$J$2:$J$50,0),1)),"")</f>
        <v/>
      </c>
      <c r="N111" t="str" cm="1">
        <f t="array" ref="N111">IFERROR(DatumSzovegge4(INDEX(diakadat!$L$2:$L$50,MATCH(D111,diakadat!$J$2:$J$50,0),1)),"")</f>
        <v/>
      </c>
      <c r="O111" t="str">
        <f>IFERROR(INDEX(diakadat!$R$2:$R$50,MATCH(D111,diakadat!$J$2:$J$50,0),1),"")</f>
        <v/>
      </c>
      <c r="P111" t="str">
        <f>IFERROR(INDEX(diakadat!$AI$2:$AI$50,MATCH(D111,diakadat!$J$2:$J$50,0),1),"")</f>
        <v/>
      </c>
      <c r="Q111" t="str">
        <f>IFERROR(INDEX('rangsor'!$C$2:$C$343,MATCH(D111,'rangsor'!$A$2:$A$343,0),1),"")</f>
        <v/>
      </c>
      <c r="T111" t="s">
        <v>831</v>
      </c>
      <c r="U111" t="str" cm="1">
        <f t="array" ref="U111">Határozat(D111)</f>
        <v/>
      </c>
      <c r="AC111" t="str">
        <f>IFERROR(INDEX(diakadat!$U$2:$U$50,MATCH(D111,diakadat!$J$2:$J$50),1),"")</f>
        <v/>
      </c>
      <c r="AD111" t="str">
        <f>IFERROR(INDEX(diakadat!$V$2:$V$50,MATCH(D111,diakadat!$J$2:$J$50),1),"")</f>
        <v/>
      </c>
      <c r="AE111" t="str">
        <f>IFERROR(INDEX(diakadat!$W$2:$W$50,MATCH(D111,diakadat!$J$2:$J$50),1),"")</f>
        <v/>
      </c>
      <c r="AF111">
        <v>2053</v>
      </c>
      <c r="AG111" t="s">
        <v>1279</v>
      </c>
      <c r="AH111" t="s">
        <v>1280</v>
      </c>
      <c r="AI111" t="str">
        <f>IFERROR(INDEX(diakadat!$X$2:$X$50,MATCH(D111,diakadat!$J$2:$J$50),1),"")</f>
        <v/>
      </c>
      <c r="AK111">
        <f t="shared" si="1"/>
        <v>329</v>
      </c>
      <c r="AL111" t="str" cm="1">
        <f t="array" ref="AL111">ElsoBetuNagy(R111)</f>
        <v/>
      </c>
      <c r="AO111" t="str" cm="1">
        <f t="array" ref="AO111">DatumSzovegge5(AN111)</f>
        <v>1899.</v>
      </c>
      <c r="AP111" t="str" cm="1">
        <f t="array" ref="AP111">DatumSzovegge3(AN111)</f>
        <v>december</v>
      </c>
      <c r="AQ111" t="str" cm="1">
        <f t="array" ref="AQ111">DatumSzovegge4(AN111)</f>
        <v>30.</v>
      </c>
    </row>
    <row r="112" spans="4:43" x14ac:dyDescent="0.25">
      <c r="D112" t="str" cm="1">
        <f t="array" ref="D112">SzuressNev($B$1,ROW()-1)</f>
        <v/>
      </c>
      <c r="E112">
        <f>COUNTIF($D$2:D112,D112)</f>
        <v>91</v>
      </c>
      <c r="F112" t="str" cm="1">
        <f t="array" ref="F112">ElutasitasEgyOk2(D112,E112)</f>
        <v/>
      </c>
      <c r="G112" t="str">
        <f>IFERROR(INDEX(diakadat!$I$2:$I$50,MATCH(D112,diakadat!$J$2:$J$50,0),1),"")</f>
        <v/>
      </c>
      <c r="H112" t="str">
        <f>IFERROR(INDEX(diakadat!$O$2:$O$50,MATCH(D112,diakadat!$J$2:$J$50,0),1),"")</f>
        <v/>
      </c>
      <c r="I112" t="str">
        <f>IFERROR(INDEX(diakadat!#REF!,MATCH(D112,diakadat!$J$2:$J$50,0),1),"")</f>
        <v/>
      </c>
      <c r="J112" t="str">
        <f>IFERROR(INDEX(diakadat!$K$2:$K$50,MATCH(D112,diakadat!$J$2:$J$50,0),1),"")</f>
        <v/>
      </c>
      <c r="K112" t="str" cm="1">
        <f t="array" ref="K112">IFERROR(DatumSzovegge2(INDEX(diakadat!$L$2:$L$50,MATCH(D112,diakadat!$J$2:$J$50,0),1)),"")</f>
        <v/>
      </c>
      <c r="L112" t="str" cm="1">
        <f t="array" ref="L112">IFERROR(DatumSzovegge5(INDEX(diakadat!$L$2:$L$50,MATCH(D112,diakadat!$J$2:$J$50,0),1)),"")</f>
        <v/>
      </c>
      <c r="M112" t="str" cm="1">
        <f t="array" ref="M112">IFERROR(DatumSzovegge3(INDEX(diakadat!$L$2:$L$50,MATCH(D112,diakadat!$J$2:$J$50,0),1)),"")</f>
        <v/>
      </c>
      <c r="N112" t="str" cm="1">
        <f t="array" ref="N112">IFERROR(DatumSzovegge4(INDEX(diakadat!$L$2:$L$50,MATCH(D112,diakadat!$J$2:$J$50,0),1)),"")</f>
        <v/>
      </c>
      <c r="O112" t="str">
        <f>IFERROR(INDEX(diakadat!$R$2:$R$50,MATCH(D112,diakadat!$J$2:$J$50,0),1),"")</f>
        <v/>
      </c>
      <c r="P112" t="str">
        <f>IFERROR(INDEX(diakadat!$AI$2:$AI$50,MATCH(D112,diakadat!$J$2:$J$50,0),1),"")</f>
        <v/>
      </c>
      <c r="Q112" t="str">
        <f>IFERROR(INDEX('rangsor'!$C$2:$C$343,MATCH(D112,'rangsor'!$A$2:$A$343,0),1),"")</f>
        <v/>
      </c>
      <c r="T112" t="s">
        <v>831</v>
      </c>
      <c r="U112" t="str" cm="1">
        <f t="array" ref="U112">Határozat(D112)</f>
        <v/>
      </c>
      <c r="AC112" t="str">
        <f>IFERROR(INDEX(diakadat!$U$2:$U$50,MATCH(D112,diakadat!$J$2:$J$50),1),"")</f>
        <v/>
      </c>
      <c r="AD112" t="str">
        <f>IFERROR(INDEX(diakadat!$V$2:$V$50,MATCH(D112,diakadat!$J$2:$J$50),1),"")</f>
        <v/>
      </c>
      <c r="AE112" t="str">
        <f>IFERROR(INDEX(diakadat!$W$2:$W$50,MATCH(D112,diakadat!$J$2:$J$50),1),"")</f>
        <v/>
      </c>
      <c r="AF112">
        <v>1201</v>
      </c>
      <c r="AG112" t="s">
        <v>912</v>
      </c>
      <c r="AH112" t="s">
        <v>1281</v>
      </c>
      <c r="AI112" t="str">
        <f>IFERROR(INDEX(diakadat!$X$2:$X$50,MATCH(D112,diakadat!$J$2:$J$50),1),"")</f>
        <v/>
      </c>
      <c r="AK112">
        <f t="shared" si="1"/>
        <v>329</v>
      </c>
      <c r="AL112" t="str" cm="1">
        <f t="array" ref="AL112">ElsoBetuNagy(R112)</f>
        <v/>
      </c>
      <c r="AO112" t="str" cm="1">
        <f t="array" ref="AO112">DatumSzovegge5(AN112)</f>
        <v>1899.</v>
      </c>
      <c r="AP112" t="str" cm="1">
        <f t="array" ref="AP112">DatumSzovegge3(AN112)</f>
        <v>december</v>
      </c>
      <c r="AQ112" t="str" cm="1">
        <f t="array" ref="AQ112">DatumSzovegge4(AN112)</f>
        <v>30.</v>
      </c>
    </row>
    <row r="113" spans="4:43" x14ac:dyDescent="0.25">
      <c r="D113" t="str" cm="1">
        <f t="array" ref="D113">SzuressNev($B$1,ROW()-1)</f>
        <v/>
      </c>
      <c r="E113">
        <f>COUNTIF($D$2:D113,D113)</f>
        <v>92</v>
      </c>
      <c r="F113" t="str" cm="1">
        <f t="array" ref="F113">ElutasitasEgyOk2(D113,E113)</f>
        <v/>
      </c>
      <c r="G113" t="str">
        <f>IFERROR(INDEX(diakadat!$I$2:$I$50,MATCH(D113,diakadat!$J$2:$J$50,0),1),"")</f>
        <v/>
      </c>
      <c r="H113" t="str">
        <f>IFERROR(INDEX(diakadat!$O$2:$O$50,MATCH(D113,diakadat!$J$2:$J$50,0),1),"")</f>
        <v/>
      </c>
      <c r="I113" t="str">
        <f>IFERROR(INDEX(diakadat!#REF!,MATCH(D113,diakadat!$J$2:$J$50,0),1),"")</f>
        <v/>
      </c>
      <c r="J113" t="str">
        <f>IFERROR(INDEX(diakadat!$K$2:$K$50,MATCH(D113,diakadat!$J$2:$J$50,0),1),"")</f>
        <v/>
      </c>
      <c r="K113" t="str" cm="1">
        <f t="array" ref="K113">IFERROR(DatumSzovegge2(INDEX(diakadat!$L$2:$L$50,MATCH(D113,diakadat!$J$2:$J$50,0),1)),"")</f>
        <v/>
      </c>
      <c r="L113" t="str" cm="1">
        <f t="array" ref="L113">IFERROR(DatumSzovegge5(INDEX(diakadat!$L$2:$L$50,MATCH(D113,diakadat!$J$2:$J$50,0),1)),"")</f>
        <v/>
      </c>
      <c r="M113" t="str" cm="1">
        <f t="array" ref="M113">IFERROR(DatumSzovegge3(INDEX(diakadat!$L$2:$L$50,MATCH(D113,diakadat!$J$2:$J$50,0),1)),"")</f>
        <v/>
      </c>
      <c r="N113" t="str" cm="1">
        <f t="array" ref="N113">IFERROR(DatumSzovegge4(INDEX(diakadat!$L$2:$L$50,MATCH(D113,diakadat!$J$2:$J$50,0),1)),"")</f>
        <v/>
      </c>
      <c r="O113" t="str">
        <f>IFERROR(INDEX(diakadat!$R$2:$R$50,MATCH(D113,diakadat!$J$2:$J$50,0),1),"")</f>
        <v/>
      </c>
      <c r="P113" t="str">
        <f>IFERROR(INDEX(diakadat!$AI$2:$AI$50,MATCH(D113,diakadat!$J$2:$J$50,0),1),"")</f>
        <v/>
      </c>
      <c r="Q113" t="str">
        <f>IFERROR(INDEX('rangsor'!$C$2:$C$343,MATCH(D113,'rangsor'!$A$2:$A$343,0),1),"")</f>
        <v/>
      </c>
      <c r="T113" t="s">
        <v>831</v>
      </c>
      <c r="U113" t="str" cm="1">
        <f t="array" ref="U113">Határozat(D113)</f>
        <v/>
      </c>
      <c r="AC113" t="str">
        <f>IFERROR(INDEX(diakadat!$U$2:$U$50,MATCH(D113,diakadat!$J$2:$J$50),1),"")</f>
        <v/>
      </c>
      <c r="AD113" t="str">
        <f>IFERROR(INDEX(diakadat!$V$2:$V$50,MATCH(D113,diakadat!$J$2:$J$50),1),"")</f>
        <v/>
      </c>
      <c r="AE113" t="str">
        <f>IFERROR(INDEX(diakadat!$W$2:$W$50,MATCH(D113,diakadat!$J$2:$J$50),1),"")</f>
        <v/>
      </c>
      <c r="AF113">
        <v>2096</v>
      </c>
      <c r="AG113" t="s">
        <v>1282</v>
      </c>
      <c r="AH113" t="s">
        <v>1283</v>
      </c>
      <c r="AI113" t="str">
        <f>IFERROR(INDEX(diakadat!$X$2:$X$50,MATCH(D113,diakadat!$J$2:$J$50),1),"")</f>
        <v/>
      </c>
      <c r="AK113">
        <f t="shared" si="1"/>
        <v>329</v>
      </c>
      <c r="AL113" t="str" cm="1">
        <f t="array" ref="AL113">ElsoBetuNagy(R113)</f>
        <v/>
      </c>
      <c r="AO113" t="str" cm="1">
        <f t="array" ref="AO113">DatumSzovegge5(AN113)</f>
        <v>1899.</v>
      </c>
      <c r="AP113" t="str" cm="1">
        <f t="array" ref="AP113">DatumSzovegge3(AN113)</f>
        <v>december</v>
      </c>
      <c r="AQ113" t="str" cm="1">
        <f t="array" ref="AQ113">DatumSzovegge4(AN113)</f>
        <v>30.</v>
      </c>
    </row>
    <row r="114" spans="4:43" x14ac:dyDescent="0.25">
      <c r="D114" t="str" cm="1">
        <f t="array" ref="D114">SzuressNev($B$1,ROW()-1)</f>
        <v/>
      </c>
      <c r="E114">
        <f>COUNTIF($D$2:D114,D114)</f>
        <v>93</v>
      </c>
      <c r="F114" t="str" cm="1">
        <f t="array" ref="F114">ElutasitasEgyOk2(D114,E114)</f>
        <v/>
      </c>
      <c r="G114" t="str">
        <f>IFERROR(INDEX(diakadat!$I$2:$I$50,MATCH(D114,diakadat!$J$2:$J$50,0),1),"")</f>
        <v/>
      </c>
      <c r="H114" t="str">
        <f>IFERROR(INDEX(diakadat!$O$2:$O$50,MATCH(D114,diakadat!$J$2:$J$50,0),1),"")</f>
        <v/>
      </c>
      <c r="I114" t="str">
        <f>IFERROR(INDEX(diakadat!#REF!,MATCH(D114,diakadat!$J$2:$J$50,0),1),"")</f>
        <v/>
      </c>
      <c r="J114" t="str">
        <f>IFERROR(INDEX(diakadat!$K$2:$K$50,MATCH(D114,diakadat!$J$2:$J$50,0),1),"")</f>
        <v/>
      </c>
      <c r="K114" t="str" cm="1">
        <f t="array" ref="K114">IFERROR(DatumSzovegge2(INDEX(diakadat!$L$2:$L$50,MATCH(D114,diakadat!$J$2:$J$50,0),1)),"")</f>
        <v/>
      </c>
      <c r="L114" t="str" cm="1">
        <f t="array" ref="L114">IFERROR(DatumSzovegge5(INDEX(diakadat!$L$2:$L$50,MATCH(D114,diakadat!$J$2:$J$50,0),1)),"")</f>
        <v/>
      </c>
      <c r="M114" t="str" cm="1">
        <f t="array" ref="M114">IFERROR(DatumSzovegge3(INDEX(diakadat!$L$2:$L$50,MATCH(D114,diakadat!$J$2:$J$50,0),1)),"")</f>
        <v/>
      </c>
      <c r="N114" t="str" cm="1">
        <f t="array" ref="N114">IFERROR(DatumSzovegge4(INDEX(diakadat!$L$2:$L$50,MATCH(D114,diakadat!$J$2:$J$50,0),1)),"")</f>
        <v/>
      </c>
      <c r="O114" t="str">
        <f>IFERROR(INDEX(diakadat!$R$2:$R$50,MATCH(D114,diakadat!$J$2:$J$50,0),1),"")</f>
        <v/>
      </c>
      <c r="P114" t="str">
        <f>IFERROR(INDEX(diakadat!$AI$2:$AI$50,MATCH(D114,diakadat!$J$2:$J$50,0),1),"")</f>
        <v/>
      </c>
      <c r="Q114" t="str">
        <f>IFERROR(INDEX('rangsor'!$C$2:$C$343,MATCH(D114,'rangsor'!$A$2:$A$343,0),1),"")</f>
        <v/>
      </c>
      <c r="T114" t="s">
        <v>831</v>
      </c>
      <c r="U114" t="str" cm="1">
        <f t="array" ref="U114">Határozat(D114)</f>
        <v/>
      </c>
      <c r="AC114" t="str">
        <f>IFERROR(INDEX(diakadat!$U$2:$U$50,MATCH(D114,diakadat!$J$2:$J$50),1),"")</f>
        <v/>
      </c>
      <c r="AD114" t="str">
        <f>IFERROR(INDEX(diakadat!$V$2:$V$50,MATCH(D114,diakadat!$J$2:$J$50),1),"")</f>
        <v/>
      </c>
      <c r="AE114" t="str">
        <f>IFERROR(INDEX(diakadat!$W$2:$W$50,MATCH(D114,diakadat!$J$2:$J$50),1),"")</f>
        <v/>
      </c>
      <c r="AF114">
        <v>2011</v>
      </c>
      <c r="AG114" t="s">
        <v>1284</v>
      </c>
      <c r="AH114" t="s">
        <v>1285</v>
      </c>
      <c r="AI114" t="str">
        <f>IFERROR(INDEX(diakadat!$X$2:$X$50,MATCH(D114,diakadat!$J$2:$J$50),1),"")</f>
        <v/>
      </c>
      <c r="AK114">
        <f t="shared" si="1"/>
        <v>329</v>
      </c>
      <c r="AL114" t="str" cm="1">
        <f t="array" ref="AL114">ElsoBetuNagy(R114)</f>
        <v/>
      </c>
      <c r="AO114" t="str" cm="1">
        <f t="array" ref="AO114">DatumSzovegge5(AN114)</f>
        <v>1899.</v>
      </c>
      <c r="AP114" t="str" cm="1">
        <f t="array" ref="AP114">DatumSzovegge3(AN114)</f>
        <v>december</v>
      </c>
      <c r="AQ114" t="str" cm="1">
        <f t="array" ref="AQ114">DatumSzovegge4(AN114)</f>
        <v>30.</v>
      </c>
    </row>
    <row r="115" spans="4:43" x14ac:dyDescent="0.25">
      <c r="D115" t="str" cm="1">
        <f t="array" ref="D115">SzuressNev($B$1,ROW()-1)</f>
        <v/>
      </c>
      <c r="E115">
        <f>COUNTIF($D$2:D115,D115)</f>
        <v>94</v>
      </c>
      <c r="F115" t="str" cm="1">
        <f t="array" ref="F115">ElutasitasEgyOk2(D115,E115)</f>
        <v/>
      </c>
      <c r="G115" t="str">
        <f>IFERROR(INDEX(diakadat!$I$2:$I$50,MATCH(D115,diakadat!$J$2:$J$50,0),1),"")</f>
        <v/>
      </c>
      <c r="H115" t="str">
        <f>IFERROR(INDEX(diakadat!$O$2:$O$50,MATCH(D115,diakadat!$J$2:$J$50,0),1),"")</f>
        <v/>
      </c>
      <c r="I115" t="str">
        <f>IFERROR(INDEX(diakadat!#REF!,MATCH(D115,diakadat!$J$2:$J$50,0),1),"")</f>
        <v/>
      </c>
      <c r="J115" t="str">
        <f>IFERROR(INDEX(diakadat!$K$2:$K$50,MATCH(D115,diakadat!$J$2:$J$50,0),1),"")</f>
        <v/>
      </c>
      <c r="K115" t="str" cm="1">
        <f t="array" ref="K115">IFERROR(DatumSzovegge2(INDEX(diakadat!$L$2:$L$50,MATCH(D115,diakadat!$J$2:$J$50,0),1)),"")</f>
        <v/>
      </c>
      <c r="L115" t="str" cm="1">
        <f t="array" ref="L115">IFERROR(DatumSzovegge5(INDEX(diakadat!$L$2:$L$50,MATCH(D115,diakadat!$J$2:$J$50,0),1)),"")</f>
        <v/>
      </c>
      <c r="M115" t="str" cm="1">
        <f t="array" ref="M115">IFERROR(DatumSzovegge3(INDEX(diakadat!$L$2:$L$50,MATCH(D115,diakadat!$J$2:$J$50,0),1)),"")</f>
        <v/>
      </c>
      <c r="N115" t="str" cm="1">
        <f t="array" ref="N115">IFERROR(DatumSzovegge4(INDEX(diakadat!$L$2:$L$50,MATCH(D115,diakadat!$J$2:$J$50,0),1)),"")</f>
        <v/>
      </c>
      <c r="O115" t="str">
        <f>IFERROR(INDEX(diakadat!$R$2:$R$50,MATCH(D115,diakadat!$J$2:$J$50,0),1),"")</f>
        <v/>
      </c>
      <c r="P115" t="str">
        <f>IFERROR(INDEX(diakadat!$AI$2:$AI$50,MATCH(D115,diakadat!$J$2:$J$50,0),1),"")</f>
        <v/>
      </c>
      <c r="Q115" t="str">
        <f>IFERROR(INDEX('rangsor'!$C$2:$C$343,MATCH(D115,'rangsor'!$A$2:$A$343,0),1),"")</f>
        <v/>
      </c>
      <c r="T115" t="s">
        <v>831</v>
      </c>
      <c r="U115" t="str" cm="1">
        <f t="array" ref="U115">Határozat(D115)</f>
        <v/>
      </c>
      <c r="AC115" t="str">
        <f>IFERROR(INDEX(diakadat!$U$2:$U$50,MATCH(D115,diakadat!$J$2:$J$50),1),"")</f>
        <v/>
      </c>
      <c r="AD115" t="str">
        <f>IFERROR(INDEX(diakadat!$V$2:$V$50,MATCH(D115,diakadat!$J$2:$J$50),1),"")</f>
        <v/>
      </c>
      <c r="AE115" t="str">
        <f>IFERROR(INDEX(diakadat!$W$2:$W$50,MATCH(D115,diakadat!$J$2:$J$50),1),"")</f>
        <v/>
      </c>
      <c r="AF115">
        <v>1054</v>
      </c>
      <c r="AG115" t="s">
        <v>1164</v>
      </c>
      <c r="AH115" t="s">
        <v>1249</v>
      </c>
      <c r="AI115" t="str">
        <f>IFERROR(INDEX(diakadat!$X$2:$X$50,MATCH(D115,diakadat!$J$2:$J$50),1),"")</f>
        <v/>
      </c>
      <c r="AK115">
        <f t="shared" si="1"/>
        <v>329</v>
      </c>
      <c r="AL115" t="str" cm="1">
        <f t="array" ref="AL115">ElsoBetuNagy(R115)</f>
        <v/>
      </c>
      <c r="AO115" t="str" cm="1">
        <f t="array" ref="AO115">DatumSzovegge5(AN115)</f>
        <v>1899.</v>
      </c>
      <c r="AP115" t="str" cm="1">
        <f t="array" ref="AP115">DatumSzovegge3(AN115)</f>
        <v>december</v>
      </c>
      <c r="AQ115" t="str" cm="1">
        <f t="array" ref="AQ115">DatumSzovegge4(AN115)</f>
        <v>30.</v>
      </c>
    </row>
    <row r="116" spans="4:43" x14ac:dyDescent="0.25">
      <c r="D116" t="str" cm="1">
        <f t="array" ref="D116">SzuressNev($B$1,ROW()-1)</f>
        <v/>
      </c>
      <c r="E116">
        <f>COUNTIF($D$2:D116,D116)</f>
        <v>95</v>
      </c>
      <c r="F116" t="str" cm="1">
        <f t="array" ref="F116">ElutasitasEgyOk2(D116,E116)</f>
        <v/>
      </c>
      <c r="G116" t="str">
        <f>IFERROR(INDEX(diakadat!$I$2:$I$50,MATCH(D116,diakadat!$J$2:$J$50,0),1),"")</f>
        <v/>
      </c>
      <c r="H116" t="str">
        <f>IFERROR(INDEX(diakadat!$O$2:$O$50,MATCH(D116,diakadat!$J$2:$J$50,0),1),"")</f>
        <v/>
      </c>
      <c r="I116" t="str">
        <f>IFERROR(INDEX(diakadat!#REF!,MATCH(D116,diakadat!$J$2:$J$50,0),1),"")</f>
        <v/>
      </c>
      <c r="J116" t="str">
        <f>IFERROR(INDEX(diakadat!$K$2:$K$50,MATCH(D116,diakadat!$J$2:$J$50,0),1),"")</f>
        <v/>
      </c>
      <c r="K116" t="str" cm="1">
        <f t="array" ref="K116">IFERROR(DatumSzovegge2(INDEX(diakadat!$L$2:$L$50,MATCH(D116,diakadat!$J$2:$J$50,0),1)),"")</f>
        <v/>
      </c>
      <c r="L116" t="str" cm="1">
        <f t="array" ref="L116">IFERROR(DatumSzovegge5(INDEX(diakadat!$L$2:$L$50,MATCH(D116,diakadat!$J$2:$J$50,0),1)),"")</f>
        <v/>
      </c>
      <c r="M116" t="str" cm="1">
        <f t="array" ref="M116">IFERROR(DatumSzovegge3(INDEX(diakadat!$L$2:$L$50,MATCH(D116,diakadat!$J$2:$J$50,0),1)),"")</f>
        <v/>
      </c>
      <c r="N116" t="str" cm="1">
        <f t="array" ref="N116">IFERROR(DatumSzovegge4(INDEX(diakadat!$L$2:$L$50,MATCH(D116,diakadat!$J$2:$J$50,0),1)),"")</f>
        <v/>
      </c>
      <c r="O116" t="str">
        <f>IFERROR(INDEX(diakadat!$R$2:$R$50,MATCH(D116,diakadat!$J$2:$J$50,0),1),"")</f>
        <v/>
      </c>
      <c r="P116" t="str">
        <f>IFERROR(INDEX(diakadat!$AI$2:$AI$50,MATCH(D116,diakadat!$J$2:$J$50,0),1),"")</f>
        <v/>
      </c>
      <c r="Q116" t="str">
        <f>IFERROR(INDEX('rangsor'!$C$2:$C$343,MATCH(D116,'rangsor'!$A$2:$A$343,0),1),"")</f>
        <v/>
      </c>
      <c r="T116" t="s">
        <v>831</v>
      </c>
      <c r="U116" t="str" cm="1">
        <f t="array" ref="U116">Határozat(D116)</f>
        <v/>
      </c>
      <c r="AC116" t="str">
        <f>IFERROR(INDEX(diakadat!$U$2:$U$50,MATCH(D116,diakadat!$J$2:$J$50),1),"")</f>
        <v/>
      </c>
      <c r="AD116" t="str">
        <f>IFERROR(INDEX(diakadat!$V$2:$V$50,MATCH(D116,diakadat!$J$2:$J$50),1),"")</f>
        <v/>
      </c>
      <c r="AE116" t="str">
        <f>IFERROR(INDEX(diakadat!$W$2:$W$50,MATCH(D116,diakadat!$J$2:$J$50),1),"")</f>
        <v/>
      </c>
      <c r="AF116">
        <v>1188</v>
      </c>
      <c r="AG116" t="s">
        <v>912</v>
      </c>
      <c r="AH116" t="s">
        <v>1286</v>
      </c>
      <c r="AI116" t="str">
        <f>IFERROR(INDEX(diakadat!$X$2:$X$50,MATCH(D116,diakadat!$J$2:$J$50),1),"")</f>
        <v/>
      </c>
      <c r="AK116">
        <f t="shared" si="1"/>
        <v>329</v>
      </c>
      <c r="AL116" t="str" cm="1">
        <f t="array" ref="AL116">ElsoBetuNagy(R116)</f>
        <v/>
      </c>
      <c r="AO116" t="str" cm="1">
        <f t="array" ref="AO116">DatumSzovegge5(AN116)</f>
        <v>1899.</v>
      </c>
      <c r="AP116" t="str" cm="1">
        <f t="array" ref="AP116">DatumSzovegge3(AN116)</f>
        <v>december</v>
      </c>
      <c r="AQ116" t="str" cm="1">
        <f t="array" ref="AQ116">DatumSzovegge4(AN116)</f>
        <v>30.</v>
      </c>
    </row>
    <row r="117" spans="4:43" x14ac:dyDescent="0.25">
      <c r="D117" t="str" cm="1">
        <f t="array" ref="D117">SzuressNev($B$1,ROW()-1)</f>
        <v/>
      </c>
      <c r="E117">
        <f>COUNTIF($D$2:D117,D117)</f>
        <v>96</v>
      </c>
      <c r="F117" t="str" cm="1">
        <f t="array" ref="F117">ElutasitasEgyOk2(D117,E117)</f>
        <v/>
      </c>
      <c r="G117" t="str">
        <f>IFERROR(INDEX(diakadat!$I$2:$I$50,MATCH(D117,diakadat!$J$2:$J$50,0),1),"")</f>
        <v/>
      </c>
      <c r="H117" t="str">
        <f>IFERROR(INDEX(diakadat!$O$2:$O$50,MATCH(D117,diakadat!$J$2:$J$50,0),1),"")</f>
        <v/>
      </c>
      <c r="I117" t="str">
        <f>IFERROR(INDEX(diakadat!#REF!,MATCH(D117,diakadat!$J$2:$J$50,0),1),"")</f>
        <v/>
      </c>
      <c r="J117" t="str">
        <f>IFERROR(INDEX(diakadat!$K$2:$K$50,MATCH(D117,diakadat!$J$2:$J$50,0),1),"")</f>
        <v/>
      </c>
      <c r="K117" t="str" cm="1">
        <f t="array" ref="K117">IFERROR(DatumSzovegge2(INDEX(diakadat!$L$2:$L$50,MATCH(D117,diakadat!$J$2:$J$50,0),1)),"")</f>
        <v/>
      </c>
      <c r="L117" t="str" cm="1">
        <f t="array" ref="L117">IFERROR(DatumSzovegge5(INDEX(diakadat!$L$2:$L$50,MATCH(D117,diakadat!$J$2:$J$50,0),1)),"")</f>
        <v/>
      </c>
      <c r="M117" t="str" cm="1">
        <f t="array" ref="M117">IFERROR(DatumSzovegge3(INDEX(diakadat!$L$2:$L$50,MATCH(D117,diakadat!$J$2:$J$50,0),1)),"")</f>
        <v/>
      </c>
      <c r="N117" t="str" cm="1">
        <f t="array" ref="N117">IFERROR(DatumSzovegge4(INDEX(diakadat!$L$2:$L$50,MATCH(D117,diakadat!$J$2:$J$50,0),1)),"")</f>
        <v/>
      </c>
      <c r="O117" t="str">
        <f>IFERROR(INDEX(diakadat!$R$2:$R$50,MATCH(D117,diakadat!$J$2:$J$50,0),1),"")</f>
        <v/>
      </c>
      <c r="P117" t="str">
        <f>IFERROR(INDEX(diakadat!$AI$2:$AI$50,MATCH(D117,diakadat!$J$2:$J$50,0),1),"")</f>
        <v/>
      </c>
      <c r="Q117" t="str">
        <f>IFERROR(INDEX('rangsor'!$C$2:$C$343,MATCH(D117,'rangsor'!$A$2:$A$343,0),1),"")</f>
        <v/>
      </c>
      <c r="T117" t="s">
        <v>831</v>
      </c>
      <c r="U117" t="str" cm="1">
        <f t="array" ref="U117">Határozat(D117)</f>
        <v/>
      </c>
      <c r="AC117" t="str">
        <f>IFERROR(INDEX(diakadat!$U$2:$U$50,MATCH(D117,diakadat!$J$2:$J$50),1),"")</f>
        <v/>
      </c>
      <c r="AD117" t="str">
        <f>IFERROR(INDEX(diakadat!$V$2:$V$50,MATCH(D117,diakadat!$J$2:$J$50),1),"")</f>
        <v/>
      </c>
      <c r="AE117" t="str">
        <f>IFERROR(INDEX(diakadat!$W$2:$W$50,MATCH(D117,diakadat!$J$2:$J$50),1),"")</f>
        <v/>
      </c>
      <c r="AF117">
        <v>1194</v>
      </c>
      <c r="AG117" t="s">
        <v>912</v>
      </c>
      <c r="AH117" t="s">
        <v>1287</v>
      </c>
      <c r="AI117" t="str">
        <f>IFERROR(INDEX(diakadat!$X$2:$X$50,MATCH(D117,diakadat!$J$2:$J$50),1),"")</f>
        <v/>
      </c>
      <c r="AK117">
        <f t="shared" si="1"/>
        <v>329</v>
      </c>
      <c r="AL117" t="str" cm="1">
        <f t="array" ref="AL117">ElsoBetuNagy(R117)</f>
        <v/>
      </c>
      <c r="AO117" t="str" cm="1">
        <f t="array" ref="AO117">DatumSzovegge5(AN117)</f>
        <v>1899.</v>
      </c>
      <c r="AP117" t="str" cm="1">
        <f t="array" ref="AP117">DatumSzovegge3(AN117)</f>
        <v>december</v>
      </c>
      <c r="AQ117" t="str" cm="1">
        <f t="array" ref="AQ117">DatumSzovegge4(AN117)</f>
        <v>30.</v>
      </c>
    </row>
    <row r="118" spans="4:43" x14ac:dyDescent="0.25">
      <c r="D118" t="str" cm="1">
        <f t="array" ref="D118">SzuressNev($B$1,ROW()-1)</f>
        <v/>
      </c>
      <c r="E118">
        <f>COUNTIF($D$2:D118,D118)</f>
        <v>97</v>
      </c>
      <c r="F118" t="str" cm="1">
        <f t="array" ref="F118">ElutasitasEgyOk2(D118,E118)</f>
        <v/>
      </c>
      <c r="G118" t="str">
        <f>IFERROR(INDEX(diakadat!$I$2:$I$50,MATCH(D118,diakadat!$J$2:$J$50,0),1),"")</f>
        <v/>
      </c>
      <c r="H118" t="str">
        <f>IFERROR(INDEX(diakadat!$O$2:$O$50,MATCH(D118,diakadat!$J$2:$J$50,0),1),"")</f>
        <v/>
      </c>
      <c r="I118" t="str">
        <f>IFERROR(INDEX(diakadat!#REF!,MATCH(D118,diakadat!$J$2:$J$50,0),1),"")</f>
        <v/>
      </c>
      <c r="J118" t="str">
        <f>IFERROR(INDEX(diakadat!$K$2:$K$50,MATCH(D118,diakadat!$J$2:$J$50,0),1),"")</f>
        <v/>
      </c>
      <c r="K118" t="str" cm="1">
        <f t="array" ref="K118">IFERROR(DatumSzovegge2(INDEX(diakadat!$L$2:$L$50,MATCH(D118,diakadat!$J$2:$J$50,0),1)),"")</f>
        <v/>
      </c>
      <c r="L118" t="str" cm="1">
        <f t="array" ref="L118">IFERROR(DatumSzovegge5(INDEX(diakadat!$L$2:$L$50,MATCH(D118,diakadat!$J$2:$J$50,0),1)),"")</f>
        <v/>
      </c>
      <c r="M118" t="str" cm="1">
        <f t="array" ref="M118">IFERROR(DatumSzovegge3(INDEX(diakadat!$L$2:$L$50,MATCH(D118,diakadat!$J$2:$J$50,0),1)),"")</f>
        <v/>
      </c>
      <c r="N118" t="str" cm="1">
        <f t="array" ref="N118">IFERROR(DatumSzovegge4(INDEX(diakadat!$L$2:$L$50,MATCH(D118,diakadat!$J$2:$J$50,0),1)),"")</f>
        <v/>
      </c>
      <c r="O118" t="str">
        <f>IFERROR(INDEX(diakadat!$R$2:$R$50,MATCH(D118,diakadat!$J$2:$J$50,0),1),"")</f>
        <v/>
      </c>
      <c r="P118" t="str">
        <f>IFERROR(INDEX(diakadat!$AI$2:$AI$50,MATCH(D118,diakadat!$J$2:$J$50,0),1),"")</f>
        <v/>
      </c>
      <c r="Q118" t="str">
        <f>IFERROR(INDEX('rangsor'!$C$2:$C$343,MATCH(D118,'rangsor'!$A$2:$A$343,0),1),"")</f>
        <v/>
      </c>
      <c r="T118" t="s">
        <v>831</v>
      </c>
      <c r="U118" t="str" cm="1">
        <f t="array" ref="U118">Határozat(D118)</f>
        <v/>
      </c>
      <c r="AC118" t="str">
        <f>IFERROR(INDEX(diakadat!$U$2:$U$50,MATCH(D118,diakadat!$J$2:$J$50),1),"")</f>
        <v/>
      </c>
      <c r="AD118" t="str">
        <f>IFERROR(INDEX(diakadat!$V$2:$V$50,MATCH(D118,diakadat!$J$2:$J$50),1),"")</f>
        <v/>
      </c>
      <c r="AE118" t="str">
        <f>IFERROR(INDEX(diakadat!$W$2:$W$50,MATCH(D118,diakadat!$J$2:$J$50),1),"")</f>
        <v/>
      </c>
      <c r="AF118">
        <v>1116</v>
      </c>
      <c r="AG118" t="s">
        <v>912</v>
      </c>
      <c r="AH118" t="s">
        <v>1288</v>
      </c>
      <c r="AI118" t="str">
        <f>IFERROR(INDEX(diakadat!$X$2:$X$50,MATCH(D118,diakadat!$J$2:$J$50),1),"")</f>
        <v/>
      </c>
      <c r="AK118">
        <f t="shared" si="1"/>
        <v>329</v>
      </c>
      <c r="AL118" t="str" cm="1">
        <f t="array" ref="AL118">ElsoBetuNagy(R118)</f>
        <v/>
      </c>
      <c r="AO118" t="str" cm="1">
        <f t="array" ref="AO118">DatumSzovegge5(AN118)</f>
        <v>1899.</v>
      </c>
      <c r="AP118" t="str" cm="1">
        <f t="array" ref="AP118">DatumSzovegge3(AN118)</f>
        <v>december</v>
      </c>
      <c r="AQ118" t="str" cm="1">
        <f t="array" ref="AQ118">DatumSzovegge4(AN118)</f>
        <v>30.</v>
      </c>
    </row>
    <row r="119" spans="4:43" x14ac:dyDescent="0.25">
      <c r="D119" t="str" cm="1">
        <f t="array" ref="D119">SzuressNev($B$1,ROW()-1)</f>
        <v/>
      </c>
      <c r="E119">
        <f>COUNTIF($D$2:D119,D119)</f>
        <v>98</v>
      </c>
      <c r="F119" t="str" cm="1">
        <f t="array" ref="F119">ElutasitasEgyOk2(D119,E119)</f>
        <v/>
      </c>
      <c r="G119" t="str">
        <f>IFERROR(INDEX(diakadat!$I$2:$I$50,MATCH(D119,diakadat!$J$2:$J$50,0),1),"")</f>
        <v/>
      </c>
      <c r="H119" t="str">
        <f>IFERROR(INDEX(diakadat!$O$2:$O$50,MATCH(D119,diakadat!$J$2:$J$50,0),1),"")</f>
        <v/>
      </c>
      <c r="I119" t="str">
        <f>IFERROR(INDEX(diakadat!#REF!,MATCH(D119,diakadat!$J$2:$J$50,0),1),"")</f>
        <v/>
      </c>
      <c r="J119" t="str">
        <f>IFERROR(INDEX(diakadat!$K$2:$K$50,MATCH(D119,diakadat!$J$2:$J$50,0),1),"")</f>
        <v/>
      </c>
      <c r="K119" t="str" cm="1">
        <f t="array" ref="K119">IFERROR(DatumSzovegge2(INDEX(diakadat!$L$2:$L$50,MATCH(D119,diakadat!$J$2:$J$50,0),1)),"")</f>
        <v/>
      </c>
      <c r="L119" t="str" cm="1">
        <f t="array" ref="L119">IFERROR(DatumSzovegge5(INDEX(diakadat!$L$2:$L$50,MATCH(D119,diakadat!$J$2:$J$50,0),1)),"")</f>
        <v/>
      </c>
      <c r="M119" t="str" cm="1">
        <f t="array" ref="M119">IFERROR(DatumSzovegge3(INDEX(diakadat!$L$2:$L$50,MATCH(D119,diakadat!$J$2:$J$50,0),1)),"")</f>
        <v/>
      </c>
      <c r="N119" t="str" cm="1">
        <f t="array" ref="N119">IFERROR(DatumSzovegge4(INDEX(diakadat!$L$2:$L$50,MATCH(D119,diakadat!$J$2:$J$50,0),1)),"")</f>
        <v/>
      </c>
      <c r="O119" t="str">
        <f>IFERROR(INDEX(diakadat!$R$2:$R$50,MATCH(D119,diakadat!$J$2:$J$50,0),1),"")</f>
        <v/>
      </c>
      <c r="P119" t="str">
        <f>IFERROR(INDEX(diakadat!$AI$2:$AI$50,MATCH(D119,diakadat!$J$2:$J$50,0),1),"")</f>
        <v/>
      </c>
      <c r="Q119" t="str">
        <f>IFERROR(INDEX('rangsor'!$C$2:$C$343,MATCH(D119,'rangsor'!$A$2:$A$343,0),1),"")</f>
        <v/>
      </c>
      <c r="T119" t="s">
        <v>831</v>
      </c>
      <c r="U119" t="str" cm="1">
        <f t="array" ref="U119">Határozat(D119)</f>
        <v/>
      </c>
      <c r="AC119" t="str">
        <f>IFERROR(INDEX(diakadat!$U$2:$U$50,MATCH(D119,diakadat!$J$2:$J$50),1),"")</f>
        <v/>
      </c>
      <c r="AD119" t="str">
        <f>IFERROR(INDEX(diakadat!$V$2:$V$50,MATCH(D119,diakadat!$J$2:$J$50),1),"")</f>
        <v/>
      </c>
      <c r="AE119" t="str">
        <f>IFERROR(INDEX(diakadat!$W$2:$W$50,MATCH(D119,diakadat!$J$2:$J$50),1),"")</f>
        <v/>
      </c>
      <c r="AF119">
        <v>2040</v>
      </c>
      <c r="AG119" t="s">
        <v>1178</v>
      </c>
      <c r="AH119" t="s">
        <v>1289</v>
      </c>
      <c r="AI119" t="str">
        <f>IFERROR(INDEX(diakadat!$X$2:$X$50,MATCH(D119,diakadat!$J$2:$J$50),1),"")</f>
        <v/>
      </c>
      <c r="AK119">
        <f t="shared" si="1"/>
        <v>329</v>
      </c>
      <c r="AL119" t="str" cm="1">
        <f t="array" ref="AL119">ElsoBetuNagy(R119)</f>
        <v/>
      </c>
      <c r="AO119" t="str" cm="1">
        <f t="array" ref="AO119">DatumSzovegge5(AN119)</f>
        <v>1899.</v>
      </c>
      <c r="AP119" t="str" cm="1">
        <f t="array" ref="AP119">DatumSzovegge3(AN119)</f>
        <v>december</v>
      </c>
      <c r="AQ119" t="str" cm="1">
        <f t="array" ref="AQ119">DatumSzovegge4(AN119)</f>
        <v>30.</v>
      </c>
    </row>
    <row r="120" spans="4:43" x14ac:dyDescent="0.25">
      <c r="D120" t="str" cm="1">
        <f t="array" ref="D120">SzuressNev($B$1,ROW()-1)</f>
        <v/>
      </c>
      <c r="E120">
        <f>COUNTIF($D$2:D120,D120)</f>
        <v>99</v>
      </c>
      <c r="F120" t="str" cm="1">
        <f t="array" ref="F120">ElutasitasEgyOk2(D120,E120)</f>
        <v/>
      </c>
      <c r="G120" t="str">
        <f>IFERROR(INDEX(diakadat!$I$2:$I$50,MATCH(D120,diakadat!$J$2:$J$50,0),1),"")</f>
        <v/>
      </c>
      <c r="H120" t="str">
        <f>IFERROR(INDEX(diakadat!$O$2:$O$50,MATCH(D120,diakadat!$J$2:$J$50,0),1),"")</f>
        <v/>
      </c>
      <c r="I120" t="str">
        <f>IFERROR(INDEX(diakadat!#REF!,MATCH(D120,diakadat!$J$2:$J$50,0),1),"")</f>
        <v/>
      </c>
      <c r="J120" t="str">
        <f>IFERROR(INDEX(diakadat!$K$2:$K$50,MATCH(D120,diakadat!$J$2:$J$50,0),1),"")</f>
        <v/>
      </c>
      <c r="K120" t="str" cm="1">
        <f t="array" ref="K120">IFERROR(DatumSzovegge2(INDEX(diakadat!$L$2:$L$50,MATCH(D120,diakadat!$J$2:$J$50,0),1)),"")</f>
        <v/>
      </c>
      <c r="L120" t="str" cm="1">
        <f t="array" ref="L120">IFERROR(DatumSzovegge5(INDEX(diakadat!$L$2:$L$50,MATCH(D120,diakadat!$J$2:$J$50,0),1)),"")</f>
        <v/>
      </c>
      <c r="M120" t="str" cm="1">
        <f t="array" ref="M120">IFERROR(DatumSzovegge3(INDEX(diakadat!$L$2:$L$50,MATCH(D120,diakadat!$J$2:$J$50,0),1)),"")</f>
        <v/>
      </c>
      <c r="N120" t="str" cm="1">
        <f t="array" ref="N120">IFERROR(DatumSzovegge4(INDEX(diakadat!$L$2:$L$50,MATCH(D120,diakadat!$J$2:$J$50,0),1)),"")</f>
        <v/>
      </c>
      <c r="O120" t="str">
        <f>IFERROR(INDEX(diakadat!$R$2:$R$50,MATCH(D120,diakadat!$J$2:$J$50,0),1),"")</f>
        <v/>
      </c>
      <c r="P120" t="str">
        <f>IFERROR(INDEX(diakadat!$AI$2:$AI$50,MATCH(D120,diakadat!$J$2:$J$50,0),1),"")</f>
        <v/>
      </c>
      <c r="Q120" t="str">
        <f>IFERROR(INDEX('rangsor'!$C$2:$C$343,MATCH(D120,'rangsor'!$A$2:$A$343,0),1),"")</f>
        <v/>
      </c>
      <c r="T120" t="s">
        <v>831</v>
      </c>
      <c r="U120" t="str" cm="1">
        <f t="array" ref="U120">Határozat(D120)</f>
        <v/>
      </c>
      <c r="AC120" t="str">
        <f>IFERROR(INDEX(diakadat!$U$2:$U$50,MATCH(D120,diakadat!$J$2:$J$50),1),"")</f>
        <v/>
      </c>
      <c r="AD120" t="str">
        <f>IFERROR(INDEX(diakadat!$V$2:$V$50,MATCH(D120,diakadat!$J$2:$J$50),1),"")</f>
        <v/>
      </c>
      <c r="AE120" t="str">
        <f>IFERROR(INDEX(diakadat!$W$2:$W$50,MATCH(D120,diakadat!$J$2:$J$50),1),"")</f>
        <v/>
      </c>
      <c r="AF120">
        <v>1195</v>
      </c>
      <c r="AG120" t="s">
        <v>912</v>
      </c>
      <c r="AH120" t="s">
        <v>1290</v>
      </c>
      <c r="AI120" t="str">
        <f>IFERROR(INDEX(diakadat!$X$2:$X$50,MATCH(D120,diakadat!$J$2:$J$50),1),"")</f>
        <v/>
      </c>
      <c r="AK120">
        <f t="shared" si="1"/>
        <v>329</v>
      </c>
      <c r="AL120" t="str" cm="1">
        <f t="array" ref="AL120">ElsoBetuNagy(R120)</f>
        <v/>
      </c>
      <c r="AO120" t="str" cm="1">
        <f t="array" ref="AO120">DatumSzovegge5(AN120)</f>
        <v>1899.</v>
      </c>
      <c r="AP120" t="str" cm="1">
        <f t="array" ref="AP120">DatumSzovegge3(AN120)</f>
        <v>december</v>
      </c>
      <c r="AQ120" t="str" cm="1">
        <f t="array" ref="AQ120">DatumSzovegge4(AN120)</f>
        <v>30.</v>
      </c>
    </row>
    <row r="121" spans="4:43" x14ac:dyDescent="0.25">
      <c r="D121" t="str" cm="1">
        <f t="array" ref="D121">SzuressNev($B$1,ROW()-1)</f>
        <v/>
      </c>
      <c r="E121">
        <f>COUNTIF($D$2:D121,D121)</f>
        <v>100</v>
      </c>
      <c r="F121" t="str" cm="1">
        <f t="array" ref="F121">ElutasitasEgyOk2(D121,E121)</f>
        <v/>
      </c>
      <c r="G121" t="str">
        <f>IFERROR(INDEX(diakadat!$I$2:$I$50,MATCH(D121,diakadat!$J$2:$J$50,0),1),"")</f>
        <v/>
      </c>
      <c r="H121" t="str">
        <f>IFERROR(INDEX(diakadat!$O$2:$O$50,MATCH(D121,diakadat!$J$2:$J$50,0),1),"")</f>
        <v/>
      </c>
      <c r="I121" t="str">
        <f>IFERROR(INDEX(diakadat!#REF!,MATCH(D121,diakadat!$J$2:$J$50,0),1),"")</f>
        <v/>
      </c>
      <c r="J121" t="str">
        <f>IFERROR(INDEX(diakadat!$K$2:$K$50,MATCH(D121,diakadat!$J$2:$J$50,0),1),"")</f>
        <v/>
      </c>
      <c r="K121" t="str" cm="1">
        <f t="array" ref="K121">IFERROR(DatumSzovegge2(INDEX(diakadat!$L$2:$L$50,MATCH(D121,diakadat!$J$2:$J$50,0),1)),"")</f>
        <v/>
      </c>
      <c r="L121" t="str" cm="1">
        <f t="array" ref="L121">IFERROR(DatumSzovegge5(INDEX(diakadat!$L$2:$L$50,MATCH(D121,diakadat!$J$2:$J$50,0),1)),"")</f>
        <v/>
      </c>
      <c r="M121" t="str" cm="1">
        <f t="array" ref="M121">IFERROR(DatumSzovegge3(INDEX(diakadat!$L$2:$L$50,MATCH(D121,diakadat!$J$2:$J$50,0),1)),"")</f>
        <v/>
      </c>
      <c r="N121" t="str" cm="1">
        <f t="array" ref="N121">IFERROR(DatumSzovegge4(INDEX(diakadat!$L$2:$L$50,MATCH(D121,diakadat!$J$2:$J$50,0),1)),"")</f>
        <v/>
      </c>
      <c r="O121" t="str">
        <f>IFERROR(INDEX(diakadat!$R$2:$R$50,MATCH(D121,diakadat!$J$2:$J$50,0),1),"")</f>
        <v/>
      </c>
      <c r="P121" t="str">
        <f>IFERROR(INDEX(diakadat!$AI$2:$AI$50,MATCH(D121,diakadat!$J$2:$J$50,0),1),"")</f>
        <v/>
      </c>
      <c r="Q121" t="str">
        <f>IFERROR(INDEX('rangsor'!$C$2:$C$343,MATCH(D121,'rangsor'!$A$2:$A$343,0),1),"")</f>
        <v/>
      </c>
      <c r="T121" t="s">
        <v>831</v>
      </c>
      <c r="U121" t="str" cm="1">
        <f t="array" ref="U121">Határozat(D121)</f>
        <v/>
      </c>
      <c r="AC121" t="str">
        <f>IFERROR(INDEX(diakadat!$U$2:$U$50,MATCH(D121,diakadat!$J$2:$J$50),1),"")</f>
        <v/>
      </c>
      <c r="AD121" t="str">
        <f>IFERROR(INDEX(diakadat!$V$2:$V$50,MATCH(D121,diakadat!$J$2:$J$50),1),"")</f>
        <v/>
      </c>
      <c r="AE121" t="str">
        <f>IFERROR(INDEX(diakadat!$W$2:$W$50,MATCH(D121,diakadat!$J$2:$J$50),1),"")</f>
        <v/>
      </c>
      <c r="AF121">
        <v>1191</v>
      </c>
      <c r="AG121" t="s">
        <v>912</v>
      </c>
      <c r="AH121" t="s">
        <v>1291</v>
      </c>
      <c r="AI121" t="str">
        <f>IFERROR(INDEX(diakadat!$X$2:$X$50,MATCH(D121,diakadat!$J$2:$J$50),1),"")</f>
        <v/>
      </c>
      <c r="AK121">
        <f t="shared" si="1"/>
        <v>329</v>
      </c>
      <c r="AL121" t="str" cm="1">
        <f t="array" ref="AL121">ElsoBetuNagy(R121)</f>
        <v/>
      </c>
      <c r="AO121" t="str" cm="1">
        <f t="array" ref="AO121">DatumSzovegge5(AN121)</f>
        <v>1899.</v>
      </c>
      <c r="AP121" t="str" cm="1">
        <f t="array" ref="AP121">DatumSzovegge3(AN121)</f>
        <v>december</v>
      </c>
      <c r="AQ121" t="str" cm="1">
        <f t="array" ref="AQ121">DatumSzovegge4(AN121)</f>
        <v>30.</v>
      </c>
    </row>
    <row r="122" spans="4:43" x14ac:dyDescent="0.25">
      <c r="D122" t="str" cm="1">
        <f t="array" ref="D122">SzuressNev($B$1,ROW()-1)</f>
        <v/>
      </c>
      <c r="E122">
        <f>COUNTIF($D$2:D122,D122)</f>
        <v>101</v>
      </c>
      <c r="F122" t="str" cm="1">
        <f t="array" ref="F122">ElutasitasEgyOk2(D122,E122)</f>
        <v/>
      </c>
      <c r="G122" t="str">
        <f>IFERROR(INDEX(diakadat!$I$2:$I$50,MATCH(D122,diakadat!$J$2:$J$50,0),1),"")</f>
        <v/>
      </c>
      <c r="H122" t="str">
        <f>IFERROR(INDEX(diakadat!$O$2:$O$50,MATCH(D122,diakadat!$J$2:$J$50,0),1),"")</f>
        <v/>
      </c>
      <c r="I122" t="str">
        <f>IFERROR(INDEX(diakadat!#REF!,MATCH(D122,diakadat!$J$2:$J$50,0),1),"")</f>
        <v/>
      </c>
      <c r="J122" t="str">
        <f>IFERROR(INDEX(diakadat!$K$2:$K$50,MATCH(D122,diakadat!$J$2:$J$50,0),1),"")</f>
        <v/>
      </c>
      <c r="K122" t="str" cm="1">
        <f t="array" ref="K122">IFERROR(DatumSzovegge2(INDEX(diakadat!$L$2:$L$50,MATCH(D122,diakadat!$J$2:$J$50,0),1)),"")</f>
        <v/>
      </c>
      <c r="L122" t="str" cm="1">
        <f t="array" ref="L122">IFERROR(DatumSzovegge5(INDEX(diakadat!$L$2:$L$50,MATCH(D122,diakadat!$J$2:$J$50,0),1)),"")</f>
        <v/>
      </c>
      <c r="M122" t="str" cm="1">
        <f t="array" ref="M122">IFERROR(DatumSzovegge3(INDEX(diakadat!$L$2:$L$50,MATCH(D122,diakadat!$J$2:$J$50,0),1)),"")</f>
        <v/>
      </c>
      <c r="N122" t="str" cm="1">
        <f t="array" ref="N122">IFERROR(DatumSzovegge4(INDEX(diakadat!$L$2:$L$50,MATCH(D122,diakadat!$J$2:$J$50,0),1)),"")</f>
        <v/>
      </c>
      <c r="O122" t="str">
        <f>IFERROR(INDEX(diakadat!$R$2:$R$50,MATCH(D122,diakadat!$J$2:$J$50,0),1),"")</f>
        <v/>
      </c>
      <c r="P122" t="str">
        <f>IFERROR(INDEX(diakadat!$AI$2:$AI$50,MATCH(D122,diakadat!$J$2:$J$50,0),1),"")</f>
        <v/>
      </c>
      <c r="Q122" t="str">
        <f>IFERROR(INDEX('rangsor'!$C$2:$C$343,MATCH(D122,'rangsor'!$A$2:$A$343,0),1),"")</f>
        <v/>
      </c>
      <c r="T122" t="s">
        <v>831</v>
      </c>
      <c r="U122" t="str" cm="1">
        <f t="array" ref="U122">Határozat(D122)</f>
        <v/>
      </c>
      <c r="AC122" t="str">
        <f>IFERROR(INDEX(diakadat!$U$2:$U$50,MATCH(D122,diakadat!$J$2:$J$50),1),"")</f>
        <v/>
      </c>
      <c r="AD122" t="str">
        <f>IFERROR(INDEX(diakadat!$V$2:$V$50,MATCH(D122,diakadat!$J$2:$J$50),1),"")</f>
        <v/>
      </c>
      <c r="AE122" t="str">
        <f>IFERROR(INDEX(diakadat!$W$2:$W$50,MATCH(D122,diakadat!$J$2:$J$50),1),"")</f>
        <v/>
      </c>
      <c r="AF122">
        <v>1192</v>
      </c>
      <c r="AG122" t="s">
        <v>912</v>
      </c>
      <c r="AH122" t="s">
        <v>1292</v>
      </c>
      <c r="AI122" t="str">
        <f>IFERROR(INDEX(diakadat!$X$2:$X$50,MATCH(D122,diakadat!$J$2:$J$50),1),"")</f>
        <v/>
      </c>
      <c r="AK122">
        <f t="shared" si="1"/>
        <v>329</v>
      </c>
      <c r="AL122" t="str" cm="1">
        <f t="array" ref="AL122">ElsoBetuNagy(R122)</f>
        <v/>
      </c>
      <c r="AO122" t="str" cm="1">
        <f t="array" ref="AO122">DatumSzovegge5(AN122)</f>
        <v>1899.</v>
      </c>
      <c r="AP122" t="str" cm="1">
        <f t="array" ref="AP122">DatumSzovegge3(AN122)</f>
        <v>december</v>
      </c>
      <c r="AQ122" t="str" cm="1">
        <f t="array" ref="AQ122">DatumSzovegge4(AN122)</f>
        <v>30.</v>
      </c>
    </row>
    <row r="123" spans="4:43" x14ac:dyDescent="0.25">
      <c r="D123" t="str" cm="1">
        <f t="array" ref="D123">SzuressNev($B$1,ROW()-1)</f>
        <v/>
      </c>
      <c r="E123">
        <f>COUNTIF($D$2:D123,D123)</f>
        <v>102</v>
      </c>
      <c r="F123" t="str" cm="1">
        <f t="array" ref="F123">ElutasitasEgyOk2(D123,E123)</f>
        <v/>
      </c>
      <c r="G123" t="str">
        <f>IFERROR(INDEX(diakadat!$I$2:$I$50,MATCH(D123,diakadat!$J$2:$J$50,0),1),"")</f>
        <v/>
      </c>
      <c r="H123" t="str">
        <f>IFERROR(INDEX(diakadat!$O$2:$O$50,MATCH(D123,diakadat!$J$2:$J$50,0),1),"")</f>
        <v/>
      </c>
      <c r="I123" t="str">
        <f>IFERROR(INDEX(diakadat!#REF!,MATCH(D123,diakadat!$J$2:$J$50,0),1),"")</f>
        <v/>
      </c>
      <c r="J123" t="str">
        <f>IFERROR(INDEX(diakadat!$K$2:$K$50,MATCH(D123,diakadat!$J$2:$J$50,0),1),"")</f>
        <v/>
      </c>
      <c r="K123" t="str" cm="1">
        <f t="array" ref="K123">IFERROR(DatumSzovegge2(INDEX(diakadat!$L$2:$L$50,MATCH(D123,diakadat!$J$2:$J$50,0),1)),"")</f>
        <v/>
      </c>
      <c r="L123" t="str" cm="1">
        <f t="array" ref="L123">IFERROR(DatumSzovegge5(INDEX(diakadat!$L$2:$L$50,MATCH(D123,diakadat!$J$2:$J$50,0),1)),"")</f>
        <v/>
      </c>
      <c r="M123" t="str" cm="1">
        <f t="array" ref="M123">IFERROR(DatumSzovegge3(INDEX(diakadat!$L$2:$L$50,MATCH(D123,diakadat!$J$2:$J$50,0),1)),"")</f>
        <v/>
      </c>
      <c r="N123" t="str" cm="1">
        <f t="array" ref="N123">IFERROR(DatumSzovegge4(INDEX(diakadat!$L$2:$L$50,MATCH(D123,diakadat!$J$2:$J$50,0),1)),"")</f>
        <v/>
      </c>
      <c r="O123" t="str">
        <f>IFERROR(INDEX(diakadat!$R$2:$R$50,MATCH(D123,diakadat!$J$2:$J$50,0),1),"")</f>
        <v/>
      </c>
      <c r="P123" t="str">
        <f>IFERROR(INDEX(diakadat!$AI$2:$AI$50,MATCH(D123,diakadat!$J$2:$J$50,0),1),"")</f>
        <v/>
      </c>
      <c r="Q123" t="str">
        <f>IFERROR(INDEX('rangsor'!$C$2:$C$343,MATCH(D123,'rangsor'!$A$2:$A$343,0),1),"")</f>
        <v/>
      </c>
      <c r="T123" t="s">
        <v>831</v>
      </c>
      <c r="U123" t="str" cm="1">
        <f t="array" ref="U123">Határozat(D123)</f>
        <v/>
      </c>
      <c r="AC123" t="str">
        <f>IFERROR(INDEX(diakadat!$U$2:$U$50,MATCH(D123,diakadat!$J$2:$J$50),1),"")</f>
        <v/>
      </c>
      <c r="AD123" t="str">
        <f>IFERROR(INDEX(diakadat!$V$2:$V$50,MATCH(D123,diakadat!$J$2:$J$50),1),"")</f>
        <v/>
      </c>
      <c r="AE123" t="str">
        <f>IFERROR(INDEX(diakadat!$W$2:$W$50,MATCH(D123,diakadat!$J$2:$J$50),1),"")</f>
        <v/>
      </c>
      <c r="AF123">
        <v>1192</v>
      </c>
      <c r="AG123" t="s">
        <v>912</v>
      </c>
      <c r="AH123" t="s">
        <v>1293</v>
      </c>
      <c r="AI123" t="str">
        <f>IFERROR(INDEX(diakadat!$X$2:$X$50,MATCH(D123,diakadat!$J$2:$J$50),1),"")</f>
        <v/>
      </c>
      <c r="AK123">
        <f t="shared" si="1"/>
        <v>329</v>
      </c>
      <c r="AL123" t="str" cm="1">
        <f t="array" ref="AL123">ElsoBetuNagy(R123)</f>
        <v/>
      </c>
      <c r="AO123" t="str" cm="1">
        <f t="array" ref="AO123">DatumSzovegge5(AN123)</f>
        <v>1899.</v>
      </c>
      <c r="AP123" t="str" cm="1">
        <f t="array" ref="AP123">DatumSzovegge3(AN123)</f>
        <v>december</v>
      </c>
      <c r="AQ123" t="str" cm="1">
        <f t="array" ref="AQ123">DatumSzovegge4(AN123)</f>
        <v>30.</v>
      </c>
    </row>
    <row r="124" spans="4:43" x14ac:dyDescent="0.25">
      <c r="D124" t="str" cm="1">
        <f t="array" ref="D124">SzuressNev($B$1,ROW()-1)</f>
        <v/>
      </c>
      <c r="E124">
        <f>COUNTIF($D$2:D124,D124)</f>
        <v>103</v>
      </c>
      <c r="F124" t="str" cm="1">
        <f t="array" ref="F124">ElutasitasEgyOk2(D124,E124)</f>
        <v/>
      </c>
      <c r="G124" t="str">
        <f>IFERROR(INDEX(diakadat!$I$2:$I$50,MATCH(D124,diakadat!$J$2:$J$50,0),1),"")</f>
        <v/>
      </c>
      <c r="H124" t="str">
        <f>IFERROR(INDEX(diakadat!$O$2:$O$50,MATCH(D124,diakadat!$J$2:$J$50,0),1),"")</f>
        <v/>
      </c>
      <c r="I124" t="str">
        <f>IFERROR(INDEX(diakadat!#REF!,MATCH(D124,diakadat!$J$2:$J$50,0),1),"")</f>
        <v/>
      </c>
      <c r="J124" t="str">
        <f>IFERROR(INDEX(diakadat!$K$2:$K$50,MATCH(D124,diakadat!$J$2:$J$50,0),1),"")</f>
        <v/>
      </c>
      <c r="K124" t="str" cm="1">
        <f t="array" ref="K124">IFERROR(DatumSzovegge2(INDEX(diakadat!$L$2:$L$50,MATCH(D124,diakadat!$J$2:$J$50,0),1)),"")</f>
        <v/>
      </c>
      <c r="L124" t="str" cm="1">
        <f t="array" ref="L124">IFERROR(DatumSzovegge5(INDEX(diakadat!$L$2:$L$50,MATCH(D124,diakadat!$J$2:$J$50,0),1)),"")</f>
        <v/>
      </c>
      <c r="M124" t="str" cm="1">
        <f t="array" ref="M124">IFERROR(DatumSzovegge3(INDEX(diakadat!$L$2:$L$50,MATCH(D124,diakadat!$J$2:$J$50,0),1)),"")</f>
        <v/>
      </c>
      <c r="N124" t="str" cm="1">
        <f t="array" ref="N124">IFERROR(DatumSzovegge4(INDEX(diakadat!$L$2:$L$50,MATCH(D124,diakadat!$J$2:$J$50,0),1)),"")</f>
        <v/>
      </c>
      <c r="O124" t="str">
        <f>IFERROR(INDEX(diakadat!$R$2:$R$50,MATCH(D124,diakadat!$J$2:$J$50,0),1),"")</f>
        <v/>
      </c>
      <c r="P124" t="str">
        <f>IFERROR(INDEX(diakadat!$AI$2:$AI$50,MATCH(D124,diakadat!$J$2:$J$50,0),1),"")</f>
        <v/>
      </c>
      <c r="Q124" t="str">
        <f>IFERROR(INDEX('rangsor'!$C$2:$C$343,MATCH(D124,'rangsor'!$A$2:$A$343,0),1),"")</f>
        <v/>
      </c>
      <c r="T124" t="s">
        <v>831</v>
      </c>
      <c r="U124" t="str" cm="1">
        <f t="array" ref="U124">Határozat(D124)</f>
        <v/>
      </c>
      <c r="AC124" t="str">
        <f>IFERROR(INDEX(diakadat!$U$2:$U$50,MATCH(D124,diakadat!$J$2:$J$50),1),"")</f>
        <v/>
      </c>
      <c r="AD124" t="str">
        <f>IFERROR(INDEX(diakadat!$V$2:$V$50,MATCH(D124,diakadat!$J$2:$J$50),1),"")</f>
        <v/>
      </c>
      <c r="AE124" t="str">
        <f>IFERROR(INDEX(diakadat!$W$2:$W$50,MATCH(D124,diakadat!$J$2:$J$50),1),"")</f>
        <v/>
      </c>
      <c r="AF124">
        <v>1192</v>
      </c>
      <c r="AG124" t="s">
        <v>1164</v>
      </c>
      <c r="AH124" t="s">
        <v>1294</v>
      </c>
      <c r="AI124" t="str">
        <f>IFERROR(INDEX(diakadat!$X$2:$X$50,MATCH(D124,diakadat!$J$2:$J$50),1),"")</f>
        <v/>
      </c>
      <c r="AK124">
        <f t="shared" si="1"/>
        <v>329</v>
      </c>
      <c r="AL124" t="str" cm="1">
        <f t="array" ref="AL124">ElsoBetuNagy(R124)</f>
        <v/>
      </c>
      <c r="AO124" t="str" cm="1">
        <f t="array" ref="AO124">DatumSzovegge5(AN124)</f>
        <v>1899.</v>
      </c>
      <c r="AP124" t="str" cm="1">
        <f t="array" ref="AP124">DatumSzovegge3(AN124)</f>
        <v>december</v>
      </c>
      <c r="AQ124" t="str" cm="1">
        <f t="array" ref="AQ124">DatumSzovegge4(AN124)</f>
        <v>30.</v>
      </c>
    </row>
    <row r="125" spans="4:43" x14ac:dyDescent="0.25">
      <c r="D125" t="str" cm="1">
        <f t="array" ref="D125">SzuressNev($B$1,ROW()-1)</f>
        <v/>
      </c>
      <c r="E125">
        <f>COUNTIF($D$2:D125,D125)</f>
        <v>104</v>
      </c>
      <c r="F125" t="str" cm="1">
        <f t="array" ref="F125">ElutasitasEgyOk2(D125,E125)</f>
        <v/>
      </c>
      <c r="G125" t="str">
        <f>IFERROR(INDEX(diakadat!$I$2:$I$50,MATCH(D125,diakadat!$J$2:$J$50,0),1),"")</f>
        <v/>
      </c>
      <c r="H125" t="str">
        <f>IFERROR(INDEX(diakadat!$O$2:$O$50,MATCH(D125,diakadat!$J$2:$J$50,0),1),"")</f>
        <v/>
      </c>
      <c r="I125" t="str">
        <f>IFERROR(INDEX(diakadat!#REF!,MATCH(D125,diakadat!$J$2:$J$50,0),1),"")</f>
        <v/>
      </c>
      <c r="J125" t="str">
        <f>IFERROR(INDEX(diakadat!$K$2:$K$50,MATCH(D125,diakadat!$J$2:$J$50,0),1),"")</f>
        <v/>
      </c>
      <c r="K125" t="str" cm="1">
        <f t="array" ref="K125">IFERROR(DatumSzovegge2(INDEX(diakadat!$L$2:$L$50,MATCH(D125,diakadat!$J$2:$J$50,0),1)),"")</f>
        <v/>
      </c>
      <c r="L125" t="str" cm="1">
        <f t="array" ref="L125">IFERROR(DatumSzovegge5(INDEX(diakadat!$L$2:$L$50,MATCH(D125,diakadat!$J$2:$J$50,0),1)),"")</f>
        <v/>
      </c>
      <c r="M125" t="str" cm="1">
        <f t="array" ref="M125">IFERROR(DatumSzovegge3(INDEX(diakadat!$L$2:$L$50,MATCH(D125,diakadat!$J$2:$J$50,0),1)),"")</f>
        <v/>
      </c>
      <c r="N125" t="str" cm="1">
        <f t="array" ref="N125">IFERROR(DatumSzovegge4(INDEX(diakadat!$L$2:$L$50,MATCH(D125,diakadat!$J$2:$J$50,0),1)),"")</f>
        <v/>
      </c>
      <c r="O125" t="str">
        <f>IFERROR(INDEX(diakadat!$R$2:$R$50,MATCH(D125,diakadat!$J$2:$J$50,0),1),"")</f>
        <v/>
      </c>
      <c r="P125" t="str">
        <f>IFERROR(INDEX(diakadat!$AI$2:$AI$50,MATCH(D125,diakadat!$J$2:$J$50,0),1),"")</f>
        <v/>
      </c>
      <c r="Q125" t="str">
        <f>IFERROR(INDEX('rangsor'!$C$2:$C$343,MATCH(D125,'rangsor'!$A$2:$A$343,0),1),"")</f>
        <v/>
      </c>
      <c r="T125" t="s">
        <v>831</v>
      </c>
      <c r="U125" t="str" cm="1">
        <f t="array" ref="U125">Határozat(D125)</f>
        <v/>
      </c>
      <c r="AC125" t="str">
        <f>IFERROR(INDEX(diakadat!$U$2:$U$50,MATCH(D125,diakadat!$J$2:$J$50),1),"")</f>
        <v/>
      </c>
      <c r="AD125" t="str">
        <f>IFERROR(INDEX(diakadat!$V$2:$V$50,MATCH(D125,diakadat!$J$2:$J$50),1),"")</f>
        <v/>
      </c>
      <c r="AE125" t="str">
        <f>IFERROR(INDEX(diakadat!$W$2:$W$50,MATCH(D125,diakadat!$J$2:$J$50),1),"")</f>
        <v/>
      </c>
      <c r="AF125">
        <v>1193</v>
      </c>
      <c r="AG125" t="s">
        <v>912</v>
      </c>
      <c r="AH125" t="s">
        <v>1295</v>
      </c>
      <c r="AI125" t="str">
        <f>IFERROR(INDEX(diakadat!$X$2:$X$50,MATCH(D125,diakadat!$J$2:$J$50),1),"")</f>
        <v/>
      </c>
      <c r="AK125">
        <f t="shared" si="1"/>
        <v>329</v>
      </c>
      <c r="AL125" t="str" cm="1">
        <f t="array" ref="AL125">ElsoBetuNagy(R125)</f>
        <v/>
      </c>
      <c r="AO125" t="str" cm="1">
        <f t="array" ref="AO125">DatumSzovegge5(AN125)</f>
        <v>1899.</v>
      </c>
      <c r="AP125" t="str" cm="1">
        <f t="array" ref="AP125">DatumSzovegge3(AN125)</f>
        <v>december</v>
      </c>
      <c r="AQ125" t="str" cm="1">
        <f t="array" ref="AQ125">DatumSzovegge4(AN125)</f>
        <v>30.</v>
      </c>
    </row>
    <row r="126" spans="4:43" x14ac:dyDescent="0.25">
      <c r="D126" t="str" cm="1">
        <f t="array" ref="D126">SzuressNev($B$1,ROW()-1)</f>
        <v/>
      </c>
      <c r="E126">
        <f>COUNTIF($D$2:D126,D126)</f>
        <v>105</v>
      </c>
      <c r="F126" t="str" cm="1">
        <f t="array" ref="F126">ElutasitasEgyOk2(D126,E126)</f>
        <v/>
      </c>
      <c r="G126" t="str">
        <f>IFERROR(INDEX(diakadat!$I$2:$I$50,MATCH(D126,diakadat!$J$2:$J$50,0),1),"")</f>
        <v/>
      </c>
      <c r="H126" t="str">
        <f>IFERROR(INDEX(diakadat!$O$2:$O$50,MATCH(D126,diakadat!$J$2:$J$50,0),1),"")</f>
        <v/>
      </c>
      <c r="I126" t="str">
        <f>IFERROR(INDEX(diakadat!#REF!,MATCH(D126,diakadat!$J$2:$J$50,0),1),"")</f>
        <v/>
      </c>
      <c r="J126" t="str">
        <f>IFERROR(INDEX(diakadat!$K$2:$K$50,MATCH(D126,diakadat!$J$2:$J$50,0),1),"")</f>
        <v/>
      </c>
      <c r="K126" t="str" cm="1">
        <f t="array" ref="K126">IFERROR(DatumSzovegge2(INDEX(diakadat!$L$2:$L$50,MATCH(D126,diakadat!$J$2:$J$50,0),1)),"")</f>
        <v/>
      </c>
      <c r="L126" t="str" cm="1">
        <f t="array" ref="L126">IFERROR(DatumSzovegge5(INDEX(diakadat!$L$2:$L$50,MATCH(D126,diakadat!$J$2:$J$50,0),1)),"")</f>
        <v/>
      </c>
      <c r="M126" t="str" cm="1">
        <f t="array" ref="M126">IFERROR(DatumSzovegge3(INDEX(diakadat!$L$2:$L$50,MATCH(D126,diakadat!$J$2:$J$50,0),1)),"")</f>
        <v/>
      </c>
      <c r="N126" t="str" cm="1">
        <f t="array" ref="N126">IFERROR(DatumSzovegge4(INDEX(diakadat!$L$2:$L$50,MATCH(D126,diakadat!$J$2:$J$50,0),1)),"")</f>
        <v/>
      </c>
      <c r="O126" t="str">
        <f>IFERROR(INDEX(diakadat!$R$2:$R$50,MATCH(D126,diakadat!$J$2:$J$50,0),1),"")</f>
        <v/>
      </c>
      <c r="P126" t="str">
        <f>IFERROR(INDEX(diakadat!$AI$2:$AI$50,MATCH(D126,diakadat!$J$2:$J$50,0),1),"")</f>
        <v/>
      </c>
      <c r="Q126" t="str">
        <f>IFERROR(INDEX('rangsor'!$C$2:$C$343,MATCH(D126,'rangsor'!$A$2:$A$343,0),1),"")</f>
        <v/>
      </c>
      <c r="T126" t="s">
        <v>831</v>
      </c>
      <c r="U126" t="str" cm="1">
        <f t="array" ref="U126">Határozat(D126)</f>
        <v/>
      </c>
      <c r="AC126" t="str">
        <f>IFERROR(INDEX(diakadat!$U$2:$U$50,MATCH(D126,diakadat!$J$2:$J$50),1),"")</f>
        <v/>
      </c>
      <c r="AD126" t="str">
        <f>IFERROR(INDEX(diakadat!$V$2:$V$50,MATCH(D126,diakadat!$J$2:$J$50),1),"")</f>
        <v/>
      </c>
      <c r="AE126" t="str">
        <f>IFERROR(INDEX(diakadat!$W$2:$W$50,MATCH(D126,diakadat!$J$2:$J$50),1),"")</f>
        <v/>
      </c>
      <c r="AF126">
        <v>1028</v>
      </c>
      <c r="AG126" t="s">
        <v>912</v>
      </c>
      <c r="AH126" t="s">
        <v>1296</v>
      </c>
      <c r="AI126" t="str">
        <f>IFERROR(INDEX(diakadat!$X$2:$X$50,MATCH(D126,diakadat!$J$2:$J$50),1),"")</f>
        <v/>
      </c>
      <c r="AK126">
        <f t="shared" si="1"/>
        <v>329</v>
      </c>
      <c r="AL126" t="str" cm="1">
        <f t="array" ref="AL126">ElsoBetuNagy(R126)</f>
        <v/>
      </c>
      <c r="AO126" t="str" cm="1">
        <f t="array" ref="AO126">DatumSzovegge5(AN126)</f>
        <v>1899.</v>
      </c>
      <c r="AP126" t="str" cm="1">
        <f t="array" ref="AP126">DatumSzovegge3(AN126)</f>
        <v>december</v>
      </c>
      <c r="AQ126" t="str" cm="1">
        <f t="array" ref="AQ126">DatumSzovegge4(AN126)</f>
        <v>30.</v>
      </c>
    </row>
    <row r="127" spans="4:43" x14ac:dyDescent="0.25">
      <c r="D127" t="str" cm="1">
        <f t="array" ref="D127">SzuressNev($B$1,ROW()-1)</f>
        <v/>
      </c>
      <c r="E127">
        <f>COUNTIF($D$2:D127,D127)</f>
        <v>106</v>
      </c>
      <c r="F127" t="str" cm="1">
        <f t="array" ref="F127">ElutasitasEgyOk2(D127,E127)</f>
        <v/>
      </c>
      <c r="G127" t="str">
        <f>IFERROR(INDEX(diakadat!$I$2:$I$50,MATCH(D127,diakadat!$J$2:$J$50,0),1),"")</f>
        <v/>
      </c>
      <c r="H127" t="str">
        <f>IFERROR(INDEX(diakadat!$O$2:$O$50,MATCH(D127,diakadat!$J$2:$J$50,0),1),"")</f>
        <v/>
      </c>
      <c r="I127" t="str">
        <f>IFERROR(INDEX(diakadat!#REF!,MATCH(D127,diakadat!$J$2:$J$50,0),1),"")</f>
        <v/>
      </c>
      <c r="J127" t="str">
        <f>IFERROR(INDEX(diakadat!$K$2:$K$50,MATCH(D127,diakadat!$J$2:$J$50,0),1),"")</f>
        <v/>
      </c>
      <c r="K127" t="str" cm="1">
        <f t="array" ref="K127">IFERROR(DatumSzovegge2(INDEX(diakadat!$L$2:$L$50,MATCH(D127,diakadat!$J$2:$J$50,0),1)),"")</f>
        <v/>
      </c>
      <c r="L127" t="str" cm="1">
        <f t="array" ref="L127">IFERROR(DatumSzovegge5(INDEX(diakadat!$L$2:$L$50,MATCH(D127,diakadat!$J$2:$J$50,0),1)),"")</f>
        <v/>
      </c>
      <c r="M127" t="str" cm="1">
        <f t="array" ref="M127">IFERROR(DatumSzovegge3(INDEX(diakadat!$L$2:$L$50,MATCH(D127,diakadat!$J$2:$J$50,0),1)),"")</f>
        <v/>
      </c>
      <c r="N127" t="str" cm="1">
        <f t="array" ref="N127">IFERROR(DatumSzovegge4(INDEX(diakadat!$L$2:$L$50,MATCH(D127,diakadat!$J$2:$J$50,0),1)),"")</f>
        <v/>
      </c>
      <c r="O127" t="str">
        <f>IFERROR(INDEX(diakadat!$R$2:$R$50,MATCH(D127,diakadat!$J$2:$J$50,0),1),"")</f>
        <v/>
      </c>
      <c r="P127" t="str">
        <f>IFERROR(INDEX(diakadat!$AI$2:$AI$50,MATCH(D127,diakadat!$J$2:$J$50,0),1),"")</f>
        <v/>
      </c>
      <c r="Q127" t="str">
        <f>IFERROR(INDEX('rangsor'!$C$2:$C$343,MATCH(D127,'rangsor'!$A$2:$A$343,0),1),"")</f>
        <v/>
      </c>
      <c r="T127" t="s">
        <v>831</v>
      </c>
      <c r="U127" t="str" cm="1">
        <f t="array" ref="U127">Határozat(D127)</f>
        <v/>
      </c>
      <c r="AC127" t="str">
        <f>IFERROR(INDEX(diakadat!$U$2:$U$50,MATCH(D127,diakadat!$J$2:$J$50),1),"")</f>
        <v/>
      </c>
      <c r="AD127" t="str">
        <f>IFERROR(INDEX(diakadat!$V$2:$V$50,MATCH(D127,diakadat!$J$2:$J$50),1),"")</f>
        <v/>
      </c>
      <c r="AE127" t="str">
        <f>IFERROR(INDEX(diakadat!$W$2:$W$50,MATCH(D127,diakadat!$J$2:$J$50),1),"")</f>
        <v/>
      </c>
      <c r="AF127">
        <v>1022</v>
      </c>
      <c r="AG127" t="s">
        <v>912</v>
      </c>
      <c r="AH127" t="s">
        <v>1297</v>
      </c>
      <c r="AI127" t="str">
        <f>IFERROR(INDEX(diakadat!$X$2:$X$50,MATCH(D127,diakadat!$J$2:$J$50),1),"")</f>
        <v/>
      </c>
      <c r="AK127">
        <f t="shared" si="1"/>
        <v>329</v>
      </c>
      <c r="AL127" t="str" cm="1">
        <f t="array" ref="AL127">ElsoBetuNagy(R127)</f>
        <v/>
      </c>
      <c r="AO127" t="str" cm="1">
        <f t="array" ref="AO127">DatumSzovegge5(AN127)</f>
        <v>1899.</v>
      </c>
      <c r="AP127" t="str" cm="1">
        <f t="array" ref="AP127">DatumSzovegge3(AN127)</f>
        <v>december</v>
      </c>
      <c r="AQ127" t="str" cm="1">
        <f t="array" ref="AQ127">DatumSzovegge4(AN127)</f>
        <v>30.</v>
      </c>
    </row>
    <row r="128" spans="4:43" x14ac:dyDescent="0.25">
      <c r="D128" t="str" cm="1">
        <f t="array" ref="D128">SzuressNev($B$1,ROW()-1)</f>
        <v/>
      </c>
      <c r="E128">
        <f>COUNTIF($D$2:D128,D128)</f>
        <v>107</v>
      </c>
      <c r="F128" t="str" cm="1">
        <f t="array" ref="F128">ElutasitasEgyOk2(D128,E128)</f>
        <v/>
      </c>
      <c r="G128" t="str">
        <f>IFERROR(INDEX(diakadat!$I$2:$I$50,MATCH(D128,diakadat!$J$2:$J$50,0),1),"")</f>
        <v/>
      </c>
      <c r="H128" t="str">
        <f>IFERROR(INDEX(diakadat!$O$2:$O$50,MATCH(D128,diakadat!$J$2:$J$50,0),1),"")</f>
        <v/>
      </c>
      <c r="I128" t="str">
        <f>IFERROR(INDEX(diakadat!#REF!,MATCH(D128,diakadat!$J$2:$J$50,0),1),"")</f>
        <v/>
      </c>
      <c r="J128" t="str">
        <f>IFERROR(INDEX(diakadat!$K$2:$K$50,MATCH(D128,diakadat!$J$2:$J$50,0),1),"")</f>
        <v/>
      </c>
      <c r="K128" t="str" cm="1">
        <f t="array" ref="K128">IFERROR(DatumSzovegge2(INDEX(diakadat!$L$2:$L$50,MATCH(D128,diakadat!$J$2:$J$50,0),1)),"")</f>
        <v/>
      </c>
      <c r="L128" t="str" cm="1">
        <f t="array" ref="L128">IFERROR(DatumSzovegge5(INDEX(diakadat!$L$2:$L$50,MATCH(D128,diakadat!$J$2:$J$50,0),1)),"")</f>
        <v/>
      </c>
      <c r="M128" t="str" cm="1">
        <f t="array" ref="M128">IFERROR(DatumSzovegge3(INDEX(diakadat!$L$2:$L$50,MATCH(D128,diakadat!$J$2:$J$50,0),1)),"")</f>
        <v/>
      </c>
      <c r="N128" t="str" cm="1">
        <f t="array" ref="N128">IFERROR(DatumSzovegge4(INDEX(diakadat!$L$2:$L$50,MATCH(D128,diakadat!$J$2:$J$50,0),1)),"")</f>
        <v/>
      </c>
      <c r="O128" t="str">
        <f>IFERROR(INDEX(diakadat!$R$2:$R$50,MATCH(D128,diakadat!$J$2:$J$50,0),1),"")</f>
        <v/>
      </c>
      <c r="P128" t="str">
        <f>IFERROR(INDEX(diakadat!$AI$2:$AI$50,MATCH(D128,diakadat!$J$2:$J$50,0),1),"")</f>
        <v/>
      </c>
      <c r="Q128" t="str">
        <f>IFERROR(INDEX('rangsor'!$C$2:$C$343,MATCH(D128,'rangsor'!$A$2:$A$343,0),1),"")</f>
        <v/>
      </c>
      <c r="T128" t="s">
        <v>831</v>
      </c>
      <c r="U128" t="str" cm="1">
        <f t="array" ref="U128">Határozat(D128)</f>
        <v/>
      </c>
      <c r="AC128" t="str">
        <f>IFERROR(INDEX(diakadat!$U$2:$U$50,MATCH(D128,diakadat!$J$2:$J$50),1),"")</f>
        <v/>
      </c>
      <c r="AD128" t="str">
        <f>IFERROR(INDEX(diakadat!$V$2:$V$50,MATCH(D128,diakadat!$J$2:$J$50),1),"")</f>
        <v/>
      </c>
      <c r="AE128" t="str">
        <f>IFERROR(INDEX(diakadat!$W$2:$W$50,MATCH(D128,diakadat!$J$2:$J$50),1),"")</f>
        <v/>
      </c>
      <c r="AF128">
        <v>1015</v>
      </c>
      <c r="AG128" t="s">
        <v>912</v>
      </c>
      <c r="AH128" t="s">
        <v>1298</v>
      </c>
      <c r="AI128" t="str">
        <f>IFERROR(INDEX(diakadat!$X$2:$X$50,MATCH(D128,diakadat!$J$2:$J$50),1),"")</f>
        <v/>
      </c>
      <c r="AK128">
        <f t="shared" si="1"/>
        <v>329</v>
      </c>
      <c r="AL128" t="str" cm="1">
        <f t="array" ref="AL128">ElsoBetuNagy(R128)</f>
        <v/>
      </c>
      <c r="AO128" t="str" cm="1">
        <f t="array" ref="AO128">DatumSzovegge5(AN128)</f>
        <v>1899.</v>
      </c>
      <c r="AP128" t="str" cm="1">
        <f t="array" ref="AP128">DatumSzovegge3(AN128)</f>
        <v>december</v>
      </c>
      <c r="AQ128" t="str" cm="1">
        <f t="array" ref="AQ128">DatumSzovegge4(AN128)</f>
        <v>30.</v>
      </c>
    </row>
    <row r="129" spans="4:43" x14ac:dyDescent="0.25">
      <c r="D129" t="str" cm="1">
        <f t="array" ref="D129">SzuressNev($B$1,ROW()-1)</f>
        <v/>
      </c>
      <c r="E129">
        <f>COUNTIF($D$2:D129,D129)</f>
        <v>108</v>
      </c>
      <c r="F129" t="str" cm="1">
        <f t="array" ref="F129">ElutasitasEgyOk2(D129,E129)</f>
        <v/>
      </c>
      <c r="G129" t="str">
        <f>IFERROR(INDEX(diakadat!$I$2:$I$50,MATCH(D129,diakadat!$J$2:$J$50,0),1),"")</f>
        <v/>
      </c>
      <c r="H129" t="str">
        <f>IFERROR(INDEX(diakadat!$O$2:$O$50,MATCH(D129,diakadat!$J$2:$J$50,0),1),"")</f>
        <v/>
      </c>
      <c r="I129" t="str">
        <f>IFERROR(INDEX(diakadat!#REF!,MATCH(D129,diakadat!$J$2:$J$50,0),1),"")</f>
        <v/>
      </c>
      <c r="J129" t="str">
        <f>IFERROR(INDEX(diakadat!$K$2:$K$50,MATCH(D129,diakadat!$J$2:$J$50,0),1),"")</f>
        <v/>
      </c>
      <c r="K129" t="str" cm="1">
        <f t="array" ref="K129">IFERROR(DatumSzovegge2(INDEX(diakadat!$L$2:$L$50,MATCH(D129,diakadat!$J$2:$J$50,0),1)),"")</f>
        <v/>
      </c>
      <c r="L129" t="str" cm="1">
        <f t="array" ref="L129">IFERROR(DatumSzovegge5(INDEX(diakadat!$L$2:$L$50,MATCH(D129,diakadat!$J$2:$J$50,0),1)),"")</f>
        <v/>
      </c>
      <c r="M129" t="str" cm="1">
        <f t="array" ref="M129">IFERROR(DatumSzovegge3(INDEX(diakadat!$L$2:$L$50,MATCH(D129,diakadat!$J$2:$J$50,0),1)),"")</f>
        <v/>
      </c>
      <c r="N129" t="str" cm="1">
        <f t="array" ref="N129">IFERROR(DatumSzovegge4(INDEX(diakadat!$L$2:$L$50,MATCH(D129,diakadat!$J$2:$J$50,0),1)),"")</f>
        <v/>
      </c>
      <c r="O129" t="str">
        <f>IFERROR(INDEX(diakadat!$R$2:$R$50,MATCH(D129,diakadat!$J$2:$J$50,0),1),"")</f>
        <v/>
      </c>
      <c r="P129" t="str">
        <f>IFERROR(INDEX(diakadat!$AI$2:$AI$50,MATCH(D129,diakadat!$J$2:$J$50,0),1),"")</f>
        <v/>
      </c>
      <c r="Q129" t="str">
        <f>IFERROR(INDEX('rangsor'!$C$2:$C$343,MATCH(D129,'rangsor'!$A$2:$A$343,0),1),"")</f>
        <v/>
      </c>
      <c r="T129" t="s">
        <v>831</v>
      </c>
      <c r="U129" t="str" cm="1">
        <f t="array" ref="U129">Határozat(D129)</f>
        <v/>
      </c>
      <c r="AC129" t="str">
        <f>IFERROR(INDEX(diakadat!$U$2:$U$50,MATCH(D129,diakadat!$J$2:$J$50),1),"")</f>
        <v/>
      </c>
      <c r="AD129" t="str">
        <f>IFERROR(INDEX(diakadat!$V$2:$V$50,MATCH(D129,diakadat!$J$2:$J$50),1),"")</f>
        <v/>
      </c>
      <c r="AE129" t="str">
        <f>IFERROR(INDEX(diakadat!$W$2:$W$50,MATCH(D129,diakadat!$J$2:$J$50),1),"")</f>
        <v/>
      </c>
      <c r="AF129">
        <v>1221</v>
      </c>
      <c r="AG129" t="s">
        <v>912</v>
      </c>
      <c r="AH129" t="s">
        <v>1299</v>
      </c>
      <c r="AI129" t="str">
        <f>IFERROR(INDEX(diakadat!$X$2:$X$50,MATCH(D129,diakadat!$J$2:$J$50),1),"")</f>
        <v/>
      </c>
      <c r="AK129">
        <f t="shared" si="1"/>
        <v>329</v>
      </c>
      <c r="AL129" t="str" cm="1">
        <f t="array" ref="AL129">ElsoBetuNagy(R129)</f>
        <v/>
      </c>
      <c r="AO129" t="str" cm="1">
        <f t="array" ref="AO129">DatumSzovegge5(AN129)</f>
        <v>1899.</v>
      </c>
      <c r="AP129" t="str" cm="1">
        <f t="array" ref="AP129">DatumSzovegge3(AN129)</f>
        <v>december</v>
      </c>
      <c r="AQ129" t="str" cm="1">
        <f t="array" ref="AQ129">DatumSzovegge4(AN129)</f>
        <v>30.</v>
      </c>
    </row>
    <row r="130" spans="4:43" x14ac:dyDescent="0.25">
      <c r="D130" t="str" cm="1">
        <f t="array" ref="D130">SzuressNev($B$1,ROW()-1)</f>
        <v/>
      </c>
      <c r="E130">
        <f>COUNTIF($D$2:D130,D130)</f>
        <v>109</v>
      </c>
      <c r="F130" t="str" cm="1">
        <f t="array" ref="F130">ElutasitasEgyOk2(D130,E130)</f>
        <v/>
      </c>
      <c r="G130" t="str">
        <f>IFERROR(INDEX(diakadat!$I$2:$I$50,MATCH(D130,diakadat!$J$2:$J$50,0),1),"")</f>
        <v/>
      </c>
      <c r="H130" t="str">
        <f>IFERROR(INDEX(diakadat!$O$2:$O$50,MATCH(D130,diakadat!$J$2:$J$50,0),1),"")</f>
        <v/>
      </c>
      <c r="I130" t="str">
        <f>IFERROR(INDEX(diakadat!#REF!,MATCH(D130,diakadat!$J$2:$J$50,0),1),"")</f>
        <v/>
      </c>
      <c r="J130" t="str">
        <f>IFERROR(INDEX(diakadat!$K$2:$K$50,MATCH(D130,diakadat!$J$2:$J$50,0),1),"")</f>
        <v/>
      </c>
      <c r="K130" t="str" cm="1">
        <f t="array" ref="K130">IFERROR(DatumSzovegge2(INDEX(diakadat!$L$2:$L$50,MATCH(D130,diakadat!$J$2:$J$50,0),1)),"")</f>
        <v/>
      </c>
      <c r="L130" t="str" cm="1">
        <f t="array" ref="L130">IFERROR(DatumSzovegge5(INDEX(diakadat!$L$2:$L$50,MATCH(D130,diakadat!$J$2:$J$50,0),1)),"")</f>
        <v/>
      </c>
      <c r="M130" t="str" cm="1">
        <f t="array" ref="M130">IFERROR(DatumSzovegge3(INDEX(diakadat!$L$2:$L$50,MATCH(D130,diakadat!$J$2:$J$50,0),1)),"")</f>
        <v/>
      </c>
      <c r="N130" t="str" cm="1">
        <f t="array" ref="N130">IFERROR(DatumSzovegge4(INDEX(diakadat!$L$2:$L$50,MATCH(D130,diakadat!$J$2:$J$50,0),1)),"")</f>
        <v/>
      </c>
      <c r="O130" t="str">
        <f>IFERROR(INDEX(diakadat!$R$2:$R$50,MATCH(D130,diakadat!$J$2:$J$50,0),1),"")</f>
        <v/>
      </c>
      <c r="P130" t="str">
        <f>IFERROR(INDEX(diakadat!$AI$2:$AI$50,MATCH(D130,diakadat!$J$2:$J$50,0),1),"")</f>
        <v/>
      </c>
      <c r="Q130" t="str">
        <f>IFERROR(INDEX('rangsor'!$C$2:$C$343,MATCH(D130,'rangsor'!$A$2:$A$343,0),1),"")</f>
        <v/>
      </c>
      <c r="T130" t="s">
        <v>831</v>
      </c>
      <c r="U130" t="str" cm="1">
        <f t="array" ref="U130">Határozat(D130)</f>
        <v/>
      </c>
      <c r="AC130" t="str">
        <f>IFERROR(INDEX(diakadat!$U$2:$U$50,MATCH(D130,diakadat!$J$2:$J$50),1),"")</f>
        <v/>
      </c>
      <c r="AD130" t="str">
        <f>IFERROR(INDEX(diakadat!$V$2:$V$50,MATCH(D130,diakadat!$J$2:$J$50),1),"")</f>
        <v/>
      </c>
      <c r="AE130" t="str">
        <f>IFERROR(INDEX(diakadat!$W$2:$W$50,MATCH(D130,diakadat!$J$2:$J$50),1),"")</f>
        <v/>
      </c>
      <c r="AF130">
        <v>1054</v>
      </c>
      <c r="AG130" t="s">
        <v>912</v>
      </c>
      <c r="AH130" t="s">
        <v>1300</v>
      </c>
      <c r="AI130" t="str">
        <f>IFERROR(INDEX(diakadat!$X$2:$X$50,MATCH(D130,diakadat!$J$2:$J$50),1),"")</f>
        <v/>
      </c>
      <c r="AK130">
        <f t="shared" ref="AK130:AK193" si="2">COUNTIF($AD$2:$AD$350,AD130)</f>
        <v>329</v>
      </c>
      <c r="AL130" t="str" cm="1">
        <f t="array" ref="AL130">ElsoBetuNagy(R130)</f>
        <v/>
      </c>
      <c r="AO130" t="str" cm="1">
        <f t="array" ref="AO130">DatumSzovegge5(AN130)</f>
        <v>1899.</v>
      </c>
      <c r="AP130" t="str" cm="1">
        <f t="array" ref="AP130">DatumSzovegge3(AN130)</f>
        <v>december</v>
      </c>
      <c r="AQ130" t="str" cm="1">
        <f t="array" ref="AQ130">DatumSzovegge4(AN130)</f>
        <v>30.</v>
      </c>
    </row>
    <row r="131" spans="4:43" x14ac:dyDescent="0.25">
      <c r="D131" t="str" cm="1">
        <f t="array" ref="D131">SzuressNev($B$1,ROW()-1)</f>
        <v/>
      </c>
      <c r="E131">
        <f>COUNTIF($D$2:D131,D131)</f>
        <v>110</v>
      </c>
      <c r="F131" t="str" cm="1">
        <f t="array" ref="F131">ElutasitasEgyOk2(D131,E131)</f>
        <v/>
      </c>
      <c r="G131" t="str">
        <f>IFERROR(INDEX(diakadat!$I$2:$I$50,MATCH(D131,diakadat!$J$2:$J$50,0),1),"")</f>
        <v/>
      </c>
      <c r="H131" t="str">
        <f>IFERROR(INDEX(diakadat!$O$2:$O$50,MATCH(D131,diakadat!$J$2:$J$50,0),1),"")</f>
        <v/>
      </c>
      <c r="I131" t="str">
        <f>IFERROR(INDEX(diakadat!#REF!,MATCH(D131,diakadat!$J$2:$J$50,0),1),"")</f>
        <v/>
      </c>
      <c r="J131" t="str">
        <f>IFERROR(INDEX(diakadat!$K$2:$K$50,MATCH(D131,diakadat!$J$2:$J$50,0),1),"")</f>
        <v/>
      </c>
      <c r="K131" t="str" cm="1">
        <f t="array" ref="K131">IFERROR(DatumSzovegge2(INDEX(diakadat!$L$2:$L$50,MATCH(D131,diakadat!$J$2:$J$50,0),1)),"")</f>
        <v/>
      </c>
      <c r="L131" t="str" cm="1">
        <f t="array" ref="L131">IFERROR(DatumSzovegge5(INDEX(diakadat!$L$2:$L$50,MATCH(D131,diakadat!$J$2:$J$50,0),1)),"")</f>
        <v/>
      </c>
      <c r="M131" t="str" cm="1">
        <f t="array" ref="M131">IFERROR(DatumSzovegge3(INDEX(diakadat!$L$2:$L$50,MATCH(D131,diakadat!$J$2:$J$50,0),1)),"")</f>
        <v/>
      </c>
      <c r="N131" t="str" cm="1">
        <f t="array" ref="N131">IFERROR(DatumSzovegge4(INDEX(diakadat!$L$2:$L$50,MATCH(D131,diakadat!$J$2:$J$50,0),1)),"")</f>
        <v/>
      </c>
      <c r="O131" t="str">
        <f>IFERROR(INDEX(diakadat!$R$2:$R$50,MATCH(D131,diakadat!$J$2:$J$50,0),1),"")</f>
        <v/>
      </c>
      <c r="P131" t="str">
        <f>IFERROR(INDEX(diakadat!$AI$2:$AI$50,MATCH(D131,diakadat!$J$2:$J$50,0),1),"")</f>
        <v/>
      </c>
      <c r="Q131" t="str">
        <f>IFERROR(INDEX('rangsor'!$C$2:$C$343,MATCH(D131,'rangsor'!$A$2:$A$343,0),1),"")</f>
        <v/>
      </c>
      <c r="T131" t="s">
        <v>831</v>
      </c>
      <c r="U131" t="str" cm="1">
        <f t="array" ref="U131">Határozat(D131)</f>
        <v/>
      </c>
      <c r="AC131" t="str">
        <f>IFERROR(INDEX(diakadat!$U$2:$U$50,MATCH(D131,diakadat!$J$2:$J$50),1),"")</f>
        <v/>
      </c>
      <c r="AD131" t="str">
        <f>IFERROR(INDEX(diakadat!$V$2:$V$50,MATCH(D131,diakadat!$J$2:$J$50),1),"")</f>
        <v/>
      </c>
      <c r="AE131" t="str">
        <f>IFERROR(INDEX(diakadat!$W$2:$W$50,MATCH(D131,diakadat!$J$2:$J$50),1),"")</f>
        <v/>
      </c>
      <c r="AF131">
        <v>1105</v>
      </c>
      <c r="AG131" t="s">
        <v>1164</v>
      </c>
      <c r="AH131" t="s">
        <v>1301</v>
      </c>
      <c r="AI131" t="str">
        <f>IFERROR(INDEX(diakadat!$X$2:$X$50,MATCH(D131,diakadat!$J$2:$J$50),1),"")</f>
        <v/>
      </c>
      <c r="AK131">
        <f t="shared" si="2"/>
        <v>329</v>
      </c>
      <c r="AL131" t="str" cm="1">
        <f t="array" ref="AL131">ElsoBetuNagy(R131)</f>
        <v/>
      </c>
      <c r="AO131" t="str" cm="1">
        <f t="array" ref="AO131">DatumSzovegge5(AN131)</f>
        <v>1899.</v>
      </c>
      <c r="AP131" t="str" cm="1">
        <f t="array" ref="AP131">DatumSzovegge3(AN131)</f>
        <v>december</v>
      </c>
      <c r="AQ131" t="str" cm="1">
        <f t="array" ref="AQ131">DatumSzovegge4(AN131)</f>
        <v>30.</v>
      </c>
    </row>
    <row r="132" spans="4:43" x14ac:dyDescent="0.25">
      <c r="D132" t="str" cm="1">
        <f t="array" ref="D132">SzuressNev($B$1,ROW()-1)</f>
        <v/>
      </c>
      <c r="E132">
        <f>COUNTIF($D$2:D132,D132)</f>
        <v>111</v>
      </c>
      <c r="F132" t="str" cm="1">
        <f t="array" ref="F132">ElutasitasEgyOk2(D132,E132)</f>
        <v/>
      </c>
      <c r="G132" t="str">
        <f>IFERROR(INDEX(diakadat!$I$2:$I$50,MATCH(D132,diakadat!$J$2:$J$50,0),1),"")</f>
        <v/>
      </c>
      <c r="H132" t="str">
        <f>IFERROR(INDEX(diakadat!$O$2:$O$50,MATCH(D132,diakadat!$J$2:$J$50,0),1),"")</f>
        <v/>
      </c>
      <c r="I132" t="str">
        <f>IFERROR(INDEX(diakadat!#REF!,MATCH(D132,diakadat!$J$2:$J$50,0),1),"")</f>
        <v/>
      </c>
      <c r="J132" t="str">
        <f>IFERROR(INDEX(diakadat!$K$2:$K$50,MATCH(D132,diakadat!$J$2:$J$50,0),1),"")</f>
        <v/>
      </c>
      <c r="K132" t="str" cm="1">
        <f t="array" ref="K132">IFERROR(DatumSzovegge2(INDEX(diakadat!$L$2:$L$50,MATCH(D132,diakadat!$J$2:$J$50,0),1)),"")</f>
        <v/>
      </c>
      <c r="L132" t="str" cm="1">
        <f t="array" ref="L132">IFERROR(DatumSzovegge5(INDEX(diakadat!$L$2:$L$50,MATCH(D132,diakadat!$J$2:$J$50,0),1)),"")</f>
        <v/>
      </c>
      <c r="M132" t="str" cm="1">
        <f t="array" ref="M132">IFERROR(DatumSzovegge3(INDEX(diakadat!$L$2:$L$50,MATCH(D132,diakadat!$J$2:$J$50,0),1)),"")</f>
        <v/>
      </c>
      <c r="N132" t="str" cm="1">
        <f t="array" ref="N132">IFERROR(DatumSzovegge4(INDEX(diakadat!$L$2:$L$50,MATCH(D132,diakadat!$J$2:$J$50,0),1)),"")</f>
        <v/>
      </c>
      <c r="O132" t="str">
        <f>IFERROR(INDEX(diakadat!$R$2:$R$50,MATCH(D132,diakadat!$J$2:$J$50,0),1),"")</f>
        <v/>
      </c>
      <c r="P132" t="str">
        <f>IFERROR(INDEX(diakadat!$AI$2:$AI$50,MATCH(D132,diakadat!$J$2:$J$50,0),1),"")</f>
        <v/>
      </c>
      <c r="Q132" t="str">
        <f>IFERROR(INDEX('rangsor'!$C$2:$C$343,MATCH(D132,'rangsor'!$A$2:$A$343,0),1),"")</f>
        <v/>
      </c>
      <c r="T132" t="s">
        <v>831</v>
      </c>
      <c r="U132" t="str" cm="1">
        <f t="array" ref="U132">Határozat(D132)</f>
        <v/>
      </c>
      <c r="AC132" t="str">
        <f>IFERROR(INDEX(diakadat!$U$2:$U$50,MATCH(D132,diakadat!$J$2:$J$50),1),"")</f>
        <v/>
      </c>
      <c r="AD132" t="str">
        <f>IFERROR(INDEX(diakadat!$V$2:$V$50,MATCH(D132,diakadat!$J$2:$J$50),1),"")</f>
        <v/>
      </c>
      <c r="AE132" t="str">
        <f>IFERROR(INDEX(diakadat!$W$2:$W$50,MATCH(D132,diakadat!$J$2:$J$50),1),"")</f>
        <v/>
      </c>
      <c r="AF132">
        <v>1106</v>
      </c>
      <c r="AG132" t="s">
        <v>912</v>
      </c>
      <c r="AH132" t="s">
        <v>1302</v>
      </c>
      <c r="AI132" t="str">
        <f>IFERROR(INDEX(diakadat!$X$2:$X$50,MATCH(D132,diakadat!$J$2:$J$50),1),"")</f>
        <v/>
      </c>
      <c r="AK132">
        <f t="shared" si="2"/>
        <v>329</v>
      </c>
      <c r="AL132" t="str" cm="1">
        <f t="array" ref="AL132">ElsoBetuNagy(R132)</f>
        <v/>
      </c>
      <c r="AO132" t="str" cm="1">
        <f t="array" ref="AO132">DatumSzovegge5(AN132)</f>
        <v>1899.</v>
      </c>
      <c r="AP132" t="str" cm="1">
        <f t="array" ref="AP132">DatumSzovegge3(AN132)</f>
        <v>december</v>
      </c>
      <c r="AQ132" t="str" cm="1">
        <f t="array" ref="AQ132">DatumSzovegge4(AN132)</f>
        <v>30.</v>
      </c>
    </row>
    <row r="133" spans="4:43" x14ac:dyDescent="0.25">
      <c r="D133" t="str" cm="1">
        <f t="array" ref="D133">SzuressNev($B$1,ROW()-1)</f>
        <v/>
      </c>
      <c r="E133">
        <f>COUNTIF($D$2:D133,D133)</f>
        <v>112</v>
      </c>
      <c r="F133" t="str" cm="1">
        <f t="array" ref="F133">ElutasitasEgyOk2(D133,E133)</f>
        <v/>
      </c>
      <c r="G133" t="str">
        <f>IFERROR(INDEX(diakadat!$I$2:$I$50,MATCH(D133,diakadat!$J$2:$J$50,0),1),"")</f>
        <v/>
      </c>
      <c r="H133" t="str">
        <f>IFERROR(INDEX(diakadat!$O$2:$O$50,MATCH(D133,diakadat!$J$2:$J$50,0),1),"")</f>
        <v/>
      </c>
      <c r="I133" t="str">
        <f>IFERROR(INDEX(diakadat!#REF!,MATCH(D133,diakadat!$J$2:$J$50,0),1),"")</f>
        <v/>
      </c>
      <c r="J133" t="str">
        <f>IFERROR(INDEX(diakadat!$K$2:$K$50,MATCH(D133,diakadat!$J$2:$J$50,0),1),"")</f>
        <v/>
      </c>
      <c r="K133" t="str" cm="1">
        <f t="array" ref="K133">IFERROR(DatumSzovegge2(INDEX(diakadat!$L$2:$L$50,MATCH(D133,diakadat!$J$2:$J$50,0),1)),"")</f>
        <v/>
      </c>
      <c r="L133" t="str" cm="1">
        <f t="array" ref="L133">IFERROR(DatumSzovegge5(INDEX(diakadat!$L$2:$L$50,MATCH(D133,diakadat!$J$2:$J$50,0),1)),"")</f>
        <v/>
      </c>
      <c r="M133" t="str" cm="1">
        <f t="array" ref="M133">IFERROR(DatumSzovegge3(INDEX(diakadat!$L$2:$L$50,MATCH(D133,diakadat!$J$2:$J$50,0),1)),"")</f>
        <v/>
      </c>
      <c r="N133" t="str" cm="1">
        <f t="array" ref="N133">IFERROR(DatumSzovegge4(INDEX(diakadat!$L$2:$L$50,MATCH(D133,diakadat!$J$2:$J$50,0),1)),"")</f>
        <v/>
      </c>
      <c r="O133" t="str">
        <f>IFERROR(INDEX(diakadat!$R$2:$R$50,MATCH(D133,diakadat!$J$2:$J$50,0),1),"")</f>
        <v/>
      </c>
      <c r="P133" t="str">
        <f>IFERROR(INDEX(diakadat!$AI$2:$AI$50,MATCH(D133,diakadat!$J$2:$J$50,0),1),"")</f>
        <v/>
      </c>
      <c r="Q133" t="str">
        <f>IFERROR(INDEX('rangsor'!$C$2:$C$343,MATCH(D133,'rangsor'!$A$2:$A$343,0),1),"")</f>
        <v/>
      </c>
      <c r="T133" t="s">
        <v>831</v>
      </c>
      <c r="U133" t="str" cm="1">
        <f t="array" ref="U133">Határozat(D133)</f>
        <v/>
      </c>
      <c r="AC133" t="str">
        <f>IFERROR(INDEX(diakadat!$U$2:$U$50,MATCH(D133,diakadat!$J$2:$J$50),1),"")</f>
        <v/>
      </c>
      <c r="AD133" t="str">
        <f>IFERROR(INDEX(diakadat!$V$2:$V$50,MATCH(D133,diakadat!$J$2:$J$50),1),"")</f>
        <v/>
      </c>
      <c r="AE133" t="str">
        <f>IFERROR(INDEX(diakadat!$W$2:$W$50,MATCH(D133,diakadat!$J$2:$J$50),1),"")</f>
        <v/>
      </c>
      <c r="AF133">
        <v>1108</v>
      </c>
      <c r="AG133" t="s">
        <v>912</v>
      </c>
      <c r="AH133" t="s">
        <v>1303</v>
      </c>
      <c r="AI133" t="str">
        <f>IFERROR(INDEX(diakadat!$X$2:$X$50,MATCH(D133,diakadat!$J$2:$J$50),1),"")</f>
        <v/>
      </c>
      <c r="AK133">
        <f t="shared" si="2"/>
        <v>329</v>
      </c>
      <c r="AL133" t="str" cm="1">
        <f t="array" ref="AL133">ElsoBetuNagy(R133)</f>
        <v/>
      </c>
      <c r="AO133" t="str" cm="1">
        <f t="array" ref="AO133">DatumSzovegge5(AN133)</f>
        <v>1899.</v>
      </c>
      <c r="AP133" t="str" cm="1">
        <f t="array" ref="AP133">DatumSzovegge3(AN133)</f>
        <v>december</v>
      </c>
      <c r="AQ133" t="str" cm="1">
        <f t="array" ref="AQ133">DatumSzovegge4(AN133)</f>
        <v>30.</v>
      </c>
    </row>
    <row r="134" spans="4:43" x14ac:dyDescent="0.25">
      <c r="D134" t="str" cm="1">
        <f t="array" ref="D134">SzuressNev($B$1,ROW()-1)</f>
        <v/>
      </c>
      <c r="E134">
        <f>COUNTIF($D$2:D134,D134)</f>
        <v>113</v>
      </c>
      <c r="F134" t="str" cm="1">
        <f t="array" ref="F134">ElutasitasEgyOk2(D134,E134)</f>
        <v/>
      </c>
      <c r="G134" t="str">
        <f>IFERROR(INDEX(diakadat!$I$2:$I$50,MATCH(D134,diakadat!$J$2:$J$50,0),1),"")</f>
        <v/>
      </c>
      <c r="H134" t="str">
        <f>IFERROR(INDEX(diakadat!$O$2:$O$50,MATCH(D134,diakadat!$J$2:$J$50,0),1),"")</f>
        <v/>
      </c>
      <c r="I134" t="str">
        <f>IFERROR(INDEX(diakadat!#REF!,MATCH(D134,diakadat!$J$2:$J$50,0),1),"")</f>
        <v/>
      </c>
      <c r="J134" t="str">
        <f>IFERROR(INDEX(diakadat!$K$2:$K$50,MATCH(D134,diakadat!$J$2:$J$50,0),1),"")</f>
        <v/>
      </c>
      <c r="K134" t="str" cm="1">
        <f t="array" ref="K134">IFERROR(DatumSzovegge2(INDEX(diakadat!$L$2:$L$50,MATCH(D134,diakadat!$J$2:$J$50,0),1)),"")</f>
        <v/>
      </c>
      <c r="L134" t="str" cm="1">
        <f t="array" ref="L134">IFERROR(DatumSzovegge5(INDEX(diakadat!$L$2:$L$50,MATCH(D134,diakadat!$J$2:$J$50,0),1)),"")</f>
        <v/>
      </c>
      <c r="M134" t="str" cm="1">
        <f t="array" ref="M134">IFERROR(DatumSzovegge3(INDEX(diakadat!$L$2:$L$50,MATCH(D134,diakadat!$J$2:$J$50,0),1)),"")</f>
        <v/>
      </c>
      <c r="N134" t="str" cm="1">
        <f t="array" ref="N134">IFERROR(DatumSzovegge4(INDEX(diakadat!$L$2:$L$50,MATCH(D134,diakadat!$J$2:$J$50,0),1)),"")</f>
        <v/>
      </c>
      <c r="O134" t="str">
        <f>IFERROR(INDEX(diakadat!$R$2:$R$50,MATCH(D134,diakadat!$J$2:$J$50,0),1),"")</f>
        <v/>
      </c>
      <c r="P134" t="str">
        <f>IFERROR(INDEX(diakadat!$AI$2:$AI$50,MATCH(D134,diakadat!$J$2:$J$50,0),1),"")</f>
        <v/>
      </c>
      <c r="Q134" t="str">
        <f>IFERROR(INDEX('rangsor'!$C$2:$C$343,MATCH(D134,'rangsor'!$A$2:$A$343,0),1),"")</f>
        <v/>
      </c>
      <c r="T134" t="s">
        <v>831</v>
      </c>
      <c r="U134" t="str" cm="1">
        <f t="array" ref="U134">Határozat(D134)</f>
        <v/>
      </c>
      <c r="AC134" t="str">
        <f>IFERROR(INDEX(diakadat!$U$2:$U$50,MATCH(D134,diakadat!$J$2:$J$50),1),"")</f>
        <v/>
      </c>
      <c r="AD134" t="str">
        <f>IFERROR(INDEX(diakadat!$V$2:$V$50,MATCH(D134,diakadat!$J$2:$J$50),1),"")</f>
        <v/>
      </c>
      <c r="AE134" t="str">
        <f>IFERROR(INDEX(diakadat!$W$2:$W$50,MATCH(D134,diakadat!$J$2:$J$50),1),"")</f>
        <v/>
      </c>
      <c r="AF134">
        <v>1105</v>
      </c>
      <c r="AG134" t="s">
        <v>1164</v>
      </c>
      <c r="AH134" t="s">
        <v>1304</v>
      </c>
      <c r="AI134" t="str">
        <f>IFERROR(INDEX(diakadat!$X$2:$X$50,MATCH(D134,diakadat!$J$2:$J$50),1),"")</f>
        <v/>
      </c>
      <c r="AK134">
        <f t="shared" si="2"/>
        <v>329</v>
      </c>
      <c r="AL134" t="str" cm="1">
        <f t="array" ref="AL134">ElsoBetuNagy(R134)</f>
        <v/>
      </c>
      <c r="AO134" t="str" cm="1">
        <f t="array" ref="AO134">DatumSzovegge5(AN134)</f>
        <v>1899.</v>
      </c>
      <c r="AP134" t="str" cm="1">
        <f t="array" ref="AP134">DatumSzovegge3(AN134)</f>
        <v>december</v>
      </c>
      <c r="AQ134" t="str" cm="1">
        <f t="array" ref="AQ134">DatumSzovegge4(AN134)</f>
        <v>30.</v>
      </c>
    </row>
    <row r="135" spans="4:43" x14ac:dyDescent="0.25">
      <c r="D135" t="str" cm="1">
        <f t="array" ref="D135">SzuressNev($B$1,ROW()-1)</f>
        <v/>
      </c>
      <c r="E135">
        <f>COUNTIF($D$2:D135,D135)</f>
        <v>114</v>
      </c>
      <c r="F135" t="str" cm="1">
        <f t="array" ref="F135">ElutasitasEgyOk2(D135,E135)</f>
        <v/>
      </c>
      <c r="G135" t="str">
        <f>IFERROR(INDEX(diakadat!$I$2:$I$50,MATCH(D135,diakadat!$J$2:$J$50,0),1),"")</f>
        <v/>
      </c>
      <c r="H135" t="str">
        <f>IFERROR(INDEX(diakadat!$O$2:$O$50,MATCH(D135,diakadat!$J$2:$J$50,0),1),"")</f>
        <v/>
      </c>
      <c r="I135" t="str">
        <f>IFERROR(INDEX(diakadat!#REF!,MATCH(D135,diakadat!$J$2:$J$50,0),1),"")</f>
        <v/>
      </c>
      <c r="J135" t="str">
        <f>IFERROR(INDEX(diakadat!$K$2:$K$50,MATCH(D135,diakadat!$J$2:$J$50,0),1),"")</f>
        <v/>
      </c>
      <c r="K135" t="str" cm="1">
        <f t="array" ref="K135">IFERROR(DatumSzovegge2(INDEX(diakadat!$L$2:$L$50,MATCH(D135,diakadat!$J$2:$J$50,0),1)),"")</f>
        <v/>
      </c>
      <c r="L135" t="str" cm="1">
        <f t="array" ref="L135">IFERROR(DatumSzovegge5(INDEX(diakadat!$L$2:$L$50,MATCH(D135,diakadat!$J$2:$J$50,0),1)),"")</f>
        <v/>
      </c>
      <c r="M135" t="str" cm="1">
        <f t="array" ref="M135">IFERROR(DatumSzovegge3(INDEX(diakadat!$L$2:$L$50,MATCH(D135,diakadat!$J$2:$J$50,0),1)),"")</f>
        <v/>
      </c>
      <c r="N135" t="str" cm="1">
        <f t="array" ref="N135">IFERROR(DatumSzovegge4(INDEX(diakadat!$L$2:$L$50,MATCH(D135,diakadat!$J$2:$J$50,0),1)),"")</f>
        <v/>
      </c>
      <c r="O135" t="str">
        <f>IFERROR(INDEX(diakadat!$R$2:$R$50,MATCH(D135,diakadat!$J$2:$J$50,0),1),"")</f>
        <v/>
      </c>
      <c r="P135" t="str">
        <f>IFERROR(INDEX(diakadat!$AI$2:$AI$50,MATCH(D135,diakadat!$J$2:$J$50,0),1),"")</f>
        <v/>
      </c>
      <c r="Q135" t="str">
        <f>IFERROR(INDEX('rangsor'!$C$2:$C$343,MATCH(D135,'rangsor'!$A$2:$A$343,0),1),"")</f>
        <v/>
      </c>
      <c r="T135" t="s">
        <v>831</v>
      </c>
      <c r="U135" t="str" cm="1">
        <f t="array" ref="U135">Határozat(D135)</f>
        <v/>
      </c>
      <c r="AC135" t="str">
        <f>IFERROR(INDEX(diakadat!$U$2:$U$50,MATCH(D135,diakadat!$J$2:$J$50),1),"")</f>
        <v/>
      </c>
      <c r="AD135" t="str">
        <f>IFERROR(INDEX(diakadat!$V$2:$V$50,MATCH(D135,diakadat!$J$2:$J$50),1),"")</f>
        <v/>
      </c>
      <c r="AE135" t="str">
        <f>IFERROR(INDEX(diakadat!$W$2:$W$50,MATCH(D135,diakadat!$J$2:$J$50),1),"")</f>
        <v/>
      </c>
      <c r="AF135">
        <v>1204</v>
      </c>
      <c r="AG135" t="s">
        <v>912</v>
      </c>
      <c r="AH135" t="s">
        <v>1305</v>
      </c>
      <c r="AI135" t="str">
        <f>IFERROR(INDEX(diakadat!$X$2:$X$50,MATCH(D135,diakadat!$J$2:$J$50),1),"")</f>
        <v/>
      </c>
      <c r="AK135">
        <f t="shared" si="2"/>
        <v>329</v>
      </c>
      <c r="AL135" t="str" cm="1">
        <f t="array" ref="AL135">ElsoBetuNagy(R135)</f>
        <v/>
      </c>
      <c r="AO135" t="str" cm="1">
        <f t="array" ref="AO135">DatumSzovegge5(AN135)</f>
        <v>1899.</v>
      </c>
      <c r="AP135" t="str" cm="1">
        <f t="array" ref="AP135">DatumSzovegge3(AN135)</f>
        <v>december</v>
      </c>
      <c r="AQ135" t="str" cm="1">
        <f t="array" ref="AQ135">DatumSzovegge4(AN135)</f>
        <v>30.</v>
      </c>
    </row>
    <row r="136" spans="4:43" x14ac:dyDescent="0.25">
      <c r="D136" t="str" cm="1">
        <f t="array" ref="D136">SzuressNev($B$1,ROW()-1)</f>
        <v/>
      </c>
      <c r="E136">
        <f>COUNTIF($D$2:D136,D136)</f>
        <v>115</v>
      </c>
      <c r="F136" t="str" cm="1">
        <f t="array" ref="F136">ElutasitasEgyOk2(D136,E136)</f>
        <v/>
      </c>
      <c r="G136" t="str">
        <f>IFERROR(INDEX(diakadat!$I$2:$I$50,MATCH(D136,diakadat!$J$2:$J$50,0),1),"")</f>
        <v/>
      </c>
      <c r="H136" t="str">
        <f>IFERROR(INDEX(diakadat!$O$2:$O$50,MATCH(D136,diakadat!$J$2:$J$50,0),1),"")</f>
        <v/>
      </c>
      <c r="I136" t="str">
        <f>IFERROR(INDEX(diakadat!#REF!,MATCH(D136,diakadat!$J$2:$J$50,0),1),"")</f>
        <v/>
      </c>
      <c r="J136" t="str">
        <f>IFERROR(INDEX(diakadat!$K$2:$K$50,MATCH(D136,diakadat!$J$2:$J$50,0),1),"")</f>
        <v/>
      </c>
      <c r="K136" t="str" cm="1">
        <f t="array" ref="K136">IFERROR(DatumSzovegge2(INDEX(diakadat!$L$2:$L$50,MATCH(D136,diakadat!$J$2:$J$50,0),1)),"")</f>
        <v/>
      </c>
      <c r="L136" t="str" cm="1">
        <f t="array" ref="L136">IFERROR(DatumSzovegge5(INDEX(diakadat!$L$2:$L$50,MATCH(D136,diakadat!$J$2:$J$50,0),1)),"")</f>
        <v/>
      </c>
      <c r="M136" t="str" cm="1">
        <f t="array" ref="M136">IFERROR(DatumSzovegge3(INDEX(diakadat!$L$2:$L$50,MATCH(D136,diakadat!$J$2:$J$50,0),1)),"")</f>
        <v/>
      </c>
      <c r="N136" t="str" cm="1">
        <f t="array" ref="N136">IFERROR(DatumSzovegge4(INDEX(diakadat!$L$2:$L$50,MATCH(D136,diakadat!$J$2:$J$50,0),1)),"")</f>
        <v/>
      </c>
      <c r="O136" t="str">
        <f>IFERROR(INDEX(diakadat!$R$2:$R$50,MATCH(D136,diakadat!$J$2:$J$50,0),1),"")</f>
        <v/>
      </c>
      <c r="P136" t="str">
        <f>IFERROR(INDEX(diakadat!$AI$2:$AI$50,MATCH(D136,diakadat!$J$2:$J$50,0),1),"")</f>
        <v/>
      </c>
      <c r="Q136" t="str">
        <f>IFERROR(INDEX('rangsor'!$C$2:$C$343,MATCH(D136,'rangsor'!$A$2:$A$343,0),1),"")</f>
        <v/>
      </c>
      <c r="T136" t="s">
        <v>831</v>
      </c>
      <c r="U136" t="str" cm="1">
        <f t="array" ref="U136">Határozat(D136)</f>
        <v/>
      </c>
      <c r="AC136" t="str">
        <f>IFERROR(INDEX(diakadat!$U$2:$U$50,MATCH(D136,diakadat!$J$2:$J$50),1),"")</f>
        <v/>
      </c>
      <c r="AD136" t="str">
        <f>IFERROR(INDEX(diakadat!$V$2:$V$50,MATCH(D136,diakadat!$J$2:$J$50),1),"")</f>
        <v/>
      </c>
      <c r="AE136" t="str">
        <f>IFERROR(INDEX(diakadat!$W$2:$W$50,MATCH(D136,diakadat!$J$2:$J$50),1),"")</f>
        <v/>
      </c>
      <c r="AF136">
        <v>1035</v>
      </c>
      <c r="AG136" t="s">
        <v>1164</v>
      </c>
      <c r="AH136" t="s">
        <v>1306</v>
      </c>
      <c r="AI136" t="str">
        <f>IFERROR(INDEX(diakadat!$X$2:$X$50,MATCH(D136,diakadat!$J$2:$J$50),1),"")</f>
        <v/>
      </c>
      <c r="AK136">
        <f t="shared" si="2"/>
        <v>329</v>
      </c>
      <c r="AL136" t="str" cm="1">
        <f t="array" ref="AL136">ElsoBetuNagy(R136)</f>
        <v/>
      </c>
      <c r="AO136" t="str" cm="1">
        <f t="array" ref="AO136">DatumSzovegge5(AN136)</f>
        <v>1899.</v>
      </c>
      <c r="AP136" t="str" cm="1">
        <f t="array" ref="AP136">DatumSzovegge3(AN136)</f>
        <v>december</v>
      </c>
      <c r="AQ136" t="str" cm="1">
        <f t="array" ref="AQ136">DatumSzovegge4(AN136)</f>
        <v>30.</v>
      </c>
    </row>
    <row r="137" spans="4:43" x14ac:dyDescent="0.25">
      <c r="D137" t="str" cm="1">
        <f t="array" ref="D137">SzuressNev($B$1,ROW()-1)</f>
        <v/>
      </c>
      <c r="E137">
        <f>COUNTIF($D$2:D137,D137)</f>
        <v>116</v>
      </c>
      <c r="F137" t="str" cm="1">
        <f t="array" ref="F137">ElutasitasEgyOk2(D137,E137)</f>
        <v/>
      </c>
      <c r="G137" t="str">
        <f>IFERROR(INDEX(diakadat!$I$2:$I$50,MATCH(D137,diakadat!$J$2:$J$50,0),1),"")</f>
        <v/>
      </c>
      <c r="H137" t="str">
        <f>IFERROR(INDEX(diakadat!$O$2:$O$50,MATCH(D137,diakadat!$J$2:$J$50,0),1),"")</f>
        <v/>
      </c>
      <c r="I137" t="str">
        <f>IFERROR(INDEX(diakadat!#REF!,MATCH(D137,diakadat!$J$2:$J$50,0),1),"")</f>
        <v/>
      </c>
      <c r="J137" t="str">
        <f>IFERROR(INDEX(diakadat!$K$2:$K$50,MATCH(D137,diakadat!$J$2:$J$50,0),1),"")</f>
        <v/>
      </c>
      <c r="K137" t="str" cm="1">
        <f t="array" ref="K137">IFERROR(DatumSzovegge2(INDEX(diakadat!$L$2:$L$50,MATCH(D137,diakadat!$J$2:$J$50,0),1)),"")</f>
        <v/>
      </c>
      <c r="L137" t="str" cm="1">
        <f t="array" ref="L137">IFERROR(DatumSzovegge5(INDEX(diakadat!$L$2:$L$50,MATCH(D137,diakadat!$J$2:$J$50,0),1)),"")</f>
        <v/>
      </c>
      <c r="M137" t="str" cm="1">
        <f t="array" ref="M137">IFERROR(DatumSzovegge3(INDEX(diakadat!$L$2:$L$50,MATCH(D137,diakadat!$J$2:$J$50,0),1)),"")</f>
        <v/>
      </c>
      <c r="N137" t="str" cm="1">
        <f t="array" ref="N137">IFERROR(DatumSzovegge4(INDEX(diakadat!$L$2:$L$50,MATCH(D137,diakadat!$J$2:$J$50,0),1)),"")</f>
        <v/>
      </c>
      <c r="O137" t="str">
        <f>IFERROR(INDEX(diakadat!$R$2:$R$50,MATCH(D137,diakadat!$J$2:$J$50,0),1),"")</f>
        <v/>
      </c>
      <c r="P137" t="str">
        <f>IFERROR(INDEX(diakadat!$AI$2:$AI$50,MATCH(D137,diakadat!$J$2:$J$50,0),1),"")</f>
        <v/>
      </c>
      <c r="Q137" t="str">
        <f>IFERROR(INDEX('rangsor'!$C$2:$C$343,MATCH(D137,'rangsor'!$A$2:$A$343,0),1),"")</f>
        <v/>
      </c>
      <c r="T137" t="s">
        <v>831</v>
      </c>
      <c r="U137" t="str" cm="1">
        <f t="array" ref="U137">Határozat(D137)</f>
        <v/>
      </c>
      <c r="AC137" t="str">
        <f>IFERROR(INDEX(diakadat!$U$2:$U$50,MATCH(D137,diakadat!$J$2:$J$50),1),"")</f>
        <v/>
      </c>
      <c r="AD137" t="str">
        <f>IFERROR(INDEX(diakadat!$V$2:$V$50,MATCH(D137,diakadat!$J$2:$J$50),1),"")</f>
        <v/>
      </c>
      <c r="AE137" t="str">
        <f>IFERROR(INDEX(diakadat!$W$2:$W$50,MATCH(D137,diakadat!$J$2:$J$50),1),"")</f>
        <v/>
      </c>
      <c r="AF137">
        <v>1117</v>
      </c>
      <c r="AG137" t="s">
        <v>912</v>
      </c>
      <c r="AH137" t="s">
        <v>1307</v>
      </c>
      <c r="AI137" t="str">
        <f>IFERROR(INDEX(diakadat!$X$2:$X$50,MATCH(D137,diakadat!$J$2:$J$50),1),"")</f>
        <v/>
      </c>
      <c r="AK137">
        <f t="shared" si="2"/>
        <v>329</v>
      </c>
      <c r="AL137" t="str" cm="1">
        <f t="array" ref="AL137">ElsoBetuNagy(R137)</f>
        <v/>
      </c>
      <c r="AO137" t="str" cm="1">
        <f t="array" ref="AO137">DatumSzovegge5(AN137)</f>
        <v>1899.</v>
      </c>
      <c r="AP137" t="str" cm="1">
        <f t="array" ref="AP137">DatumSzovegge3(AN137)</f>
        <v>december</v>
      </c>
      <c r="AQ137" t="str" cm="1">
        <f t="array" ref="AQ137">DatumSzovegge4(AN137)</f>
        <v>30.</v>
      </c>
    </row>
    <row r="138" spans="4:43" x14ac:dyDescent="0.25">
      <c r="D138" t="str" cm="1">
        <f t="array" ref="D138">SzuressNev($B$1,ROW()-1)</f>
        <v/>
      </c>
      <c r="E138">
        <f>COUNTIF($D$2:D138,D138)</f>
        <v>117</v>
      </c>
      <c r="F138" t="str" cm="1">
        <f t="array" ref="F138">ElutasitasEgyOk2(D138,E138)</f>
        <v/>
      </c>
      <c r="G138" t="str">
        <f>IFERROR(INDEX(diakadat!$I$2:$I$50,MATCH(D138,diakadat!$J$2:$J$50,0),1),"")</f>
        <v/>
      </c>
      <c r="H138" t="str">
        <f>IFERROR(INDEX(diakadat!$O$2:$O$50,MATCH(D138,diakadat!$J$2:$J$50,0),1),"")</f>
        <v/>
      </c>
      <c r="I138" t="str">
        <f>IFERROR(INDEX(diakadat!#REF!,MATCH(D138,diakadat!$J$2:$J$50,0),1),"")</f>
        <v/>
      </c>
      <c r="J138" t="str">
        <f>IFERROR(INDEX(diakadat!$K$2:$K$50,MATCH(D138,diakadat!$J$2:$J$50,0),1),"")</f>
        <v/>
      </c>
      <c r="K138" t="str" cm="1">
        <f t="array" ref="K138">IFERROR(DatumSzovegge2(INDEX(diakadat!$L$2:$L$50,MATCH(D138,diakadat!$J$2:$J$50,0),1)),"")</f>
        <v/>
      </c>
      <c r="L138" t="str" cm="1">
        <f t="array" ref="L138">IFERROR(DatumSzovegge5(INDEX(diakadat!$L$2:$L$50,MATCH(D138,diakadat!$J$2:$J$50,0),1)),"")</f>
        <v/>
      </c>
      <c r="M138" t="str" cm="1">
        <f t="array" ref="M138">IFERROR(DatumSzovegge3(INDEX(diakadat!$L$2:$L$50,MATCH(D138,diakadat!$J$2:$J$50,0),1)),"")</f>
        <v/>
      </c>
      <c r="N138" t="str" cm="1">
        <f t="array" ref="N138">IFERROR(DatumSzovegge4(INDEX(diakadat!$L$2:$L$50,MATCH(D138,diakadat!$J$2:$J$50,0),1)),"")</f>
        <v/>
      </c>
      <c r="O138" t="str">
        <f>IFERROR(INDEX(diakadat!$R$2:$R$50,MATCH(D138,diakadat!$J$2:$J$50,0),1),"")</f>
        <v/>
      </c>
      <c r="P138" t="str">
        <f>IFERROR(INDEX(diakadat!$AI$2:$AI$50,MATCH(D138,diakadat!$J$2:$J$50,0),1),"")</f>
        <v/>
      </c>
      <c r="Q138" t="str">
        <f>IFERROR(INDEX('rangsor'!$C$2:$C$343,MATCH(D138,'rangsor'!$A$2:$A$343,0),1),"")</f>
        <v/>
      </c>
      <c r="T138" t="s">
        <v>831</v>
      </c>
      <c r="U138" t="str" cm="1">
        <f t="array" ref="U138">Határozat(D138)</f>
        <v/>
      </c>
      <c r="AC138" t="str">
        <f>IFERROR(INDEX(diakadat!$U$2:$U$50,MATCH(D138,diakadat!$J$2:$J$50),1),"")</f>
        <v/>
      </c>
      <c r="AD138" t="str">
        <f>IFERROR(INDEX(diakadat!$V$2:$V$50,MATCH(D138,diakadat!$J$2:$J$50),1),"")</f>
        <v/>
      </c>
      <c r="AE138" t="str">
        <f>IFERROR(INDEX(diakadat!$W$2:$W$50,MATCH(D138,diakadat!$J$2:$J$50),1),"")</f>
        <v/>
      </c>
      <c r="AF138">
        <v>1121</v>
      </c>
      <c r="AG138" t="s">
        <v>912</v>
      </c>
      <c r="AH138" t="s">
        <v>1308</v>
      </c>
      <c r="AI138" t="str">
        <f>IFERROR(INDEX(diakadat!$X$2:$X$50,MATCH(D138,diakadat!$J$2:$J$50),1),"")</f>
        <v/>
      </c>
      <c r="AK138">
        <f t="shared" si="2"/>
        <v>329</v>
      </c>
      <c r="AL138" t="str" cm="1">
        <f t="array" ref="AL138">ElsoBetuNagy(R138)</f>
        <v/>
      </c>
      <c r="AO138" t="str" cm="1">
        <f t="array" ref="AO138">DatumSzovegge5(AN138)</f>
        <v>1899.</v>
      </c>
      <c r="AP138" t="str" cm="1">
        <f t="array" ref="AP138">DatumSzovegge3(AN138)</f>
        <v>december</v>
      </c>
      <c r="AQ138" t="str" cm="1">
        <f t="array" ref="AQ138">DatumSzovegge4(AN138)</f>
        <v>30.</v>
      </c>
    </row>
    <row r="139" spans="4:43" x14ac:dyDescent="0.25">
      <c r="D139" t="str" cm="1">
        <f t="array" ref="D139">SzuressNev($B$1,ROW()-1)</f>
        <v/>
      </c>
      <c r="E139">
        <f>COUNTIF($D$2:D139,D139)</f>
        <v>118</v>
      </c>
      <c r="F139" t="str" cm="1">
        <f t="array" ref="F139">ElutasitasEgyOk2(D139,E139)</f>
        <v/>
      </c>
      <c r="G139" t="str">
        <f>IFERROR(INDEX(diakadat!$I$2:$I$50,MATCH(D139,diakadat!$J$2:$J$50,0),1),"")</f>
        <v/>
      </c>
      <c r="H139" t="str">
        <f>IFERROR(INDEX(diakadat!$O$2:$O$50,MATCH(D139,diakadat!$J$2:$J$50,0),1),"")</f>
        <v/>
      </c>
      <c r="I139" t="str">
        <f>IFERROR(INDEX(diakadat!#REF!,MATCH(D139,diakadat!$J$2:$J$50,0),1),"")</f>
        <v/>
      </c>
      <c r="J139" t="str">
        <f>IFERROR(INDEX(diakadat!$K$2:$K$50,MATCH(D139,diakadat!$J$2:$J$50,0),1),"")</f>
        <v/>
      </c>
      <c r="K139" t="str" cm="1">
        <f t="array" ref="K139">IFERROR(DatumSzovegge2(INDEX(diakadat!$L$2:$L$50,MATCH(D139,diakadat!$J$2:$J$50,0),1)),"")</f>
        <v/>
      </c>
      <c r="L139" t="str" cm="1">
        <f t="array" ref="L139">IFERROR(DatumSzovegge5(INDEX(diakadat!$L$2:$L$50,MATCH(D139,diakadat!$J$2:$J$50,0),1)),"")</f>
        <v/>
      </c>
      <c r="M139" t="str" cm="1">
        <f t="array" ref="M139">IFERROR(DatumSzovegge3(INDEX(diakadat!$L$2:$L$50,MATCH(D139,diakadat!$J$2:$J$50,0),1)),"")</f>
        <v/>
      </c>
      <c r="N139" t="str" cm="1">
        <f t="array" ref="N139">IFERROR(DatumSzovegge4(INDEX(diakadat!$L$2:$L$50,MATCH(D139,diakadat!$J$2:$J$50,0),1)),"")</f>
        <v/>
      </c>
      <c r="O139" t="str">
        <f>IFERROR(INDEX(diakadat!$R$2:$R$50,MATCH(D139,diakadat!$J$2:$J$50,0),1),"")</f>
        <v/>
      </c>
      <c r="P139" t="str">
        <f>IFERROR(INDEX(diakadat!$AI$2:$AI$50,MATCH(D139,diakadat!$J$2:$J$50,0),1),"")</f>
        <v/>
      </c>
      <c r="Q139" t="str">
        <f>IFERROR(INDEX('rangsor'!$C$2:$C$343,MATCH(D139,'rangsor'!$A$2:$A$343,0),1),"")</f>
        <v/>
      </c>
      <c r="T139" t="s">
        <v>831</v>
      </c>
      <c r="U139" t="str" cm="1">
        <f t="array" ref="U139">Határozat(D139)</f>
        <v/>
      </c>
      <c r="AC139" t="str">
        <f>IFERROR(INDEX(diakadat!$U$2:$U$50,MATCH(D139,diakadat!$J$2:$J$50),1),"")</f>
        <v/>
      </c>
      <c r="AD139" t="str">
        <f>IFERROR(INDEX(diakadat!$V$2:$V$50,MATCH(D139,diakadat!$J$2:$J$50),1),"")</f>
        <v/>
      </c>
      <c r="AE139" t="str">
        <f>IFERROR(INDEX(diakadat!$W$2:$W$50,MATCH(D139,diakadat!$J$2:$J$50),1),"")</f>
        <v/>
      </c>
      <c r="AF139">
        <v>1016</v>
      </c>
      <c r="AG139" t="s">
        <v>912</v>
      </c>
      <c r="AH139" t="s">
        <v>1309</v>
      </c>
      <c r="AI139" t="str">
        <f>IFERROR(INDEX(diakadat!$X$2:$X$50,MATCH(D139,diakadat!$J$2:$J$50),1),"")</f>
        <v/>
      </c>
      <c r="AK139">
        <f t="shared" si="2"/>
        <v>329</v>
      </c>
      <c r="AL139" t="str" cm="1">
        <f t="array" ref="AL139">ElsoBetuNagy(R139)</f>
        <v/>
      </c>
      <c r="AO139" t="str" cm="1">
        <f t="array" ref="AO139">DatumSzovegge5(AN139)</f>
        <v>1899.</v>
      </c>
      <c r="AP139" t="str" cm="1">
        <f t="array" ref="AP139">DatumSzovegge3(AN139)</f>
        <v>december</v>
      </c>
      <c r="AQ139" t="str" cm="1">
        <f t="array" ref="AQ139">DatumSzovegge4(AN139)</f>
        <v>30.</v>
      </c>
    </row>
    <row r="140" spans="4:43" x14ac:dyDescent="0.25">
      <c r="D140" t="str" cm="1">
        <f t="array" ref="D140">SzuressNev($B$1,ROW()-1)</f>
        <v/>
      </c>
      <c r="E140">
        <f>COUNTIF($D$2:D140,D140)</f>
        <v>119</v>
      </c>
      <c r="F140" t="str" cm="1">
        <f t="array" ref="F140">ElutasitasEgyOk2(D140,E140)</f>
        <v/>
      </c>
      <c r="G140" t="str">
        <f>IFERROR(INDEX(diakadat!$I$2:$I$50,MATCH(D140,diakadat!$J$2:$J$50,0),1),"")</f>
        <v/>
      </c>
      <c r="H140" t="str">
        <f>IFERROR(INDEX(diakadat!$O$2:$O$50,MATCH(D140,diakadat!$J$2:$J$50,0),1),"")</f>
        <v/>
      </c>
      <c r="I140" t="str">
        <f>IFERROR(INDEX(diakadat!#REF!,MATCH(D140,diakadat!$J$2:$J$50,0),1),"")</f>
        <v/>
      </c>
      <c r="J140" t="str">
        <f>IFERROR(INDEX(diakadat!$K$2:$K$50,MATCH(D140,diakadat!$J$2:$J$50,0),1),"")</f>
        <v/>
      </c>
      <c r="K140" t="str" cm="1">
        <f t="array" ref="K140">IFERROR(DatumSzovegge2(INDEX(diakadat!$L$2:$L$50,MATCH(D140,diakadat!$J$2:$J$50,0),1)),"")</f>
        <v/>
      </c>
      <c r="L140" t="str" cm="1">
        <f t="array" ref="L140">IFERROR(DatumSzovegge5(INDEX(diakadat!$L$2:$L$50,MATCH(D140,diakadat!$J$2:$J$50,0),1)),"")</f>
        <v/>
      </c>
      <c r="M140" t="str" cm="1">
        <f t="array" ref="M140">IFERROR(DatumSzovegge3(INDEX(diakadat!$L$2:$L$50,MATCH(D140,diakadat!$J$2:$J$50,0),1)),"")</f>
        <v/>
      </c>
      <c r="N140" t="str" cm="1">
        <f t="array" ref="N140">IFERROR(DatumSzovegge4(INDEX(diakadat!$L$2:$L$50,MATCH(D140,diakadat!$J$2:$J$50,0),1)),"")</f>
        <v/>
      </c>
      <c r="O140" t="str">
        <f>IFERROR(INDEX(diakadat!$R$2:$R$50,MATCH(D140,diakadat!$J$2:$J$50,0),1),"")</f>
        <v/>
      </c>
      <c r="P140" t="str">
        <f>IFERROR(INDEX(diakadat!$AI$2:$AI$50,MATCH(D140,diakadat!$J$2:$J$50,0),1),"")</f>
        <v/>
      </c>
      <c r="Q140" t="str">
        <f>IFERROR(INDEX('rangsor'!$C$2:$C$343,MATCH(D140,'rangsor'!$A$2:$A$343,0),1),"")</f>
        <v/>
      </c>
      <c r="T140" t="s">
        <v>831</v>
      </c>
      <c r="U140" t="str" cm="1">
        <f t="array" ref="U140">Határozat(D140)</f>
        <v/>
      </c>
      <c r="AC140" t="str">
        <f>IFERROR(INDEX(diakadat!$U$2:$U$50,MATCH(D140,diakadat!$J$2:$J$50),1),"")</f>
        <v/>
      </c>
      <c r="AD140" t="str">
        <f>IFERROR(INDEX(diakadat!$V$2:$V$50,MATCH(D140,diakadat!$J$2:$J$50),1),"")</f>
        <v/>
      </c>
      <c r="AE140" t="str">
        <f>IFERROR(INDEX(diakadat!$W$2:$W$50,MATCH(D140,diakadat!$J$2:$J$50),1),"")</f>
        <v/>
      </c>
      <c r="AF140">
        <v>1158</v>
      </c>
      <c r="AG140" t="s">
        <v>912</v>
      </c>
      <c r="AH140" t="s">
        <v>1310</v>
      </c>
      <c r="AI140" t="str">
        <f>IFERROR(INDEX(diakadat!$X$2:$X$50,MATCH(D140,diakadat!$J$2:$J$50),1),"")</f>
        <v/>
      </c>
      <c r="AK140">
        <f t="shared" si="2"/>
        <v>329</v>
      </c>
      <c r="AL140" t="str" cm="1">
        <f t="array" ref="AL140">ElsoBetuNagy(R140)</f>
        <v/>
      </c>
      <c r="AO140" t="str" cm="1">
        <f t="array" ref="AO140">DatumSzovegge5(AN140)</f>
        <v>1899.</v>
      </c>
      <c r="AP140" t="str" cm="1">
        <f t="array" ref="AP140">DatumSzovegge3(AN140)</f>
        <v>december</v>
      </c>
      <c r="AQ140" t="str" cm="1">
        <f t="array" ref="AQ140">DatumSzovegge4(AN140)</f>
        <v>30.</v>
      </c>
    </row>
    <row r="141" spans="4:43" x14ac:dyDescent="0.25">
      <c r="D141" t="str" cm="1">
        <f t="array" ref="D141">SzuressNev($B$1,ROW()-1)</f>
        <v/>
      </c>
      <c r="E141">
        <f>COUNTIF($D$2:D141,D141)</f>
        <v>120</v>
      </c>
      <c r="F141" t="str" cm="1">
        <f t="array" ref="F141">ElutasitasEgyOk2(D141,E141)</f>
        <v/>
      </c>
      <c r="G141" t="str">
        <f>IFERROR(INDEX(diakadat!$I$2:$I$50,MATCH(D141,diakadat!$J$2:$J$50,0),1),"")</f>
        <v/>
      </c>
      <c r="H141" t="str">
        <f>IFERROR(INDEX(diakadat!$O$2:$O$50,MATCH(D141,diakadat!$J$2:$J$50,0),1),"")</f>
        <v/>
      </c>
      <c r="I141" t="str">
        <f>IFERROR(INDEX(diakadat!#REF!,MATCH(D141,diakadat!$J$2:$J$50,0),1),"")</f>
        <v/>
      </c>
      <c r="J141" t="str">
        <f>IFERROR(INDEX(diakadat!$K$2:$K$50,MATCH(D141,diakadat!$J$2:$J$50,0),1),"")</f>
        <v/>
      </c>
      <c r="K141" t="str" cm="1">
        <f t="array" ref="K141">IFERROR(DatumSzovegge2(INDEX(diakadat!$L$2:$L$50,MATCH(D141,diakadat!$J$2:$J$50,0),1)),"")</f>
        <v/>
      </c>
      <c r="L141" t="str" cm="1">
        <f t="array" ref="L141">IFERROR(DatumSzovegge5(INDEX(diakadat!$L$2:$L$50,MATCH(D141,diakadat!$J$2:$J$50,0),1)),"")</f>
        <v/>
      </c>
      <c r="M141" t="str" cm="1">
        <f t="array" ref="M141">IFERROR(DatumSzovegge3(INDEX(diakadat!$L$2:$L$50,MATCH(D141,diakadat!$J$2:$J$50,0),1)),"")</f>
        <v/>
      </c>
      <c r="N141" t="str" cm="1">
        <f t="array" ref="N141">IFERROR(DatumSzovegge4(INDEX(diakadat!$L$2:$L$50,MATCH(D141,diakadat!$J$2:$J$50,0),1)),"")</f>
        <v/>
      </c>
      <c r="O141" t="str">
        <f>IFERROR(INDEX(diakadat!$R$2:$R$50,MATCH(D141,diakadat!$J$2:$J$50,0),1),"")</f>
        <v/>
      </c>
      <c r="P141" t="str">
        <f>IFERROR(INDEX(diakadat!$AI$2:$AI$50,MATCH(D141,diakadat!$J$2:$J$50,0),1),"")</f>
        <v/>
      </c>
      <c r="Q141" t="str">
        <f>IFERROR(INDEX('rangsor'!$C$2:$C$343,MATCH(D141,'rangsor'!$A$2:$A$343,0),1),"")</f>
        <v/>
      </c>
      <c r="T141" t="s">
        <v>831</v>
      </c>
      <c r="U141" t="str" cm="1">
        <f t="array" ref="U141">Határozat(D141)</f>
        <v/>
      </c>
      <c r="AC141" t="str">
        <f>IFERROR(INDEX(diakadat!$U$2:$U$50,MATCH(D141,diakadat!$J$2:$J$50),1),"")</f>
        <v/>
      </c>
      <c r="AD141" t="str">
        <f>IFERROR(INDEX(diakadat!$V$2:$V$50,MATCH(D141,diakadat!$J$2:$J$50),1),"")</f>
        <v/>
      </c>
      <c r="AE141" t="str">
        <f>IFERROR(INDEX(diakadat!$W$2:$W$50,MATCH(D141,diakadat!$J$2:$J$50),1),"")</f>
        <v/>
      </c>
      <c r="AF141">
        <v>2030</v>
      </c>
      <c r="AG141" t="s">
        <v>1254</v>
      </c>
      <c r="AH141" t="s">
        <v>1311</v>
      </c>
      <c r="AI141" t="str">
        <f>IFERROR(INDEX(diakadat!$X$2:$X$50,MATCH(D141,diakadat!$J$2:$J$50),1),"")</f>
        <v/>
      </c>
      <c r="AK141">
        <f t="shared" si="2"/>
        <v>329</v>
      </c>
      <c r="AL141" t="str" cm="1">
        <f t="array" ref="AL141">ElsoBetuNagy(R141)</f>
        <v/>
      </c>
      <c r="AO141" t="str" cm="1">
        <f t="array" ref="AO141">DatumSzovegge5(AN141)</f>
        <v>1899.</v>
      </c>
      <c r="AP141" t="str" cm="1">
        <f t="array" ref="AP141">DatumSzovegge3(AN141)</f>
        <v>december</v>
      </c>
      <c r="AQ141" t="str" cm="1">
        <f t="array" ref="AQ141">DatumSzovegge4(AN141)</f>
        <v>30.</v>
      </c>
    </row>
    <row r="142" spans="4:43" x14ac:dyDescent="0.25">
      <c r="D142" t="str" cm="1">
        <f t="array" ref="D142">SzuressNev($B$1,ROW()-1)</f>
        <v/>
      </c>
      <c r="E142">
        <f>COUNTIF($D$2:D142,D142)</f>
        <v>121</v>
      </c>
      <c r="F142" t="str" cm="1">
        <f t="array" ref="F142">ElutasitasEgyOk2(D142,E142)</f>
        <v/>
      </c>
      <c r="G142" t="str">
        <f>IFERROR(INDEX(diakadat!$I$2:$I$50,MATCH(D142,diakadat!$J$2:$J$50,0),1),"")</f>
        <v/>
      </c>
      <c r="H142" t="str">
        <f>IFERROR(INDEX(diakadat!$O$2:$O$50,MATCH(D142,diakadat!$J$2:$J$50,0),1),"")</f>
        <v/>
      </c>
      <c r="I142" t="str">
        <f>IFERROR(INDEX(diakadat!#REF!,MATCH(D142,diakadat!$J$2:$J$50,0),1),"")</f>
        <v/>
      </c>
      <c r="J142" t="str">
        <f>IFERROR(INDEX(diakadat!$K$2:$K$50,MATCH(D142,diakadat!$J$2:$J$50,0),1),"")</f>
        <v/>
      </c>
      <c r="K142" t="str" cm="1">
        <f t="array" ref="K142">IFERROR(DatumSzovegge2(INDEX(diakadat!$L$2:$L$50,MATCH(D142,diakadat!$J$2:$J$50,0),1)),"")</f>
        <v/>
      </c>
      <c r="L142" t="str" cm="1">
        <f t="array" ref="L142">IFERROR(DatumSzovegge5(INDEX(diakadat!$L$2:$L$50,MATCH(D142,diakadat!$J$2:$J$50,0),1)),"")</f>
        <v/>
      </c>
      <c r="M142" t="str" cm="1">
        <f t="array" ref="M142">IFERROR(DatumSzovegge3(INDEX(diakadat!$L$2:$L$50,MATCH(D142,diakadat!$J$2:$J$50,0),1)),"")</f>
        <v/>
      </c>
      <c r="N142" t="str" cm="1">
        <f t="array" ref="N142">IFERROR(DatumSzovegge4(INDEX(diakadat!$L$2:$L$50,MATCH(D142,diakadat!$J$2:$J$50,0),1)),"")</f>
        <v/>
      </c>
      <c r="O142" t="str">
        <f>IFERROR(INDEX(diakadat!$R$2:$R$50,MATCH(D142,diakadat!$J$2:$J$50,0),1),"")</f>
        <v/>
      </c>
      <c r="P142" t="str">
        <f>IFERROR(INDEX(diakadat!$AI$2:$AI$50,MATCH(D142,diakadat!$J$2:$J$50,0),1),"")</f>
        <v/>
      </c>
      <c r="Q142" t="str">
        <f>IFERROR(INDEX('rangsor'!$C$2:$C$343,MATCH(D142,'rangsor'!$A$2:$A$343,0),1),"")</f>
        <v/>
      </c>
      <c r="T142" t="s">
        <v>831</v>
      </c>
      <c r="U142" t="str" cm="1">
        <f t="array" ref="U142">Határozat(D142)</f>
        <v/>
      </c>
      <c r="AC142" t="str">
        <f>IFERROR(INDEX(diakadat!$U$2:$U$50,MATCH(D142,diakadat!$J$2:$J$50),1),"")</f>
        <v/>
      </c>
      <c r="AD142" t="str">
        <f>IFERROR(INDEX(diakadat!$V$2:$V$50,MATCH(D142,diakadat!$J$2:$J$50),1),"")</f>
        <v/>
      </c>
      <c r="AE142" t="str">
        <f>IFERROR(INDEX(diakadat!$W$2:$W$50,MATCH(D142,diakadat!$J$2:$J$50),1),"")</f>
        <v/>
      </c>
      <c r="AF142">
        <v>2040</v>
      </c>
      <c r="AG142" t="s">
        <v>1178</v>
      </c>
      <c r="AH142" t="s">
        <v>1312</v>
      </c>
      <c r="AI142" t="str">
        <f>IFERROR(INDEX(diakadat!$X$2:$X$50,MATCH(D142,diakadat!$J$2:$J$50),1),"")</f>
        <v/>
      </c>
      <c r="AK142">
        <f t="shared" si="2"/>
        <v>329</v>
      </c>
      <c r="AL142" t="str" cm="1">
        <f t="array" ref="AL142">ElsoBetuNagy(R142)</f>
        <v/>
      </c>
      <c r="AO142" t="str" cm="1">
        <f t="array" ref="AO142">DatumSzovegge5(AN142)</f>
        <v>1899.</v>
      </c>
      <c r="AP142" t="str" cm="1">
        <f t="array" ref="AP142">DatumSzovegge3(AN142)</f>
        <v>december</v>
      </c>
      <c r="AQ142" t="str" cm="1">
        <f t="array" ref="AQ142">DatumSzovegge4(AN142)</f>
        <v>30.</v>
      </c>
    </row>
    <row r="143" spans="4:43" x14ac:dyDescent="0.25">
      <c r="D143" t="str" cm="1">
        <f t="array" ref="D143">SzuressNev($B$1,ROW()-1)</f>
        <v/>
      </c>
      <c r="E143">
        <f>COUNTIF($D$2:D143,D143)</f>
        <v>122</v>
      </c>
      <c r="F143" t="str" cm="1">
        <f t="array" ref="F143">ElutasitasEgyOk2(D143,E143)</f>
        <v/>
      </c>
      <c r="G143" t="str">
        <f>IFERROR(INDEX(diakadat!$I$2:$I$50,MATCH(D143,diakadat!$J$2:$J$50,0),1),"")</f>
        <v/>
      </c>
      <c r="H143" t="str">
        <f>IFERROR(INDEX(diakadat!$O$2:$O$50,MATCH(D143,diakadat!$J$2:$J$50,0),1),"")</f>
        <v/>
      </c>
      <c r="I143" t="str">
        <f>IFERROR(INDEX(diakadat!#REF!,MATCH(D143,diakadat!$J$2:$J$50,0),1),"")</f>
        <v/>
      </c>
      <c r="J143" t="str">
        <f>IFERROR(INDEX(diakadat!$K$2:$K$50,MATCH(D143,diakadat!$J$2:$J$50,0),1),"")</f>
        <v/>
      </c>
      <c r="K143" t="str" cm="1">
        <f t="array" ref="K143">IFERROR(DatumSzovegge2(INDEX(diakadat!$L$2:$L$50,MATCH(D143,diakadat!$J$2:$J$50,0),1)),"")</f>
        <v/>
      </c>
      <c r="L143" t="str" cm="1">
        <f t="array" ref="L143">IFERROR(DatumSzovegge5(INDEX(diakadat!$L$2:$L$50,MATCH(D143,diakadat!$J$2:$J$50,0),1)),"")</f>
        <v/>
      </c>
      <c r="M143" t="str" cm="1">
        <f t="array" ref="M143">IFERROR(DatumSzovegge3(INDEX(diakadat!$L$2:$L$50,MATCH(D143,diakadat!$J$2:$J$50,0),1)),"")</f>
        <v/>
      </c>
      <c r="N143" t="str" cm="1">
        <f t="array" ref="N143">IFERROR(DatumSzovegge4(INDEX(diakadat!$L$2:$L$50,MATCH(D143,diakadat!$J$2:$J$50,0),1)),"")</f>
        <v/>
      </c>
      <c r="O143" t="str">
        <f>IFERROR(INDEX(diakadat!$R$2:$R$50,MATCH(D143,diakadat!$J$2:$J$50,0),1),"")</f>
        <v/>
      </c>
      <c r="P143" t="str">
        <f>IFERROR(INDEX(diakadat!$AI$2:$AI$50,MATCH(D143,diakadat!$J$2:$J$50,0),1),"")</f>
        <v/>
      </c>
      <c r="Q143" t="str">
        <f>IFERROR(INDEX('rangsor'!$C$2:$C$343,MATCH(D143,'rangsor'!$A$2:$A$343,0),1),"")</f>
        <v/>
      </c>
      <c r="T143" t="s">
        <v>831</v>
      </c>
      <c r="U143" t="str" cm="1">
        <f t="array" ref="U143">Határozat(D143)</f>
        <v/>
      </c>
      <c r="AC143" t="str">
        <f>IFERROR(INDEX(diakadat!$U$2:$U$50,MATCH(D143,diakadat!$J$2:$J$50),1),"")</f>
        <v/>
      </c>
      <c r="AD143" t="str">
        <f>IFERROR(INDEX(diakadat!$V$2:$V$50,MATCH(D143,diakadat!$J$2:$J$50),1),"")</f>
        <v/>
      </c>
      <c r="AE143" t="str">
        <f>IFERROR(INDEX(diakadat!$W$2:$W$50,MATCH(D143,diakadat!$J$2:$J$50),1),"")</f>
        <v/>
      </c>
      <c r="AF143">
        <v>2040</v>
      </c>
      <c r="AG143" t="s">
        <v>1178</v>
      </c>
      <c r="AH143" t="s">
        <v>1313</v>
      </c>
      <c r="AI143" t="str">
        <f>IFERROR(INDEX(diakadat!$X$2:$X$50,MATCH(D143,diakadat!$J$2:$J$50),1),"")</f>
        <v/>
      </c>
      <c r="AK143">
        <f t="shared" si="2"/>
        <v>329</v>
      </c>
      <c r="AL143" t="str" cm="1">
        <f t="array" ref="AL143">ElsoBetuNagy(R143)</f>
        <v/>
      </c>
      <c r="AO143" t="str" cm="1">
        <f t="array" ref="AO143">DatumSzovegge5(AN143)</f>
        <v>1899.</v>
      </c>
      <c r="AP143" t="str" cm="1">
        <f t="array" ref="AP143">DatumSzovegge3(AN143)</f>
        <v>december</v>
      </c>
      <c r="AQ143" t="str" cm="1">
        <f t="array" ref="AQ143">DatumSzovegge4(AN143)</f>
        <v>30.</v>
      </c>
    </row>
    <row r="144" spans="4:43" x14ac:dyDescent="0.25">
      <c r="D144" t="str" cm="1">
        <f t="array" ref="D144">SzuressNev($B$1,ROW()-1)</f>
        <v/>
      </c>
      <c r="E144">
        <f>COUNTIF($D$2:D144,D144)</f>
        <v>123</v>
      </c>
      <c r="F144" t="str" cm="1">
        <f t="array" ref="F144">ElutasitasEgyOk2(D144,E144)</f>
        <v/>
      </c>
      <c r="G144" t="str">
        <f>IFERROR(INDEX(diakadat!$I$2:$I$50,MATCH(D144,diakadat!$J$2:$J$50,0),1),"")</f>
        <v/>
      </c>
      <c r="H144" t="str">
        <f>IFERROR(INDEX(diakadat!$O$2:$O$50,MATCH(D144,diakadat!$J$2:$J$50,0),1),"")</f>
        <v/>
      </c>
      <c r="I144" t="str">
        <f>IFERROR(INDEX(diakadat!#REF!,MATCH(D144,diakadat!$J$2:$J$50,0),1),"")</f>
        <v/>
      </c>
      <c r="J144" t="str">
        <f>IFERROR(INDEX(diakadat!$K$2:$K$50,MATCH(D144,diakadat!$J$2:$J$50,0),1),"")</f>
        <v/>
      </c>
      <c r="K144" t="str" cm="1">
        <f t="array" ref="K144">IFERROR(DatumSzovegge2(INDEX(diakadat!$L$2:$L$50,MATCH(D144,diakadat!$J$2:$J$50,0),1)),"")</f>
        <v/>
      </c>
      <c r="L144" t="str" cm="1">
        <f t="array" ref="L144">IFERROR(DatumSzovegge5(INDEX(diakadat!$L$2:$L$50,MATCH(D144,diakadat!$J$2:$J$50,0),1)),"")</f>
        <v/>
      </c>
      <c r="M144" t="str" cm="1">
        <f t="array" ref="M144">IFERROR(DatumSzovegge3(INDEX(diakadat!$L$2:$L$50,MATCH(D144,diakadat!$J$2:$J$50,0),1)),"")</f>
        <v/>
      </c>
      <c r="N144" t="str" cm="1">
        <f t="array" ref="N144">IFERROR(DatumSzovegge4(INDEX(diakadat!$L$2:$L$50,MATCH(D144,diakadat!$J$2:$J$50,0),1)),"")</f>
        <v/>
      </c>
      <c r="O144" t="str">
        <f>IFERROR(INDEX(diakadat!$R$2:$R$50,MATCH(D144,diakadat!$J$2:$J$50,0),1),"")</f>
        <v/>
      </c>
      <c r="P144" t="str">
        <f>IFERROR(INDEX(diakadat!$AI$2:$AI$50,MATCH(D144,diakadat!$J$2:$J$50,0),1),"")</f>
        <v/>
      </c>
      <c r="Q144" t="str">
        <f>IFERROR(INDEX('rangsor'!$C$2:$C$343,MATCH(D144,'rangsor'!$A$2:$A$343,0),1),"")</f>
        <v/>
      </c>
      <c r="T144" t="s">
        <v>831</v>
      </c>
      <c r="U144" t="str" cm="1">
        <f t="array" ref="U144">Határozat(D144)</f>
        <v/>
      </c>
      <c r="AC144" t="str">
        <f>IFERROR(INDEX(diakadat!$U$2:$U$50,MATCH(D144,diakadat!$J$2:$J$50),1),"")</f>
        <v/>
      </c>
      <c r="AD144" t="str">
        <f>IFERROR(INDEX(diakadat!$V$2:$V$50,MATCH(D144,diakadat!$J$2:$J$50),1),"")</f>
        <v/>
      </c>
      <c r="AE144" t="str">
        <f>IFERROR(INDEX(diakadat!$W$2:$W$50,MATCH(D144,diakadat!$J$2:$J$50),1),"")</f>
        <v/>
      </c>
      <c r="AF144">
        <v>1031</v>
      </c>
      <c r="AG144" t="s">
        <v>912</v>
      </c>
      <c r="AH144" t="s">
        <v>1314</v>
      </c>
      <c r="AI144" t="str">
        <f>IFERROR(INDEX(diakadat!$X$2:$X$50,MATCH(D144,diakadat!$J$2:$J$50),1),"")</f>
        <v/>
      </c>
      <c r="AK144">
        <f t="shared" si="2"/>
        <v>329</v>
      </c>
      <c r="AL144" t="str" cm="1">
        <f t="array" ref="AL144">ElsoBetuNagy(R144)</f>
        <v/>
      </c>
      <c r="AO144" t="str" cm="1">
        <f t="array" ref="AO144">DatumSzovegge5(AN144)</f>
        <v>1899.</v>
      </c>
      <c r="AP144" t="str" cm="1">
        <f t="array" ref="AP144">DatumSzovegge3(AN144)</f>
        <v>december</v>
      </c>
      <c r="AQ144" t="str" cm="1">
        <f t="array" ref="AQ144">DatumSzovegge4(AN144)</f>
        <v>30.</v>
      </c>
    </row>
    <row r="145" spans="4:43" x14ac:dyDescent="0.25">
      <c r="D145" t="str" cm="1">
        <f t="array" ref="D145">SzuressNev($B$1,ROW()-1)</f>
        <v/>
      </c>
      <c r="E145">
        <f>COUNTIF($D$2:D145,D145)</f>
        <v>124</v>
      </c>
      <c r="F145" t="str" cm="1">
        <f t="array" ref="F145">ElutasitasEgyOk2(D145,E145)</f>
        <v/>
      </c>
      <c r="G145" t="str">
        <f>IFERROR(INDEX(diakadat!$I$2:$I$50,MATCH(D145,diakadat!$J$2:$J$50,0),1),"")</f>
        <v/>
      </c>
      <c r="H145" t="str">
        <f>IFERROR(INDEX(diakadat!$O$2:$O$50,MATCH(D145,diakadat!$J$2:$J$50,0),1),"")</f>
        <v/>
      </c>
      <c r="I145" t="str">
        <f>IFERROR(INDEX(diakadat!#REF!,MATCH(D145,diakadat!$J$2:$J$50,0),1),"")</f>
        <v/>
      </c>
      <c r="J145" t="str">
        <f>IFERROR(INDEX(diakadat!$K$2:$K$50,MATCH(D145,diakadat!$J$2:$J$50,0),1),"")</f>
        <v/>
      </c>
      <c r="K145" t="str" cm="1">
        <f t="array" ref="K145">IFERROR(DatumSzovegge2(INDEX(diakadat!$L$2:$L$50,MATCH(D145,diakadat!$J$2:$J$50,0),1)),"")</f>
        <v/>
      </c>
      <c r="L145" t="str" cm="1">
        <f t="array" ref="L145">IFERROR(DatumSzovegge5(INDEX(diakadat!$L$2:$L$50,MATCH(D145,diakadat!$J$2:$J$50,0),1)),"")</f>
        <v/>
      </c>
      <c r="M145" t="str" cm="1">
        <f t="array" ref="M145">IFERROR(DatumSzovegge3(INDEX(diakadat!$L$2:$L$50,MATCH(D145,diakadat!$J$2:$J$50,0),1)),"")</f>
        <v/>
      </c>
      <c r="N145" t="str" cm="1">
        <f t="array" ref="N145">IFERROR(DatumSzovegge4(INDEX(diakadat!$L$2:$L$50,MATCH(D145,diakadat!$J$2:$J$50,0),1)),"")</f>
        <v/>
      </c>
      <c r="O145" t="str">
        <f>IFERROR(INDEX(diakadat!$R$2:$R$50,MATCH(D145,diakadat!$J$2:$J$50,0),1),"")</f>
        <v/>
      </c>
      <c r="P145" t="str">
        <f>IFERROR(INDEX(diakadat!$AI$2:$AI$50,MATCH(D145,diakadat!$J$2:$J$50,0),1),"")</f>
        <v/>
      </c>
      <c r="Q145" t="str">
        <f>IFERROR(INDEX('rangsor'!$C$2:$C$343,MATCH(D145,'rangsor'!$A$2:$A$343,0),1),"")</f>
        <v/>
      </c>
      <c r="T145" t="s">
        <v>831</v>
      </c>
      <c r="U145" t="str" cm="1">
        <f t="array" ref="U145">Határozat(D145)</f>
        <v/>
      </c>
      <c r="AC145" t="str">
        <f>IFERROR(INDEX(diakadat!$U$2:$U$50,MATCH(D145,diakadat!$J$2:$J$50),1),"")</f>
        <v/>
      </c>
      <c r="AD145" t="str">
        <f>IFERROR(INDEX(diakadat!$V$2:$V$50,MATCH(D145,diakadat!$J$2:$J$50),1),"")</f>
        <v/>
      </c>
      <c r="AE145" t="str">
        <f>IFERROR(INDEX(diakadat!$W$2:$W$50,MATCH(D145,diakadat!$J$2:$J$50),1),"")</f>
        <v/>
      </c>
      <c r="AF145">
        <v>1085</v>
      </c>
      <c r="AG145" t="s">
        <v>912</v>
      </c>
      <c r="AH145" t="s">
        <v>1315</v>
      </c>
      <c r="AI145" t="str">
        <f>IFERROR(INDEX(diakadat!$X$2:$X$50,MATCH(D145,diakadat!$J$2:$J$50),1),"")</f>
        <v/>
      </c>
      <c r="AK145">
        <f t="shared" si="2"/>
        <v>329</v>
      </c>
      <c r="AL145" t="str" cm="1">
        <f t="array" ref="AL145">ElsoBetuNagy(R145)</f>
        <v/>
      </c>
      <c r="AO145" t="str" cm="1">
        <f t="array" ref="AO145">DatumSzovegge5(AN145)</f>
        <v>1899.</v>
      </c>
      <c r="AP145" t="str" cm="1">
        <f t="array" ref="AP145">DatumSzovegge3(AN145)</f>
        <v>december</v>
      </c>
      <c r="AQ145" t="str" cm="1">
        <f t="array" ref="AQ145">DatumSzovegge4(AN145)</f>
        <v>30.</v>
      </c>
    </row>
    <row r="146" spans="4:43" x14ac:dyDescent="0.25">
      <c r="D146" t="str" cm="1">
        <f t="array" ref="D146">SzuressNev($B$1,ROW()-1)</f>
        <v/>
      </c>
      <c r="E146">
        <f>COUNTIF($D$2:D146,D146)</f>
        <v>125</v>
      </c>
      <c r="F146" t="str" cm="1">
        <f t="array" ref="F146">ElutasitasEgyOk2(D146,E146)</f>
        <v/>
      </c>
      <c r="G146" t="str">
        <f>IFERROR(INDEX(diakadat!$I$2:$I$50,MATCH(D146,diakadat!$J$2:$J$50,0),1),"")</f>
        <v/>
      </c>
      <c r="H146" t="str">
        <f>IFERROR(INDEX(diakadat!$O$2:$O$50,MATCH(D146,diakadat!$J$2:$J$50,0),1),"")</f>
        <v/>
      </c>
      <c r="I146" t="str">
        <f>IFERROR(INDEX(diakadat!#REF!,MATCH(D146,diakadat!$J$2:$J$50,0),1),"")</f>
        <v/>
      </c>
      <c r="J146" t="str">
        <f>IFERROR(INDEX(diakadat!$K$2:$K$50,MATCH(D146,diakadat!$J$2:$J$50,0),1),"")</f>
        <v/>
      </c>
      <c r="K146" t="str" cm="1">
        <f t="array" ref="K146">IFERROR(DatumSzovegge2(INDEX(diakadat!$L$2:$L$50,MATCH(D146,diakadat!$J$2:$J$50,0),1)),"")</f>
        <v/>
      </c>
      <c r="L146" t="str" cm="1">
        <f t="array" ref="L146">IFERROR(DatumSzovegge5(INDEX(diakadat!$L$2:$L$50,MATCH(D146,diakadat!$J$2:$J$50,0),1)),"")</f>
        <v/>
      </c>
      <c r="M146" t="str" cm="1">
        <f t="array" ref="M146">IFERROR(DatumSzovegge3(INDEX(diakadat!$L$2:$L$50,MATCH(D146,diakadat!$J$2:$J$50,0),1)),"")</f>
        <v/>
      </c>
      <c r="N146" t="str" cm="1">
        <f t="array" ref="N146">IFERROR(DatumSzovegge4(INDEX(diakadat!$L$2:$L$50,MATCH(D146,diakadat!$J$2:$J$50,0),1)),"")</f>
        <v/>
      </c>
      <c r="O146" t="str">
        <f>IFERROR(INDEX(diakadat!$R$2:$R$50,MATCH(D146,diakadat!$J$2:$J$50,0),1),"")</f>
        <v/>
      </c>
      <c r="P146" t="str">
        <f>IFERROR(INDEX(diakadat!$AI$2:$AI$50,MATCH(D146,diakadat!$J$2:$J$50,0),1),"")</f>
        <v/>
      </c>
      <c r="Q146" t="str">
        <f>IFERROR(INDEX('rangsor'!$C$2:$C$343,MATCH(D146,'rangsor'!$A$2:$A$343,0),1),"")</f>
        <v/>
      </c>
      <c r="T146" t="s">
        <v>831</v>
      </c>
      <c r="U146" t="str" cm="1">
        <f t="array" ref="U146">Határozat(D146)</f>
        <v/>
      </c>
      <c r="AC146" t="str">
        <f>IFERROR(INDEX(diakadat!$U$2:$U$50,MATCH(D146,diakadat!$J$2:$J$50),1),"")</f>
        <v/>
      </c>
      <c r="AD146" t="str">
        <f>IFERROR(INDEX(diakadat!$V$2:$V$50,MATCH(D146,diakadat!$J$2:$J$50),1),"")</f>
        <v/>
      </c>
      <c r="AE146" t="str">
        <f>IFERROR(INDEX(diakadat!$W$2:$W$50,MATCH(D146,diakadat!$J$2:$J$50),1),"")</f>
        <v/>
      </c>
      <c r="AF146">
        <v>2213</v>
      </c>
      <c r="AG146" t="s">
        <v>1316</v>
      </c>
      <c r="AH146" t="s">
        <v>1317</v>
      </c>
      <c r="AI146" t="str">
        <f>IFERROR(INDEX(diakadat!$X$2:$X$50,MATCH(D146,diakadat!$J$2:$J$50),1),"")</f>
        <v/>
      </c>
      <c r="AK146">
        <f t="shared" si="2"/>
        <v>329</v>
      </c>
      <c r="AL146" t="str" cm="1">
        <f t="array" ref="AL146">ElsoBetuNagy(R146)</f>
        <v/>
      </c>
      <c r="AO146" t="str" cm="1">
        <f t="array" ref="AO146">DatumSzovegge5(AN146)</f>
        <v>1899.</v>
      </c>
      <c r="AP146" t="str" cm="1">
        <f t="array" ref="AP146">DatumSzovegge3(AN146)</f>
        <v>december</v>
      </c>
      <c r="AQ146" t="str" cm="1">
        <f t="array" ref="AQ146">DatumSzovegge4(AN146)</f>
        <v>30.</v>
      </c>
    </row>
    <row r="147" spans="4:43" x14ac:dyDescent="0.25">
      <c r="D147" t="str" cm="1">
        <f t="array" ref="D147">SzuressNev($B$1,ROW()-1)</f>
        <v/>
      </c>
      <c r="E147">
        <f>COUNTIF($D$2:D147,D147)</f>
        <v>126</v>
      </c>
      <c r="F147" t="str" cm="1">
        <f t="array" ref="F147">ElutasitasEgyOk2(D147,E147)</f>
        <v/>
      </c>
      <c r="G147" t="str">
        <f>IFERROR(INDEX(diakadat!$I$2:$I$50,MATCH(D147,diakadat!$J$2:$J$50,0),1),"")</f>
        <v/>
      </c>
      <c r="H147" t="str">
        <f>IFERROR(INDEX(diakadat!$O$2:$O$50,MATCH(D147,diakadat!$J$2:$J$50,0),1),"")</f>
        <v/>
      </c>
      <c r="I147" t="str">
        <f>IFERROR(INDEX(diakadat!#REF!,MATCH(D147,diakadat!$J$2:$J$50,0),1),"")</f>
        <v/>
      </c>
      <c r="J147" t="str">
        <f>IFERROR(INDEX(diakadat!$K$2:$K$50,MATCH(D147,diakadat!$J$2:$J$50,0),1),"")</f>
        <v/>
      </c>
      <c r="K147" t="str" cm="1">
        <f t="array" ref="K147">IFERROR(DatumSzovegge2(INDEX(diakadat!$L$2:$L$50,MATCH(D147,diakadat!$J$2:$J$50,0),1)),"")</f>
        <v/>
      </c>
      <c r="L147" t="str" cm="1">
        <f t="array" ref="L147">IFERROR(DatumSzovegge5(INDEX(diakadat!$L$2:$L$50,MATCH(D147,diakadat!$J$2:$J$50,0),1)),"")</f>
        <v/>
      </c>
      <c r="M147" t="str" cm="1">
        <f t="array" ref="M147">IFERROR(DatumSzovegge3(INDEX(diakadat!$L$2:$L$50,MATCH(D147,diakadat!$J$2:$J$50,0),1)),"")</f>
        <v/>
      </c>
      <c r="N147" t="str" cm="1">
        <f t="array" ref="N147">IFERROR(DatumSzovegge4(INDEX(diakadat!$L$2:$L$50,MATCH(D147,diakadat!$J$2:$J$50,0),1)),"")</f>
        <v/>
      </c>
      <c r="O147" t="str">
        <f>IFERROR(INDEX(diakadat!$R$2:$R$50,MATCH(D147,diakadat!$J$2:$J$50,0),1),"")</f>
        <v/>
      </c>
      <c r="P147" t="str">
        <f>IFERROR(INDEX(diakadat!$AI$2:$AI$50,MATCH(D147,diakadat!$J$2:$J$50,0),1),"")</f>
        <v/>
      </c>
      <c r="Q147" t="str">
        <f>IFERROR(INDEX('rangsor'!$C$2:$C$343,MATCH(D147,'rangsor'!$A$2:$A$343,0),1),"")</f>
        <v/>
      </c>
      <c r="T147" t="s">
        <v>831</v>
      </c>
      <c r="U147" t="str" cm="1">
        <f t="array" ref="U147">Határozat(D147)</f>
        <v/>
      </c>
      <c r="AC147" t="str">
        <f>IFERROR(INDEX(diakadat!$U$2:$U$50,MATCH(D147,diakadat!$J$2:$J$50),1),"")</f>
        <v/>
      </c>
      <c r="AD147" t="str">
        <f>IFERROR(INDEX(diakadat!$V$2:$V$50,MATCH(D147,diakadat!$J$2:$J$50),1),"")</f>
        <v/>
      </c>
      <c r="AE147" t="str">
        <f>IFERROR(INDEX(diakadat!$W$2:$W$50,MATCH(D147,diakadat!$J$2:$J$50),1),"")</f>
        <v/>
      </c>
      <c r="AF147">
        <v>2094</v>
      </c>
      <c r="AG147" t="s">
        <v>1318</v>
      </c>
      <c r="AH147" t="s">
        <v>1319</v>
      </c>
      <c r="AI147" t="str">
        <f>IFERROR(INDEX(diakadat!$X$2:$X$50,MATCH(D147,diakadat!$J$2:$J$50),1),"")</f>
        <v/>
      </c>
      <c r="AK147">
        <f t="shared" si="2"/>
        <v>329</v>
      </c>
      <c r="AL147" t="str" cm="1">
        <f t="array" ref="AL147">ElsoBetuNagy(R147)</f>
        <v/>
      </c>
      <c r="AO147" t="str" cm="1">
        <f t="array" ref="AO147">DatumSzovegge5(AN147)</f>
        <v>1899.</v>
      </c>
      <c r="AP147" t="str" cm="1">
        <f t="array" ref="AP147">DatumSzovegge3(AN147)</f>
        <v>december</v>
      </c>
      <c r="AQ147" t="str" cm="1">
        <f t="array" ref="AQ147">DatumSzovegge4(AN147)</f>
        <v>30.</v>
      </c>
    </row>
    <row r="148" spans="4:43" x14ac:dyDescent="0.25">
      <c r="D148" t="str" cm="1">
        <f t="array" ref="D148">SzuressNev($B$1,ROW()-1)</f>
        <v/>
      </c>
      <c r="E148">
        <f>COUNTIF($D$2:D148,D148)</f>
        <v>127</v>
      </c>
      <c r="F148" t="str" cm="1">
        <f t="array" ref="F148">ElutasitasEgyOk2(D148,E148)</f>
        <v/>
      </c>
      <c r="G148" t="str">
        <f>IFERROR(INDEX(diakadat!$I$2:$I$50,MATCH(D148,diakadat!$J$2:$J$50,0),1),"")</f>
        <v/>
      </c>
      <c r="H148" t="str">
        <f>IFERROR(INDEX(diakadat!$O$2:$O$50,MATCH(D148,diakadat!$J$2:$J$50,0),1),"")</f>
        <v/>
      </c>
      <c r="I148" t="str">
        <f>IFERROR(INDEX(diakadat!#REF!,MATCH(D148,diakadat!$J$2:$J$50,0),1),"")</f>
        <v/>
      </c>
      <c r="J148" t="str">
        <f>IFERROR(INDEX(diakadat!$K$2:$K$50,MATCH(D148,diakadat!$J$2:$J$50,0),1),"")</f>
        <v/>
      </c>
      <c r="K148" t="str" cm="1">
        <f t="array" ref="K148">IFERROR(DatumSzovegge2(INDEX(diakadat!$L$2:$L$50,MATCH(D148,diakadat!$J$2:$J$50,0),1)),"")</f>
        <v/>
      </c>
      <c r="L148" t="str" cm="1">
        <f t="array" ref="L148">IFERROR(DatumSzovegge5(INDEX(diakadat!$L$2:$L$50,MATCH(D148,diakadat!$J$2:$J$50,0),1)),"")</f>
        <v/>
      </c>
      <c r="M148" t="str" cm="1">
        <f t="array" ref="M148">IFERROR(DatumSzovegge3(INDEX(diakadat!$L$2:$L$50,MATCH(D148,diakadat!$J$2:$J$50,0),1)),"")</f>
        <v/>
      </c>
      <c r="N148" t="str" cm="1">
        <f t="array" ref="N148">IFERROR(DatumSzovegge4(INDEX(diakadat!$L$2:$L$50,MATCH(D148,diakadat!$J$2:$J$50,0),1)),"")</f>
        <v/>
      </c>
      <c r="O148" t="str">
        <f>IFERROR(INDEX(diakadat!$R$2:$R$50,MATCH(D148,diakadat!$J$2:$J$50,0),1),"")</f>
        <v/>
      </c>
      <c r="P148" t="str">
        <f>IFERROR(INDEX(diakadat!$AI$2:$AI$50,MATCH(D148,diakadat!$J$2:$J$50,0),1),"")</f>
        <v/>
      </c>
      <c r="Q148" t="str">
        <f>IFERROR(INDEX('rangsor'!$C$2:$C$343,MATCH(D148,'rangsor'!$A$2:$A$343,0),1),"")</f>
        <v/>
      </c>
      <c r="T148" t="s">
        <v>831</v>
      </c>
      <c r="U148" t="str" cm="1">
        <f t="array" ref="U148">Határozat(D148)</f>
        <v/>
      </c>
      <c r="AC148" t="str">
        <f>IFERROR(INDEX(diakadat!$U$2:$U$50,MATCH(D148,diakadat!$J$2:$J$50),1),"")</f>
        <v/>
      </c>
      <c r="AD148" t="str">
        <f>IFERROR(INDEX(diakadat!$V$2:$V$50,MATCH(D148,diakadat!$J$2:$J$50),1),"")</f>
        <v/>
      </c>
      <c r="AE148" t="str">
        <f>IFERROR(INDEX(diakadat!$W$2:$W$50,MATCH(D148,diakadat!$J$2:$J$50),1),"")</f>
        <v/>
      </c>
      <c r="AF148">
        <v>1126</v>
      </c>
      <c r="AG148" t="s">
        <v>912</v>
      </c>
      <c r="AH148" t="s">
        <v>1320</v>
      </c>
      <c r="AI148" t="str">
        <f>IFERROR(INDEX(diakadat!$X$2:$X$50,MATCH(D148,diakadat!$J$2:$J$50),1),"")</f>
        <v/>
      </c>
      <c r="AK148">
        <f t="shared" si="2"/>
        <v>329</v>
      </c>
      <c r="AL148" t="str" cm="1">
        <f t="array" ref="AL148">ElsoBetuNagy(R148)</f>
        <v/>
      </c>
      <c r="AO148" t="str" cm="1">
        <f t="array" ref="AO148">DatumSzovegge5(AN148)</f>
        <v>1899.</v>
      </c>
      <c r="AP148" t="str" cm="1">
        <f t="array" ref="AP148">DatumSzovegge3(AN148)</f>
        <v>december</v>
      </c>
      <c r="AQ148" t="str" cm="1">
        <f t="array" ref="AQ148">DatumSzovegge4(AN148)</f>
        <v>30.</v>
      </c>
    </row>
    <row r="149" spans="4:43" x14ac:dyDescent="0.25">
      <c r="D149" t="str" cm="1">
        <f t="array" ref="D149">SzuressNev($B$1,ROW()-1)</f>
        <v/>
      </c>
      <c r="E149">
        <f>COUNTIF($D$2:D149,D149)</f>
        <v>128</v>
      </c>
      <c r="F149" t="str" cm="1">
        <f t="array" ref="F149">ElutasitasEgyOk2(D149,E149)</f>
        <v/>
      </c>
      <c r="G149" t="str">
        <f>IFERROR(INDEX(diakadat!$I$2:$I$50,MATCH(D149,diakadat!$J$2:$J$50,0),1),"")</f>
        <v/>
      </c>
      <c r="H149" t="str">
        <f>IFERROR(INDEX(diakadat!$O$2:$O$50,MATCH(D149,diakadat!$J$2:$J$50,0),1),"")</f>
        <v/>
      </c>
      <c r="I149" t="str">
        <f>IFERROR(INDEX(diakadat!#REF!,MATCH(D149,diakadat!$J$2:$J$50,0),1),"")</f>
        <v/>
      </c>
      <c r="J149" t="str">
        <f>IFERROR(INDEX(diakadat!$K$2:$K$50,MATCH(D149,diakadat!$J$2:$J$50,0),1),"")</f>
        <v/>
      </c>
      <c r="K149" t="str" cm="1">
        <f t="array" ref="K149">IFERROR(DatumSzovegge2(INDEX(diakadat!$L$2:$L$50,MATCH(D149,diakadat!$J$2:$J$50,0),1)),"")</f>
        <v/>
      </c>
      <c r="L149" t="str" cm="1">
        <f t="array" ref="L149">IFERROR(DatumSzovegge5(INDEX(diakadat!$L$2:$L$50,MATCH(D149,diakadat!$J$2:$J$50,0),1)),"")</f>
        <v/>
      </c>
      <c r="M149" t="str" cm="1">
        <f t="array" ref="M149">IFERROR(DatumSzovegge3(INDEX(diakadat!$L$2:$L$50,MATCH(D149,diakadat!$J$2:$J$50,0),1)),"")</f>
        <v/>
      </c>
      <c r="N149" t="str" cm="1">
        <f t="array" ref="N149">IFERROR(DatumSzovegge4(INDEX(diakadat!$L$2:$L$50,MATCH(D149,diakadat!$J$2:$J$50,0),1)),"")</f>
        <v/>
      </c>
      <c r="O149" t="str">
        <f>IFERROR(INDEX(diakadat!$R$2:$R$50,MATCH(D149,diakadat!$J$2:$J$50,0),1),"")</f>
        <v/>
      </c>
      <c r="P149" t="str">
        <f>IFERROR(INDEX(diakadat!$AI$2:$AI$50,MATCH(D149,diakadat!$J$2:$J$50,0),1),"")</f>
        <v/>
      </c>
      <c r="Q149" t="str">
        <f>IFERROR(INDEX('rangsor'!$C$2:$C$343,MATCH(D149,'rangsor'!$A$2:$A$343,0),1),"")</f>
        <v/>
      </c>
      <c r="T149" t="s">
        <v>831</v>
      </c>
      <c r="U149" t="str" cm="1">
        <f t="array" ref="U149">Határozat(D149)</f>
        <v/>
      </c>
      <c r="AC149" t="str">
        <f>IFERROR(INDEX(diakadat!$U$2:$U$50,MATCH(D149,diakadat!$J$2:$J$50),1),"")</f>
        <v/>
      </c>
      <c r="AD149" t="str">
        <f>IFERROR(INDEX(diakadat!$V$2:$V$50,MATCH(D149,diakadat!$J$2:$J$50),1),"")</f>
        <v/>
      </c>
      <c r="AE149" t="str">
        <f>IFERROR(INDEX(diakadat!$W$2:$W$50,MATCH(D149,diakadat!$J$2:$J$50),1),"")</f>
        <v/>
      </c>
      <c r="AF149">
        <v>4266</v>
      </c>
      <c r="AG149" t="s">
        <v>1321</v>
      </c>
      <c r="AH149" t="s">
        <v>1322</v>
      </c>
      <c r="AI149" t="str">
        <f>IFERROR(INDEX(diakadat!$X$2:$X$50,MATCH(D149,diakadat!$J$2:$J$50),1),"")</f>
        <v/>
      </c>
      <c r="AK149">
        <f t="shared" si="2"/>
        <v>329</v>
      </c>
      <c r="AL149" t="str" cm="1">
        <f t="array" ref="AL149">ElsoBetuNagy(R149)</f>
        <v/>
      </c>
      <c r="AO149" t="str" cm="1">
        <f t="array" ref="AO149">DatumSzovegge5(AN149)</f>
        <v>1899.</v>
      </c>
      <c r="AP149" t="str" cm="1">
        <f t="array" ref="AP149">DatumSzovegge3(AN149)</f>
        <v>december</v>
      </c>
      <c r="AQ149" t="str" cm="1">
        <f t="array" ref="AQ149">DatumSzovegge4(AN149)</f>
        <v>30.</v>
      </c>
    </row>
    <row r="150" spans="4:43" x14ac:dyDescent="0.25">
      <c r="D150" t="str" cm="1">
        <f t="array" ref="D150">SzuressNev($B$1,ROW()-1)</f>
        <v/>
      </c>
      <c r="E150">
        <f>COUNTIF($D$2:D150,D150)</f>
        <v>129</v>
      </c>
      <c r="F150" t="str" cm="1">
        <f t="array" ref="F150">ElutasitasEgyOk2(D150,E150)</f>
        <v/>
      </c>
      <c r="G150" t="str">
        <f>IFERROR(INDEX(diakadat!$I$2:$I$50,MATCH(D150,diakadat!$J$2:$J$50,0),1),"")</f>
        <v/>
      </c>
      <c r="H150" t="str">
        <f>IFERROR(INDEX(diakadat!$O$2:$O$50,MATCH(D150,diakadat!$J$2:$J$50,0),1),"")</f>
        <v/>
      </c>
      <c r="I150" t="str">
        <f>IFERROR(INDEX(diakadat!#REF!,MATCH(D150,diakadat!$J$2:$J$50,0),1),"")</f>
        <v/>
      </c>
      <c r="J150" t="str">
        <f>IFERROR(INDEX(diakadat!$K$2:$K$50,MATCH(D150,diakadat!$J$2:$J$50,0),1),"")</f>
        <v/>
      </c>
      <c r="K150" t="str" cm="1">
        <f t="array" ref="K150">IFERROR(DatumSzovegge2(INDEX(diakadat!$L$2:$L$50,MATCH(D150,diakadat!$J$2:$J$50,0),1)),"")</f>
        <v/>
      </c>
      <c r="L150" t="str" cm="1">
        <f t="array" ref="L150">IFERROR(DatumSzovegge5(INDEX(diakadat!$L$2:$L$50,MATCH(D150,diakadat!$J$2:$J$50,0),1)),"")</f>
        <v/>
      </c>
      <c r="M150" t="str" cm="1">
        <f t="array" ref="M150">IFERROR(DatumSzovegge3(INDEX(diakadat!$L$2:$L$50,MATCH(D150,diakadat!$J$2:$J$50,0),1)),"")</f>
        <v/>
      </c>
      <c r="N150" t="str" cm="1">
        <f t="array" ref="N150">IFERROR(DatumSzovegge4(INDEX(diakadat!$L$2:$L$50,MATCH(D150,diakadat!$J$2:$J$50,0),1)),"")</f>
        <v/>
      </c>
      <c r="O150" t="str">
        <f>IFERROR(INDEX(diakadat!$R$2:$R$50,MATCH(D150,diakadat!$J$2:$J$50,0),1),"")</f>
        <v/>
      </c>
      <c r="P150" t="str">
        <f>IFERROR(INDEX(diakadat!$AI$2:$AI$50,MATCH(D150,diakadat!$J$2:$J$50,0),1),"")</f>
        <v/>
      </c>
      <c r="Q150" t="str">
        <f>IFERROR(INDEX('rangsor'!$C$2:$C$343,MATCH(D150,'rangsor'!$A$2:$A$343,0),1),"")</f>
        <v/>
      </c>
      <c r="T150" t="s">
        <v>831</v>
      </c>
      <c r="U150" t="str" cm="1">
        <f t="array" ref="U150">Határozat(D150)</f>
        <v/>
      </c>
      <c r="AC150" t="str">
        <f>IFERROR(INDEX(diakadat!$U$2:$U$50,MATCH(D150,diakadat!$J$2:$J$50),1),"")</f>
        <v/>
      </c>
      <c r="AD150" t="str">
        <f>IFERROR(INDEX(diakadat!$V$2:$V$50,MATCH(D150,diakadat!$J$2:$J$50),1),"")</f>
        <v/>
      </c>
      <c r="AE150" t="str">
        <f>IFERROR(INDEX(diakadat!$W$2:$W$50,MATCH(D150,diakadat!$J$2:$J$50),1),"")</f>
        <v/>
      </c>
      <c r="AF150">
        <v>1033</v>
      </c>
      <c r="AG150" t="s">
        <v>912</v>
      </c>
      <c r="AH150" t="s">
        <v>1323</v>
      </c>
      <c r="AI150" t="str">
        <f>IFERROR(INDEX(diakadat!$X$2:$X$50,MATCH(D150,diakadat!$J$2:$J$50),1),"")</f>
        <v/>
      </c>
      <c r="AK150">
        <f t="shared" si="2"/>
        <v>329</v>
      </c>
      <c r="AL150" t="str" cm="1">
        <f t="array" ref="AL150">ElsoBetuNagy(R150)</f>
        <v/>
      </c>
      <c r="AO150" t="str" cm="1">
        <f t="array" ref="AO150">DatumSzovegge5(AN150)</f>
        <v>1899.</v>
      </c>
      <c r="AP150" t="str" cm="1">
        <f t="array" ref="AP150">DatumSzovegge3(AN150)</f>
        <v>december</v>
      </c>
      <c r="AQ150" t="str" cm="1">
        <f t="array" ref="AQ150">DatumSzovegge4(AN150)</f>
        <v>30.</v>
      </c>
    </row>
    <row r="151" spans="4:43" x14ac:dyDescent="0.25">
      <c r="D151" t="str" cm="1">
        <f t="array" ref="D151">SzuressNev($B$1,ROW()-1)</f>
        <v/>
      </c>
      <c r="E151">
        <f>COUNTIF($D$2:D151,D151)</f>
        <v>130</v>
      </c>
      <c r="F151" t="str" cm="1">
        <f t="array" ref="F151">ElutasitasEgyOk2(D151,E151)</f>
        <v/>
      </c>
      <c r="G151" t="str">
        <f>IFERROR(INDEX(diakadat!$I$2:$I$50,MATCH(D151,diakadat!$J$2:$J$50,0),1),"")</f>
        <v/>
      </c>
      <c r="H151" t="str">
        <f>IFERROR(INDEX(diakadat!$O$2:$O$50,MATCH(D151,diakadat!$J$2:$J$50,0),1),"")</f>
        <v/>
      </c>
      <c r="I151" t="str">
        <f>IFERROR(INDEX(diakadat!#REF!,MATCH(D151,diakadat!$J$2:$J$50,0),1),"")</f>
        <v/>
      </c>
      <c r="J151" t="str">
        <f>IFERROR(INDEX(diakadat!$K$2:$K$50,MATCH(D151,diakadat!$J$2:$J$50,0),1),"")</f>
        <v/>
      </c>
      <c r="K151" t="str" cm="1">
        <f t="array" ref="K151">IFERROR(DatumSzovegge2(INDEX(diakadat!$L$2:$L$50,MATCH(D151,diakadat!$J$2:$J$50,0),1)),"")</f>
        <v/>
      </c>
      <c r="L151" t="str" cm="1">
        <f t="array" ref="L151">IFERROR(DatumSzovegge5(INDEX(diakadat!$L$2:$L$50,MATCH(D151,diakadat!$J$2:$J$50,0),1)),"")</f>
        <v/>
      </c>
      <c r="M151" t="str" cm="1">
        <f t="array" ref="M151">IFERROR(DatumSzovegge3(INDEX(diakadat!$L$2:$L$50,MATCH(D151,diakadat!$J$2:$J$50,0),1)),"")</f>
        <v/>
      </c>
      <c r="N151" t="str" cm="1">
        <f t="array" ref="N151">IFERROR(DatumSzovegge4(INDEX(diakadat!$L$2:$L$50,MATCH(D151,diakadat!$J$2:$J$50,0),1)),"")</f>
        <v/>
      </c>
      <c r="O151" t="str">
        <f>IFERROR(INDEX(diakadat!$R$2:$R$50,MATCH(D151,diakadat!$J$2:$J$50,0),1),"")</f>
        <v/>
      </c>
      <c r="P151" t="str">
        <f>IFERROR(INDEX(diakadat!$AI$2:$AI$50,MATCH(D151,diakadat!$J$2:$J$50,0),1),"")</f>
        <v/>
      </c>
      <c r="Q151" t="str">
        <f>IFERROR(INDEX('rangsor'!$C$2:$C$343,MATCH(D151,'rangsor'!$A$2:$A$343,0),1),"")</f>
        <v/>
      </c>
      <c r="T151" t="s">
        <v>831</v>
      </c>
      <c r="U151" t="str" cm="1">
        <f t="array" ref="U151">Határozat(D151)</f>
        <v/>
      </c>
      <c r="AC151" t="str">
        <f>IFERROR(INDEX(diakadat!$U$2:$U$50,MATCH(D151,diakadat!$J$2:$J$50),1),"")</f>
        <v/>
      </c>
      <c r="AD151" t="str">
        <f>IFERROR(INDEX(diakadat!$V$2:$V$50,MATCH(D151,diakadat!$J$2:$J$50),1),"")</f>
        <v/>
      </c>
      <c r="AE151" t="str">
        <f>IFERROR(INDEX(diakadat!$W$2:$W$50,MATCH(D151,diakadat!$J$2:$J$50),1),"")</f>
        <v/>
      </c>
      <c r="AF151">
        <v>1037</v>
      </c>
      <c r="AH151" t="s">
        <v>512</v>
      </c>
      <c r="AI151" t="str">
        <f>IFERROR(INDEX(diakadat!$X$2:$X$50,MATCH(D151,diakadat!$J$2:$J$50),1),"")</f>
        <v/>
      </c>
      <c r="AK151">
        <f t="shared" si="2"/>
        <v>329</v>
      </c>
      <c r="AL151" t="str" cm="1">
        <f t="array" ref="AL151">ElsoBetuNagy(R151)</f>
        <v/>
      </c>
      <c r="AO151" t="str" cm="1">
        <f t="array" ref="AO151">DatumSzovegge5(AN151)</f>
        <v>1899.</v>
      </c>
      <c r="AP151" t="str" cm="1">
        <f t="array" ref="AP151">DatumSzovegge3(AN151)</f>
        <v>december</v>
      </c>
      <c r="AQ151" t="str" cm="1">
        <f t="array" ref="AQ151">DatumSzovegge4(AN151)</f>
        <v>30.</v>
      </c>
    </row>
    <row r="152" spans="4:43" x14ac:dyDescent="0.25">
      <c r="D152" t="str" cm="1">
        <f t="array" ref="D152">SzuressNev($B$1,ROW()-1)</f>
        <v/>
      </c>
      <c r="E152">
        <f>COUNTIF($D$2:D152,D152)</f>
        <v>131</v>
      </c>
      <c r="F152" t="str" cm="1">
        <f t="array" ref="F152">ElutasitasEgyOk2(D152,E152)</f>
        <v/>
      </c>
      <c r="G152" t="str">
        <f>IFERROR(INDEX(diakadat!$I$2:$I$50,MATCH(D152,diakadat!$J$2:$J$50,0),1),"")</f>
        <v/>
      </c>
      <c r="H152" t="str">
        <f>IFERROR(INDEX(diakadat!$O$2:$O$50,MATCH(D152,diakadat!$J$2:$J$50,0),1),"")</f>
        <v/>
      </c>
      <c r="I152" t="str">
        <f>IFERROR(INDEX(diakadat!#REF!,MATCH(D152,diakadat!$J$2:$J$50,0),1),"")</f>
        <v/>
      </c>
      <c r="J152" t="str">
        <f>IFERROR(INDEX(diakadat!$K$2:$K$50,MATCH(D152,diakadat!$J$2:$J$50,0),1),"")</f>
        <v/>
      </c>
      <c r="K152" t="str" cm="1">
        <f t="array" ref="K152">IFERROR(DatumSzovegge2(INDEX(diakadat!$L$2:$L$50,MATCH(D152,diakadat!$J$2:$J$50,0),1)),"")</f>
        <v/>
      </c>
      <c r="L152" t="str" cm="1">
        <f t="array" ref="L152">IFERROR(DatumSzovegge5(INDEX(diakadat!$L$2:$L$50,MATCH(D152,diakadat!$J$2:$J$50,0),1)),"")</f>
        <v/>
      </c>
      <c r="M152" t="str" cm="1">
        <f t="array" ref="M152">IFERROR(DatumSzovegge3(INDEX(diakadat!$L$2:$L$50,MATCH(D152,diakadat!$J$2:$J$50,0),1)),"")</f>
        <v/>
      </c>
      <c r="N152" t="str" cm="1">
        <f t="array" ref="N152">IFERROR(DatumSzovegge4(INDEX(diakadat!$L$2:$L$50,MATCH(D152,diakadat!$J$2:$J$50,0),1)),"")</f>
        <v/>
      </c>
      <c r="O152" t="str">
        <f>IFERROR(INDEX(diakadat!$R$2:$R$50,MATCH(D152,diakadat!$J$2:$J$50,0),1),"")</f>
        <v/>
      </c>
      <c r="P152" t="str">
        <f>IFERROR(INDEX(diakadat!$AI$2:$AI$50,MATCH(D152,diakadat!$J$2:$J$50,0),1),"")</f>
        <v/>
      </c>
      <c r="Q152" t="str">
        <f>IFERROR(INDEX('rangsor'!$C$2:$C$343,MATCH(D152,'rangsor'!$A$2:$A$343,0),1),"")</f>
        <v/>
      </c>
      <c r="T152" t="s">
        <v>831</v>
      </c>
      <c r="U152" t="str" cm="1">
        <f t="array" ref="U152">Határozat(D152)</f>
        <v/>
      </c>
      <c r="AC152" t="str">
        <f>IFERROR(INDEX(diakadat!$U$2:$U$50,MATCH(D152,diakadat!$J$2:$J$50),1),"")</f>
        <v/>
      </c>
      <c r="AD152" t="str">
        <f>IFERROR(INDEX(diakadat!$V$2:$V$50,MATCH(D152,diakadat!$J$2:$J$50),1),"")</f>
        <v/>
      </c>
      <c r="AE152" t="str">
        <f>IFERROR(INDEX(diakadat!$W$2:$W$50,MATCH(D152,diakadat!$J$2:$J$50),1),"")</f>
        <v/>
      </c>
      <c r="AF152">
        <v>1035</v>
      </c>
      <c r="AG152" t="s">
        <v>912</v>
      </c>
      <c r="AH152" t="s">
        <v>1324</v>
      </c>
      <c r="AI152" t="str">
        <f>IFERROR(INDEX(diakadat!$X$2:$X$50,MATCH(D152,diakadat!$J$2:$J$50),1),"")</f>
        <v/>
      </c>
      <c r="AK152">
        <f t="shared" si="2"/>
        <v>329</v>
      </c>
      <c r="AL152" t="str" cm="1">
        <f t="array" ref="AL152">ElsoBetuNagy(R152)</f>
        <v/>
      </c>
      <c r="AO152" t="str" cm="1">
        <f t="array" ref="AO152">DatumSzovegge5(AN152)</f>
        <v>1899.</v>
      </c>
      <c r="AP152" t="str" cm="1">
        <f t="array" ref="AP152">DatumSzovegge3(AN152)</f>
        <v>december</v>
      </c>
      <c r="AQ152" t="str" cm="1">
        <f t="array" ref="AQ152">DatumSzovegge4(AN152)</f>
        <v>30.</v>
      </c>
    </row>
    <row r="153" spans="4:43" x14ac:dyDescent="0.25">
      <c r="D153" t="str" cm="1">
        <f t="array" ref="D153">SzuressNev($B$1,ROW()-1)</f>
        <v/>
      </c>
      <c r="E153">
        <f>COUNTIF($D$2:D153,D153)</f>
        <v>132</v>
      </c>
      <c r="F153" t="str" cm="1">
        <f t="array" ref="F153">ElutasitasEgyOk2(D153,E153)</f>
        <v/>
      </c>
      <c r="G153" t="str">
        <f>IFERROR(INDEX(diakadat!$I$2:$I$50,MATCH(D153,diakadat!$J$2:$J$50,0),1),"")</f>
        <v/>
      </c>
      <c r="H153" t="str">
        <f>IFERROR(INDEX(diakadat!$O$2:$O$50,MATCH(D153,diakadat!$J$2:$J$50,0),1),"")</f>
        <v/>
      </c>
      <c r="I153" t="str">
        <f>IFERROR(INDEX(diakadat!#REF!,MATCH(D153,diakadat!$J$2:$J$50,0),1),"")</f>
        <v/>
      </c>
      <c r="J153" t="str">
        <f>IFERROR(INDEX(diakadat!$K$2:$K$50,MATCH(D153,diakadat!$J$2:$J$50,0),1),"")</f>
        <v/>
      </c>
      <c r="K153" t="str" cm="1">
        <f t="array" ref="K153">IFERROR(DatumSzovegge2(INDEX(diakadat!$L$2:$L$50,MATCH(D153,diakadat!$J$2:$J$50,0),1)),"")</f>
        <v/>
      </c>
      <c r="L153" t="str" cm="1">
        <f t="array" ref="L153">IFERROR(DatumSzovegge5(INDEX(diakadat!$L$2:$L$50,MATCH(D153,diakadat!$J$2:$J$50,0),1)),"")</f>
        <v/>
      </c>
      <c r="M153" t="str" cm="1">
        <f t="array" ref="M153">IFERROR(DatumSzovegge3(INDEX(diakadat!$L$2:$L$50,MATCH(D153,diakadat!$J$2:$J$50,0),1)),"")</f>
        <v/>
      </c>
      <c r="N153" t="str" cm="1">
        <f t="array" ref="N153">IFERROR(DatumSzovegge4(INDEX(diakadat!$L$2:$L$50,MATCH(D153,diakadat!$J$2:$J$50,0),1)),"")</f>
        <v/>
      </c>
      <c r="O153" t="str">
        <f>IFERROR(INDEX(diakadat!$R$2:$R$50,MATCH(D153,diakadat!$J$2:$J$50,0),1),"")</f>
        <v/>
      </c>
      <c r="P153" t="str">
        <f>IFERROR(INDEX(diakadat!$AI$2:$AI$50,MATCH(D153,diakadat!$J$2:$J$50,0),1),"")</f>
        <v/>
      </c>
      <c r="Q153" t="str">
        <f>IFERROR(INDEX('rangsor'!$C$2:$C$343,MATCH(D153,'rangsor'!$A$2:$A$343,0),1),"")</f>
        <v/>
      </c>
      <c r="T153" t="s">
        <v>831</v>
      </c>
      <c r="U153" t="str" cm="1">
        <f t="array" ref="U153">Határozat(D153)</f>
        <v/>
      </c>
      <c r="AC153" t="str">
        <f>IFERROR(INDEX(diakadat!$U$2:$U$50,MATCH(D153,diakadat!$J$2:$J$50),1),"")</f>
        <v/>
      </c>
      <c r="AD153" t="str">
        <f>IFERROR(INDEX(diakadat!$V$2:$V$50,MATCH(D153,diakadat!$J$2:$J$50),1),"")</f>
        <v/>
      </c>
      <c r="AE153" t="str">
        <f>IFERROR(INDEX(diakadat!$W$2:$W$50,MATCH(D153,diakadat!$J$2:$J$50),1),"")</f>
        <v/>
      </c>
      <c r="AF153">
        <v>1139</v>
      </c>
      <c r="AG153" t="s">
        <v>912</v>
      </c>
      <c r="AH153" t="s">
        <v>1325</v>
      </c>
      <c r="AI153" t="str">
        <f>IFERROR(INDEX(diakadat!$X$2:$X$50,MATCH(D153,diakadat!$J$2:$J$50),1),"")</f>
        <v/>
      </c>
      <c r="AK153">
        <f t="shared" si="2"/>
        <v>329</v>
      </c>
      <c r="AL153" t="str" cm="1">
        <f t="array" ref="AL153">ElsoBetuNagy(R153)</f>
        <v/>
      </c>
      <c r="AO153" t="str" cm="1">
        <f t="array" ref="AO153">DatumSzovegge5(AN153)</f>
        <v>1899.</v>
      </c>
      <c r="AP153" t="str" cm="1">
        <f t="array" ref="AP153">DatumSzovegge3(AN153)</f>
        <v>december</v>
      </c>
      <c r="AQ153" t="str" cm="1">
        <f t="array" ref="AQ153">DatumSzovegge4(AN153)</f>
        <v>30.</v>
      </c>
    </row>
    <row r="154" spans="4:43" x14ac:dyDescent="0.25">
      <c r="D154" t="str" cm="1">
        <f t="array" ref="D154">SzuressNev($B$1,ROW()-1)</f>
        <v/>
      </c>
      <c r="E154">
        <f>COUNTIF($D$2:D154,D154)</f>
        <v>133</v>
      </c>
      <c r="F154" t="str" cm="1">
        <f t="array" ref="F154">ElutasitasEgyOk2(D154,E154)</f>
        <v/>
      </c>
      <c r="G154" t="str">
        <f>IFERROR(INDEX(diakadat!$I$2:$I$50,MATCH(D154,diakadat!$J$2:$J$50,0),1),"")</f>
        <v/>
      </c>
      <c r="H154" t="str">
        <f>IFERROR(INDEX(diakadat!$O$2:$O$50,MATCH(D154,diakadat!$J$2:$J$50,0),1),"")</f>
        <v/>
      </c>
      <c r="I154" t="str">
        <f>IFERROR(INDEX(diakadat!#REF!,MATCH(D154,diakadat!$J$2:$J$50,0),1),"")</f>
        <v/>
      </c>
      <c r="J154" t="str">
        <f>IFERROR(INDEX(diakadat!$K$2:$K$50,MATCH(D154,diakadat!$J$2:$J$50,0),1),"")</f>
        <v/>
      </c>
      <c r="K154" t="str" cm="1">
        <f t="array" ref="K154">IFERROR(DatumSzovegge2(INDEX(diakadat!$L$2:$L$50,MATCH(D154,diakadat!$J$2:$J$50,0),1)),"")</f>
        <v/>
      </c>
      <c r="L154" t="str" cm="1">
        <f t="array" ref="L154">IFERROR(DatumSzovegge5(INDEX(diakadat!$L$2:$L$50,MATCH(D154,diakadat!$J$2:$J$50,0),1)),"")</f>
        <v/>
      </c>
      <c r="M154" t="str" cm="1">
        <f t="array" ref="M154">IFERROR(DatumSzovegge3(INDEX(diakadat!$L$2:$L$50,MATCH(D154,diakadat!$J$2:$J$50,0),1)),"")</f>
        <v/>
      </c>
      <c r="N154" t="str" cm="1">
        <f t="array" ref="N154">IFERROR(DatumSzovegge4(INDEX(diakadat!$L$2:$L$50,MATCH(D154,diakadat!$J$2:$J$50,0),1)),"")</f>
        <v/>
      </c>
      <c r="O154" t="str">
        <f>IFERROR(INDEX(diakadat!$R$2:$R$50,MATCH(D154,diakadat!$J$2:$J$50,0),1),"")</f>
        <v/>
      </c>
      <c r="P154" t="str">
        <f>IFERROR(INDEX(diakadat!$AI$2:$AI$50,MATCH(D154,diakadat!$J$2:$J$50,0),1),"")</f>
        <v/>
      </c>
      <c r="Q154" t="str">
        <f>IFERROR(INDEX('rangsor'!$C$2:$C$343,MATCH(D154,'rangsor'!$A$2:$A$343,0),1),"")</f>
        <v/>
      </c>
      <c r="T154" t="s">
        <v>831</v>
      </c>
      <c r="U154" t="str" cm="1">
        <f t="array" ref="U154">Határozat(D154)</f>
        <v/>
      </c>
      <c r="AC154" t="str">
        <f>IFERROR(INDEX(diakadat!$U$2:$U$50,MATCH(D154,diakadat!$J$2:$J$50),1),"")</f>
        <v/>
      </c>
      <c r="AD154" t="str">
        <f>IFERROR(INDEX(diakadat!$V$2:$V$50,MATCH(D154,diakadat!$J$2:$J$50),1),"")</f>
        <v/>
      </c>
      <c r="AE154" t="str">
        <f>IFERROR(INDEX(diakadat!$W$2:$W$50,MATCH(D154,diakadat!$J$2:$J$50),1),"")</f>
        <v/>
      </c>
      <c r="AF154">
        <v>1126</v>
      </c>
      <c r="AG154" t="s">
        <v>912</v>
      </c>
      <c r="AH154" t="s">
        <v>1326</v>
      </c>
      <c r="AI154" t="str">
        <f>IFERROR(INDEX(diakadat!$X$2:$X$50,MATCH(D154,diakadat!$J$2:$J$50),1),"")</f>
        <v/>
      </c>
      <c r="AK154">
        <f t="shared" si="2"/>
        <v>329</v>
      </c>
      <c r="AL154" t="str" cm="1">
        <f t="array" ref="AL154">ElsoBetuNagy(R154)</f>
        <v/>
      </c>
      <c r="AO154" t="str" cm="1">
        <f t="array" ref="AO154">DatumSzovegge5(AN154)</f>
        <v>1899.</v>
      </c>
      <c r="AP154" t="str" cm="1">
        <f t="array" ref="AP154">DatumSzovegge3(AN154)</f>
        <v>december</v>
      </c>
      <c r="AQ154" t="str" cm="1">
        <f t="array" ref="AQ154">DatumSzovegge4(AN154)</f>
        <v>30.</v>
      </c>
    </row>
    <row r="155" spans="4:43" x14ac:dyDescent="0.25">
      <c r="D155" t="str" cm="1">
        <f t="array" ref="D155">SzuressNev($B$1,ROW()-1)</f>
        <v/>
      </c>
      <c r="E155">
        <f>COUNTIF($D$2:D155,D155)</f>
        <v>134</v>
      </c>
      <c r="F155" t="str" cm="1">
        <f t="array" ref="F155">ElutasitasEgyOk2(D155,E155)</f>
        <v/>
      </c>
      <c r="G155" t="str">
        <f>IFERROR(INDEX(diakadat!$I$2:$I$50,MATCH(D155,diakadat!$J$2:$J$50,0),1),"")</f>
        <v/>
      </c>
      <c r="H155" t="str">
        <f>IFERROR(INDEX(diakadat!$O$2:$O$50,MATCH(D155,diakadat!$J$2:$J$50,0),1),"")</f>
        <v/>
      </c>
      <c r="I155" t="str">
        <f>IFERROR(INDEX(diakadat!#REF!,MATCH(D155,diakadat!$J$2:$J$50,0),1),"")</f>
        <v/>
      </c>
      <c r="J155" t="str">
        <f>IFERROR(INDEX(diakadat!$K$2:$K$50,MATCH(D155,diakadat!$J$2:$J$50,0),1),"")</f>
        <v/>
      </c>
      <c r="K155" t="str" cm="1">
        <f t="array" ref="K155">IFERROR(DatumSzovegge2(INDEX(diakadat!$L$2:$L$50,MATCH(D155,diakadat!$J$2:$J$50,0),1)),"")</f>
        <v/>
      </c>
      <c r="L155" t="str" cm="1">
        <f t="array" ref="L155">IFERROR(DatumSzovegge5(INDEX(diakadat!$L$2:$L$50,MATCH(D155,diakadat!$J$2:$J$50,0),1)),"")</f>
        <v/>
      </c>
      <c r="M155" t="str" cm="1">
        <f t="array" ref="M155">IFERROR(DatumSzovegge3(INDEX(diakadat!$L$2:$L$50,MATCH(D155,diakadat!$J$2:$J$50,0),1)),"")</f>
        <v/>
      </c>
      <c r="N155" t="str" cm="1">
        <f t="array" ref="N155">IFERROR(DatumSzovegge4(INDEX(diakadat!$L$2:$L$50,MATCH(D155,diakadat!$J$2:$J$50,0),1)),"")</f>
        <v/>
      </c>
      <c r="O155" t="str">
        <f>IFERROR(INDEX(diakadat!$R$2:$R$50,MATCH(D155,diakadat!$J$2:$J$50,0),1),"")</f>
        <v/>
      </c>
      <c r="P155" t="str">
        <f>IFERROR(INDEX(diakadat!$AI$2:$AI$50,MATCH(D155,diakadat!$J$2:$J$50,0),1),"")</f>
        <v/>
      </c>
      <c r="Q155" t="str">
        <f>IFERROR(INDEX('rangsor'!$C$2:$C$343,MATCH(D155,'rangsor'!$A$2:$A$343,0),1),"")</f>
        <v/>
      </c>
      <c r="T155" t="s">
        <v>831</v>
      </c>
      <c r="U155" t="str" cm="1">
        <f t="array" ref="U155">Határozat(D155)</f>
        <v/>
      </c>
      <c r="AC155" t="str">
        <f>IFERROR(INDEX(diakadat!$U$2:$U$50,MATCH(D155,diakadat!$J$2:$J$50),1),"")</f>
        <v/>
      </c>
      <c r="AD155" t="str">
        <f>IFERROR(INDEX(diakadat!$V$2:$V$50,MATCH(D155,diakadat!$J$2:$J$50),1),"")</f>
        <v/>
      </c>
      <c r="AE155" t="str">
        <f>IFERROR(INDEX(diakadat!$W$2:$W$50,MATCH(D155,diakadat!$J$2:$J$50),1),"")</f>
        <v/>
      </c>
      <c r="AF155">
        <v>1122</v>
      </c>
      <c r="AG155" t="s">
        <v>1164</v>
      </c>
      <c r="AH155" t="s">
        <v>1327</v>
      </c>
      <c r="AI155" t="str">
        <f>IFERROR(INDEX(diakadat!$X$2:$X$50,MATCH(D155,diakadat!$J$2:$J$50),1),"")</f>
        <v/>
      </c>
      <c r="AK155">
        <f t="shared" si="2"/>
        <v>329</v>
      </c>
      <c r="AL155" t="str" cm="1">
        <f t="array" ref="AL155">ElsoBetuNagy(R155)</f>
        <v/>
      </c>
      <c r="AO155" t="str" cm="1">
        <f t="array" ref="AO155">DatumSzovegge5(AN155)</f>
        <v>1899.</v>
      </c>
      <c r="AP155" t="str" cm="1">
        <f t="array" ref="AP155">DatumSzovegge3(AN155)</f>
        <v>december</v>
      </c>
      <c r="AQ155" t="str" cm="1">
        <f t="array" ref="AQ155">DatumSzovegge4(AN155)</f>
        <v>30.</v>
      </c>
    </row>
    <row r="156" spans="4:43" x14ac:dyDescent="0.25">
      <c r="D156" t="str" cm="1">
        <f t="array" ref="D156">SzuressNev($B$1,ROW()-1)</f>
        <v/>
      </c>
      <c r="E156">
        <f>COUNTIF($D$2:D156,D156)</f>
        <v>135</v>
      </c>
      <c r="F156" t="str" cm="1">
        <f t="array" ref="F156">ElutasitasEgyOk2(D156,E156)</f>
        <v/>
      </c>
      <c r="G156" t="str">
        <f>IFERROR(INDEX(diakadat!$I$2:$I$50,MATCH(D156,diakadat!$J$2:$J$50,0),1),"")</f>
        <v/>
      </c>
      <c r="H156" t="str">
        <f>IFERROR(INDEX(diakadat!$O$2:$O$50,MATCH(D156,diakadat!$J$2:$J$50,0),1),"")</f>
        <v/>
      </c>
      <c r="I156" t="str">
        <f>IFERROR(INDEX(diakadat!#REF!,MATCH(D156,diakadat!$J$2:$J$50,0),1),"")</f>
        <v/>
      </c>
      <c r="J156" t="str">
        <f>IFERROR(INDEX(diakadat!$K$2:$K$50,MATCH(D156,diakadat!$J$2:$J$50,0),1),"")</f>
        <v/>
      </c>
      <c r="K156" t="str" cm="1">
        <f t="array" ref="K156">IFERROR(DatumSzovegge2(INDEX(diakadat!$L$2:$L$50,MATCH(D156,diakadat!$J$2:$J$50,0),1)),"")</f>
        <v/>
      </c>
      <c r="L156" t="str" cm="1">
        <f t="array" ref="L156">IFERROR(DatumSzovegge5(INDEX(diakadat!$L$2:$L$50,MATCH(D156,diakadat!$J$2:$J$50,0),1)),"")</f>
        <v/>
      </c>
      <c r="M156" t="str" cm="1">
        <f t="array" ref="M156">IFERROR(DatumSzovegge3(INDEX(diakadat!$L$2:$L$50,MATCH(D156,diakadat!$J$2:$J$50,0),1)),"")</f>
        <v/>
      </c>
      <c r="N156" t="str" cm="1">
        <f t="array" ref="N156">IFERROR(DatumSzovegge4(INDEX(diakadat!$L$2:$L$50,MATCH(D156,diakadat!$J$2:$J$50,0),1)),"")</f>
        <v/>
      </c>
      <c r="O156" t="str">
        <f>IFERROR(INDEX(diakadat!$R$2:$R$50,MATCH(D156,diakadat!$J$2:$J$50,0),1),"")</f>
        <v/>
      </c>
      <c r="P156" t="str">
        <f>IFERROR(INDEX(diakadat!$AI$2:$AI$50,MATCH(D156,diakadat!$J$2:$J$50,0),1),"")</f>
        <v/>
      </c>
      <c r="Q156" t="str">
        <f>IFERROR(INDEX('rangsor'!$C$2:$C$343,MATCH(D156,'rangsor'!$A$2:$A$343,0),1),"")</f>
        <v/>
      </c>
      <c r="T156" t="s">
        <v>831</v>
      </c>
      <c r="U156" t="str" cm="1">
        <f t="array" ref="U156">Határozat(D156)</f>
        <v/>
      </c>
      <c r="AC156" t="str">
        <f>IFERROR(INDEX(diakadat!$U$2:$U$50,MATCH(D156,diakadat!$J$2:$J$50),1),"")</f>
        <v/>
      </c>
      <c r="AD156" t="str">
        <f>IFERROR(INDEX(diakadat!$V$2:$V$50,MATCH(D156,diakadat!$J$2:$J$50),1),"")</f>
        <v/>
      </c>
      <c r="AE156" t="str">
        <f>IFERROR(INDEX(diakadat!$W$2:$W$50,MATCH(D156,diakadat!$J$2:$J$50),1),"")</f>
        <v/>
      </c>
      <c r="AF156">
        <v>1026</v>
      </c>
      <c r="AG156" t="s">
        <v>912</v>
      </c>
      <c r="AH156" t="s">
        <v>1328</v>
      </c>
      <c r="AI156" t="str">
        <f>IFERROR(INDEX(diakadat!$X$2:$X$50,MATCH(D156,diakadat!$J$2:$J$50),1),"")</f>
        <v/>
      </c>
      <c r="AK156">
        <f t="shared" si="2"/>
        <v>329</v>
      </c>
      <c r="AL156" t="str" cm="1">
        <f t="array" ref="AL156">ElsoBetuNagy(R156)</f>
        <v/>
      </c>
      <c r="AO156" t="str" cm="1">
        <f t="array" ref="AO156">DatumSzovegge5(AN156)</f>
        <v>1899.</v>
      </c>
      <c r="AP156" t="str" cm="1">
        <f t="array" ref="AP156">DatumSzovegge3(AN156)</f>
        <v>december</v>
      </c>
      <c r="AQ156" t="str" cm="1">
        <f t="array" ref="AQ156">DatumSzovegge4(AN156)</f>
        <v>30.</v>
      </c>
    </row>
    <row r="157" spans="4:43" x14ac:dyDescent="0.25">
      <c r="D157" t="str" cm="1">
        <f t="array" ref="D157">SzuressNev($B$1,ROW()-1)</f>
        <v/>
      </c>
      <c r="E157">
        <f>COUNTIF($D$2:D157,D157)</f>
        <v>136</v>
      </c>
      <c r="F157" t="str" cm="1">
        <f t="array" ref="F157">ElutasitasEgyOk2(D157,E157)</f>
        <v/>
      </c>
      <c r="G157" t="str">
        <f>IFERROR(INDEX(diakadat!$I$2:$I$50,MATCH(D157,diakadat!$J$2:$J$50,0),1),"")</f>
        <v/>
      </c>
      <c r="H157" t="str">
        <f>IFERROR(INDEX(diakadat!$O$2:$O$50,MATCH(D157,diakadat!$J$2:$J$50,0),1),"")</f>
        <v/>
      </c>
      <c r="I157" t="str">
        <f>IFERROR(INDEX(diakadat!#REF!,MATCH(D157,diakadat!$J$2:$J$50,0),1),"")</f>
        <v/>
      </c>
      <c r="J157" t="str">
        <f>IFERROR(INDEX(diakadat!$K$2:$K$50,MATCH(D157,diakadat!$J$2:$J$50,0),1),"")</f>
        <v/>
      </c>
      <c r="K157" t="str" cm="1">
        <f t="array" ref="K157">IFERROR(DatumSzovegge2(INDEX(diakadat!$L$2:$L$50,MATCH(D157,diakadat!$J$2:$J$50,0),1)),"")</f>
        <v/>
      </c>
      <c r="L157" t="str" cm="1">
        <f t="array" ref="L157">IFERROR(DatumSzovegge5(INDEX(diakadat!$L$2:$L$50,MATCH(D157,diakadat!$J$2:$J$50,0),1)),"")</f>
        <v/>
      </c>
      <c r="M157" t="str" cm="1">
        <f t="array" ref="M157">IFERROR(DatumSzovegge3(INDEX(diakadat!$L$2:$L$50,MATCH(D157,diakadat!$J$2:$J$50,0),1)),"")</f>
        <v/>
      </c>
      <c r="N157" t="str" cm="1">
        <f t="array" ref="N157">IFERROR(DatumSzovegge4(INDEX(diakadat!$L$2:$L$50,MATCH(D157,diakadat!$J$2:$J$50,0),1)),"")</f>
        <v/>
      </c>
      <c r="O157" t="str">
        <f>IFERROR(INDEX(diakadat!$R$2:$R$50,MATCH(D157,diakadat!$J$2:$J$50,0),1),"")</f>
        <v/>
      </c>
      <c r="P157" t="str">
        <f>IFERROR(INDEX(diakadat!$AI$2:$AI$50,MATCH(D157,diakadat!$J$2:$J$50,0),1),"")</f>
        <v/>
      </c>
      <c r="Q157" t="str">
        <f>IFERROR(INDEX('rangsor'!$C$2:$C$343,MATCH(D157,'rangsor'!$A$2:$A$343,0),1),"")</f>
        <v/>
      </c>
      <c r="T157" t="s">
        <v>831</v>
      </c>
      <c r="U157" t="str" cm="1">
        <f t="array" ref="U157">Határozat(D157)</f>
        <v/>
      </c>
      <c r="AC157" t="str">
        <f>IFERROR(INDEX(diakadat!$U$2:$U$50,MATCH(D157,diakadat!$J$2:$J$50),1),"")</f>
        <v/>
      </c>
      <c r="AD157" t="str">
        <f>IFERROR(INDEX(diakadat!$V$2:$V$50,MATCH(D157,diakadat!$J$2:$J$50),1),"")</f>
        <v/>
      </c>
      <c r="AE157" t="str">
        <f>IFERROR(INDEX(diakadat!$W$2:$W$50,MATCH(D157,diakadat!$J$2:$J$50),1),"")</f>
        <v/>
      </c>
      <c r="AF157">
        <v>1092</v>
      </c>
      <c r="AG157" t="s">
        <v>1164</v>
      </c>
      <c r="AH157" t="s">
        <v>1329</v>
      </c>
      <c r="AI157" t="str">
        <f>IFERROR(INDEX(diakadat!$X$2:$X$50,MATCH(D157,diakadat!$J$2:$J$50),1),"")</f>
        <v/>
      </c>
      <c r="AK157">
        <f t="shared" si="2"/>
        <v>329</v>
      </c>
      <c r="AL157" t="str" cm="1">
        <f t="array" ref="AL157">ElsoBetuNagy(R157)</f>
        <v/>
      </c>
      <c r="AO157" t="str" cm="1">
        <f t="array" ref="AO157">DatumSzovegge5(AN157)</f>
        <v>1899.</v>
      </c>
      <c r="AP157" t="str" cm="1">
        <f t="array" ref="AP157">DatumSzovegge3(AN157)</f>
        <v>december</v>
      </c>
      <c r="AQ157" t="str" cm="1">
        <f t="array" ref="AQ157">DatumSzovegge4(AN157)</f>
        <v>30.</v>
      </c>
    </row>
    <row r="158" spans="4:43" x14ac:dyDescent="0.25">
      <c r="D158" t="str" cm="1">
        <f t="array" ref="D158">SzuressNev($B$1,ROW()-1)</f>
        <v/>
      </c>
      <c r="E158">
        <f>COUNTIF($D$2:D158,D158)</f>
        <v>137</v>
      </c>
      <c r="F158" t="str" cm="1">
        <f t="array" ref="F158">ElutasitasEgyOk2(D158,E158)</f>
        <v/>
      </c>
      <c r="G158" t="str">
        <f>IFERROR(INDEX(diakadat!$I$2:$I$50,MATCH(D158,diakadat!$J$2:$J$50,0),1),"")</f>
        <v/>
      </c>
      <c r="H158" t="str">
        <f>IFERROR(INDEX(diakadat!$O$2:$O$50,MATCH(D158,diakadat!$J$2:$J$50,0),1),"")</f>
        <v/>
      </c>
      <c r="I158" t="str">
        <f>IFERROR(INDEX(diakadat!#REF!,MATCH(D158,diakadat!$J$2:$J$50,0),1),"")</f>
        <v/>
      </c>
      <c r="J158" t="str">
        <f>IFERROR(INDEX(diakadat!$K$2:$K$50,MATCH(D158,diakadat!$J$2:$J$50,0),1),"")</f>
        <v/>
      </c>
      <c r="K158" t="str" cm="1">
        <f t="array" ref="K158">IFERROR(DatumSzovegge2(INDEX(diakadat!$L$2:$L$50,MATCH(D158,diakadat!$J$2:$J$50,0),1)),"")</f>
        <v/>
      </c>
      <c r="L158" t="str" cm="1">
        <f t="array" ref="L158">IFERROR(DatumSzovegge5(INDEX(diakadat!$L$2:$L$50,MATCH(D158,diakadat!$J$2:$J$50,0),1)),"")</f>
        <v/>
      </c>
      <c r="M158" t="str" cm="1">
        <f t="array" ref="M158">IFERROR(DatumSzovegge3(INDEX(diakadat!$L$2:$L$50,MATCH(D158,diakadat!$J$2:$J$50,0),1)),"")</f>
        <v/>
      </c>
      <c r="N158" t="str" cm="1">
        <f t="array" ref="N158">IFERROR(DatumSzovegge4(INDEX(diakadat!$L$2:$L$50,MATCH(D158,diakadat!$J$2:$J$50,0),1)),"")</f>
        <v/>
      </c>
      <c r="O158" t="str">
        <f>IFERROR(INDEX(diakadat!$R$2:$R$50,MATCH(D158,diakadat!$J$2:$J$50,0),1),"")</f>
        <v/>
      </c>
      <c r="P158" t="str">
        <f>IFERROR(INDEX(diakadat!$AI$2:$AI$50,MATCH(D158,diakadat!$J$2:$J$50,0),1),"")</f>
        <v/>
      </c>
      <c r="Q158" t="str">
        <f>IFERROR(INDEX('rangsor'!$C$2:$C$343,MATCH(D158,'rangsor'!$A$2:$A$343,0),1),"")</f>
        <v/>
      </c>
      <c r="T158" t="s">
        <v>831</v>
      </c>
      <c r="U158" t="str" cm="1">
        <f t="array" ref="U158">Határozat(D158)</f>
        <v/>
      </c>
      <c r="AC158" t="str">
        <f>IFERROR(INDEX(diakadat!$U$2:$U$50,MATCH(D158,diakadat!$J$2:$J$50),1),"")</f>
        <v/>
      </c>
      <c r="AD158" t="str">
        <f>IFERROR(INDEX(diakadat!$V$2:$V$50,MATCH(D158,diakadat!$J$2:$J$50),1),"")</f>
        <v/>
      </c>
      <c r="AE158" t="str">
        <f>IFERROR(INDEX(diakadat!$W$2:$W$50,MATCH(D158,diakadat!$J$2:$J$50),1),"")</f>
        <v/>
      </c>
      <c r="AF158">
        <v>1184</v>
      </c>
      <c r="AG158" t="s">
        <v>912</v>
      </c>
      <c r="AH158" t="s">
        <v>1330</v>
      </c>
      <c r="AI158" t="str">
        <f>IFERROR(INDEX(diakadat!$X$2:$X$50,MATCH(D158,diakadat!$J$2:$J$50),1),"")</f>
        <v/>
      </c>
      <c r="AK158">
        <f t="shared" si="2"/>
        <v>329</v>
      </c>
      <c r="AL158" t="str" cm="1">
        <f t="array" ref="AL158">ElsoBetuNagy(R158)</f>
        <v/>
      </c>
      <c r="AO158" t="str" cm="1">
        <f t="array" ref="AO158">DatumSzovegge5(AN158)</f>
        <v>1899.</v>
      </c>
      <c r="AP158" t="str" cm="1">
        <f t="array" ref="AP158">DatumSzovegge3(AN158)</f>
        <v>december</v>
      </c>
      <c r="AQ158" t="str" cm="1">
        <f t="array" ref="AQ158">DatumSzovegge4(AN158)</f>
        <v>30.</v>
      </c>
    </row>
    <row r="159" spans="4:43" x14ac:dyDescent="0.25">
      <c r="D159" t="str" cm="1">
        <f t="array" ref="D159">SzuressNev($B$1,ROW()-1)</f>
        <v/>
      </c>
      <c r="E159">
        <f>COUNTIF($D$2:D159,D159)</f>
        <v>138</v>
      </c>
      <c r="F159" t="str" cm="1">
        <f t="array" ref="F159">ElutasitasEgyOk2(D159,E159)</f>
        <v/>
      </c>
      <c r="G159" t="str">
        <f>IFERROR(INDEX(diakadat!$I$2:$I$50,MATCH(D159,diakadat!$J$2:$J$50,0),1),"")</f>
        <v/>
      </c>
      <c r="H159" t="str">
        <f>IFERROR(INDEX(diakadat!$O$2:$O$50,MATCH(D159,diakadat!$J$2:$J$50,0),1),"")</f>
        <v/>
      </c>
      <c r="I159" t="str">
        <f>IFERROR(INDEX(diakadat!#REF!,MATCH(D159,diakadat!$J$2:$J$50,0),1),"")</f>
        <v/>
      </c>
      <c r="J159" t="str">
        <f>IFERROR(INDEX(diakadat!$K$2:$K$50,MATCH(D159,diakadat!$J$2:$J$50,0),1),"")</f>
        <v/>
      </c>
      <c r="K159" t="str" cm="1">
        <f t="array" ref="K159">IFERROR(DatumSzovegge2(INDEX(diakadat!$L$2:$L$50,MATCH(D159,diakadat!$J$2:$J$50,0),1)),"")</f>
        <v/>
      </c>
      <c r="L159" t="str" cm="1">
        <f t="array" ref="L159">IFERROR(DatumSzovegge5(INDEX(diakadat!$L$2:$L$50,MATCH(D159,diakadat!$J$2:$J$50,0),1)),"")</f>
        <v/>
      </c>
      <c r="M159" t="str" cm="1">
        <f t="array" ref="M159">IFERROR(DatumSzovegge3(INDEX(diakadat!$L$2:$L$50,MATCH(D159,diakadat!$J$2:$J$50,0),1)),"")</f>
        <v/>
      </c>
      <c r="N159" t="str" cm="1">
        <f t="array" ref="N159">IFERROR(DatumSzovegge4(INDEX(diakadat!$L$2:$L$50,MATCH(D159,diakadat!$J$2:$J$50,0),1)),"")</f>
        <v/>
      </c>
      <c r="O159" t="str">
        <f>IFERROR(INDEX(diakadat!$R$2:$R$50,MATCH(D159,diakadat!$J$2:$J$50,0),1),"")</f>
        <v/>
      </c>
      <c r="P159" t="str">
        <f>IFERROR(INDEX(diakadat!$AI$2:$AI$50,MATCH(D159,diakadat!$J$2:$J$50,0),1),"")</f>
        <v/>
      </c>
      <c r="Q159" t="str">
        <f>IFERROR(INDEX('rangsor'!$C$2:$C$343,MATCH(D159,'rangsor'!$A$2:$A$343,0),1),"")</f>
        <v/>
      </c>
      <c r="T159" t="s">
        <v>831</v>
      </c>
      <c r="U159" t="str" cm="1">
        <f t="array" ref="U159">Határozat(D159)</f>
        <v/>
      </c>
      <c r="AC159" t="str">
        <f>IFERROR(INDEX(diakadat!$U$2:$U$50,MATCH(D159,diakadat!$J$2:$J$50),1),"")</f>
        <v/>
      </c>
      <c r="AD159" t="str">
        <f>IFERROR(INDEX(diakadat!$V$2:$V$50,MATCH(D159,diakadat!$J$2:$J$50),1),"")</f>
        <v/>
      </c>
      <c r="AE159" t="str">
        <f>IFERROR(INDEX(diakadat!$W$2:$W$50,MATCH(D159,diakadat!$J$2:$J$50),1),"")</f>
        <v/>
      </c>
      <c r="AF159">
        <v>2097</v>
      </c>
      <c r="AG159" t="s">
        <v>1331</v>
      </c>
      <c r="AH159" t="s">
        <v>1332</v>
      </c>
      <c r="AI159" t="str">
        <f>IFERROR(INDEX(diakadat!$X$2:$X$50,MATCH(D159,diakadat!$J$2:$J$50),1),"")</f>
        <v/>
      </c>
      <c r="AK159">
        <f t="shared" si="2"/>
        <v>329</v>
      </c>
      <c r="AL159" t="str" cm="1">
        <f t="array" ref="AL159">ElsoBetuNagy(R159)</f>
        <v/>
      </c>
      <c r="AO159" t="str" cm="1">
        <f t="array" ref="AO159">DatumSzovegge5(AN159)</f>
        <v>1899.</v>
      </c>
      <c r="AP159" t="str" cm="1">
        <f t="array" ref="AP159">DatumSzovegge3(AN159)</f>
        <v>december</v>
      </c>
      <c r="AQ159" t="str" cm="1">
        <f t="array" ref="AQ159">DatumSzovegge4(AN159)</f>
        <v>30.</v>
      </c>
    </row>
    <row r="160" spans="4:43" x14ac:dyDescent="0.25">
      <c r="D160" t="str" cm="1">
        <f t="array" ref="D160">SzuressNev($B$1,ROW()-1)</f>
        <v/>
      </c>
      <c r="E160">
        <f>COUNTIF($D$2:D160,D160)</f>
        <v>139</v>
      </c>
      <c r="F160" t="str" cm="1">
        <f t="array" ref="F160">ElutasitasEgyOk2(D160,E160)</f>
        <v/>
      </c>
      <c r="G160" t="str">
        <f>IFERROR(INDEX(diakadat!$I$2:$I$50,MATCH(D160,diakadat!$J$2:$J$50,0),1),"")</f>
        <v/>
      </c>
      <c r="H160" t="str">
        <f>IFERROR(INDEX(diakadat!$O$2:$O$50,MATCH(D160,diakadat!$J$2:$J$50,0),1),"")</f>
        <v/>
      </c>
      <c r="I160" t="str">
        <f>IFERROR(INDEX(diakadat!#REF!,MATCH(D160,diakadat!$J$2:$J$50,0),1),"")</f>
        <v/>
      </c>
      <c r="J160" t="str">
        <f>IFERROR(INDEX(diakadat!$K$2:$K$50,MATCH(D160,diakadat!$J$2:$J$50,0),1),"")</f>
        <v/>
      </c>
      <c r="K160" t="str" cm="1">
        <f t="array" ref="K160">IFERROR(DatumSzovegge2(INDEX(diakadat!$L$2:$L$50,MATCH(D160,diakadat!$J$2:$J$50,0),1)),"")</f>
        <v/>
      </c>
      <c r="L160" t="str" cm="1">
        <f t="array" ref="L160">IFERROR(DatumSzovegge5(INDEX(diakadat!$L$2:$L$50,MATCH(D160,diakadat!$J$2:$J$50,0),1)),"")</f>
        <v/>
      </c>
      <c r="M160" t="str" cm="1">
        <f t="array" ref="M160">IFERROR(DatumSzovegge3(INDEX(diakadat!$L$2:$L$50,MATCH(D160,diakadat!$J$2:$J$50,0),1)),"")</f>
        <v/>
      </c>
      <c r="N160" t="str" cm="1">
        <f t="array" ref="N160">IFERROR(DatumSzovegge4(INDEX(diakadat!$L$2:$L$50,MATCH(D160,diakadat!$J$2:$J$50,0),1)),"")</f>
        <v/>
      </c>
      <c r="O160" t="str">
        <f>IFERROR(INDEX(diakadat!$R$2:$R$50,MATCH(D160,diakadat!$J$2:$J$50,0),1),"")</f>
        <v/>
      </c>
      <c r="P160" t="str">
        <f>IFERROR(INDEX(diakadat!$AI$2:$AI$50,MATCH(D160,diakadat!$J$2:$J$50,0),1),"")</f>
        <v/>
      </c>
      <c r="Q160" t="str">
        <f>IFERROR(INDEX('rangsor'!$C$2:$C$343,MATCH(D160,'rangsor'!$A$2:$A$343,0),1),"")</f>
        <v/>
      </c>
      <c r="T160" t="s">
        <v>831</v>
      </c>
      <c r="U160" t="str" cm="1">
        <f t="array" ref="U160">Határozat(D160)</f>
        <v/>
      </c>
      <c r="AC160" t="str">
        <f>IFERROR(INDEX(diakadat!$U$2:$U$50,MATCH(D160,diakadat!$J$2:$J$50),1),"")</f>
        <v/>
      </c>
      <c r="AD160" t="str">
        <f>IFERROR(INDEX(diakadat!$V$2:$V$50,MATCH(D160,diakadat!$J$2:$J$50),1),"")</f>
        <v/>
      </c>
      <c r="AE160" t="str">
        <f>IFERROR(INDEX(diakadat!$W$2:$W$50,MATCH(D160,diakadat!$J$2:$J$50),1),"")</f>
        <v/>
      </c>
      <c r="AF160">
        <v>2085</v>
      </c>
      <c r="AG160" t="s">
        <v>1333</v>
      </c>
      <c r="AH160" t="s">
        <v>1334</v>
      </c>
      <c r="AI160" t="str">
        <f>IFERROR(INDEX(diakadat!$X$2:$X$50,MATCH(D160,diakadat!$J$2:$J$50),1),"")</f>
        <v/>
      </c>
      <c r="AK160">
        <f t="shared" si="2"/>
        <v>329</v>
      </c>
      <c r="AL160" t="str" cm="1">
        <f t="array" ref="AL160">ElsoBetuNagy(R160)</f>
        <v/>
      </c>
      <c r="AO160" t="str" cm="1">
        <f t="array" ref="AO160">DatumSzovegge5(AN160)</f>
        <v>1899.</v>
      </c>
      <c r="AP160" t="str" cm="1">
        <f t="array" ref="AP160">DatumSzovegge3(AN160)</f>
        <v>december</v>
      </c>
      <c r="AQ160" t="str" cm="1">
        <f t="array" ref="AQ160">DatumSzovegge4(AN160)</f>
        <v>30.</v>
      </c>
    </row>
    <row r="161" spans="4:43" x14ac:dyDescent="0.25">
      <c r="D161" t="str" cm="1">
        <f t="array" ref="D161">SzuressNev($B$1,ROW()-1)</f>
        <v/>
      </c>
      <c r="E161">
        <f>COUNTIF($D$2:D161,D161)</f>
        <v>140</v>
      </c>
      <c r="F161" t="str" cm="1">
        <f t="array" ref="F161">ElutasitasEgyOk2(D161,E161)</f>
        <v/>
      </c>
      <c r="G161" t="str">
        <f>IFERROR(INDEX(diakadat!$I$2:$I$50,MATCH(D161,diakadat!$J$2:$J$50,0),1),"")</f>
        <v/>
      </c>
      <c r="H161" t="str">
        <f>IFERROR(INDEX(diakadat!$O$2:$O$50,MATCH(D161,diakadat!$J$2:$J$50,0),1),"")</f>
        <v/>
      </c>
      <c r="I161" t="str">
        <f>IFERROR(INDEX(diakadat!#REF!,MATCH(D161,diakadat!$J$2:$J$50,0),1),"")</f>
        <v/>
      </c>
      <c r="J161" t="str">
        <f>IFERROR(INDEX(diakadat!$K$2:$K$50,MATCH(D161,diakadat!$J$2:$J$50,0),1),"")</f>
        <v/>
      </c>
      <c r="K161" t="str" cm="1">
        <f t="array" ref="K161">IFERROR(DatumSzovegge2(INDEX(diakadat!$L$2:$L$50,MATCH(D161,diakadat!$J$2:$J$50,0),1)),"")</f>
        <v/>
      </c>
      <c r="L161" t="str" cm="1">
        <f t="array" ref="L161">IFERROR(DatumSzovegge5(INDEX(diakadat!$L$2:$L$50,MATCH(D161,diakadat!$J$2:$J$50,0),1)),"")</f>
        <v/>
      </c>
      <c r="M161" t="str" cm="1">
        <f t="array" ref="M161">IFERROR(DatumSzovegge3(INDEX(diakadat!$L$2:$L$50,MATCH(D161,diakadat!$J$2:$J$50,0),1)),"")</f>
        <v/>
      </c>
      <c r="N161" t="str" cm="1">
        <f t="array" ref="N161">IFERROR(DatumSzovegge4(INDEX(diakadat!$L$2:$L$50,MATCH(D161,diakadat!$J$2:$J$50,0),1)),"")</f>
        <v/>
      </c>
      <c r="O161" t="str">
        <f>IFERROR(INDEX(diakadat!$R$2:$R$50,MATCH(D161,diakadat!$J$2:$J$50,0),1),"")</f>
        <v/>
      </c>
      <c r="P161" t="str">
        <f>IFERROR(INDEX(diakadat!$AI$2:$AI$50,MATCH(D161,diakadat!$J$2:$J$50,0),1),"")</f>
        <v/>
      </c>
      <c r="Q161" t="str">
        <f>IFERROR(INDEX('rangsor'!$C$2:$C$343,MATCH(D161,'rangsor'!$A$2:$A$343,0),1),"")</f>
        <v/>
      </c>
      <c r="T161" t="s">
        <v>831</v>
      </c>
      <c r="U161" t="str" cm="1">
        <f t="array" ref="U161">Határozat(D161)</f>
        <v/>
      </c>
      <c r="AC161" t="str">
        <f>IFERROR(INDEX(diakadat!$U$2:$U$50,MATCH(D161,diakadat!$J$2:$J$50),1),"")</f>
        <v/>
      </c>
      <c r="AD161" t="str">
        <f>IFERROR(INDEX(diakadat!$V$2:$V$50,MATCH(D161,diakadat!$J$2:$J$50),1),"")</f>
        <v/>
      </c>
      <c r="AE161" t="str">
        <f>IFERROR(INDEX(diakadat!$W$2:$W$50,MATCH(D161,diakadat!$J$2:$J$50),1),"")</f>
        <v/>
      </c>
      <c r="AF161">
        <v>2089</v>
      </c>
      <c r="AG161" t="s">
        <v>1335</v>
      </c>
      <c r="AH161" t="s">
        <v>1336</v>
      </c>
      <c r="AI161" t="str">
        <f>IFERROR(INDEX(diakadat!$X$2:$X$50,MATCH(D161,diakadat!$J$2:$J$50),1),"")</f>
        <v/>
      </c>
      <c r="AK161">
        <f t="shared" si="2"/>
        <v>329</v>
      </c>
      <c r="AL161" t="str" cm="1">
        <f t="array" ref="AL161">ElsoBetuNagy(R161)</f>
        <v/>
      </c>
      <c r="AO161" t="str" cm="1">
        <f t="array" ref="AO161">DatumSzovegge5(AN161)</f>
        <v>1899.</v>
      </c>
      <c r="AP161" t="str" cm="1">
        <f t="array" ref="AP161">DatumSzovegge3(AN161)</f>
        <v>december</v>
      </c>
      <c r="AQ161" t="str" cm="1">
        <f t="array" ref="AQ161">DatumSzovegge4(AN161)</f>
        <v>30.</v>
      </c>
    </row>
    <row r="162" spans="4:43" x14ac:dyDescent="0.25">
      <c r="D162" t="str" cm="1">
        <f t="array" ref="D162">SzuressNev($B$1,ROW()-1)</f>
        <v/>
      </c>
      <c r="E162">
        <f>COUNTIF($D$2:D162,D162)</f>
        <v>141</v>
      </c>
      <c r="F162" t="str" cm="1">
        <f t="array" ref="F162">ElutasitasEgyOk2(D162,E162)</f>
        <v/>
      </c>
      <c r="G162" t="str">
        <f>IFERROR(INDEX(diakadat!$I$2:$I$50,MATCH(D162,diakadat!$J$2:$J$50,0),1),"")</f>
        <v/>
      </c>
      <c r="H162" t="str">
        <f>IFERROR(INDEX(diakadat!$O$2:$O$50,MATCH(D162,diakadat!$J$2:$J$50,0),1),"")</f>
        <v/>
      </c>
      <c r="I162" t="str">
        <f>IFERROR(INDEX(diakadat!#REF!,MATCH(D162,diakadat!$J$2:$J$50,0),1),"")</f>
        <v/>
      </c>
      <c r="J162" t="str">
        <f>IFERROR(INDEX(diakadat!$K$2:$K$50,MATCH(D162,diakadat!$J$2:$J$50,0),1),"")</f>
        <v/>
      </c>
      <c r="K162" t="str" cm="1">
        <f t="array" ref="K162">IFERROR(DatumSzovegge2(INDEX(diakadat!$L$2:$L$50,MATCH(D162,diakadat!$J$2:$J$50,0),1)),"")</f>
        <v/>
      </c>
      <c r="L162" t="str" cm="1">
        <f t="array" ref="L162">IFERROR(DatumSzovegge5(INDEX(diakadat!$L$2:$L$50,MATCH(D162,diakadat!$J$2:$J$50,0),1)),"")</f>
        <v/>
      </c>
      <c r="M162" t="str" cm="1">
        <f t="array" ref="M162">IFERROR(DatumSzovegge3(INDEX(diakadat!$L$2:$L$50,MATCH(D162,diakadat!$J$2:$J$50,0),1)),"")</f>
        <v/>
      </c>
      <c r="N162" t="str" cm="1">
        <f t="array" ref="N162">IFERROR(DatumSzovegge4(INDEX(diakadat!$L$2:$L$50,MATCH(D162,diakadat!$J$2:$J$50,0),1)),"")</f>
        <v/>
      </c>
      <c r="O162" t="str">
        <f>IFERROR(INDEX(diakadat!$R$2:$R$50,MATCH(D162,diakadat!$J$2:$J$50,0),1),"")</f>
        <v/>
      </c>
      <c r="P162" t="str">
        <f>IFERROR(INDEX(diakadat!$AI$2:$AI$50,MATCH(D162,diakadat!$J$2:$J$50,0),1),"")</f>
        <v/>
      </c>
      <c r="Q162" t="str">
        <f>IFERROR(INDEX('rangsor'!$C$2:$C$343,MATCH(D162,'rangsor'!$A$2:$A$343,0),1),"")</f>
        <v/>
      </c>
      <c r="T162" t="s">
        <v>831</v>
      </c>
      <c r="U162" t="str" cm="1">
        <f t="array" ref="U162">Határozat(D162)</f>
        <v/>
      </c>
      <c r="AC162" t="str">
        <f>IFERROR(INDEX(diakadat!$U$2:$U$50,MATCH(D162,diakadat!$J$2:$J$50),1),"")</f>
        <v/>
      </c>
      <c r="AD162" t="str">
        <f>IFERROR(INDEX(diakadat!$V$2:$V$50,MATCH(D162,diakadat!$J$2:$J$50),1),"")</f>
        <v/>
      </c>
      <c r="AE162" t="str">
        <f>IFERROR(INDEX(diakadat!$W$2:$W$50,MATCH(D162,diakadat!$J$2:$J$50),1),"")</f>
        <v/>
      </c>
      <c r="AF162">
        <v>1056</v>
      </c>
      <c r="AG162" t="s">
        <v>912</v>
      </c>
      <c r="AH162" t="s">
        <v>1337</v>
      </c>
      <c r="AI162" t="str">
        <f>IFERROR(INDEX(diakadat!$X$2:$X$50,MATCH(D162,diakadat!$J$2:$J$50),1),"")</f>
        <v/>
      </c>
      <c r="AK162">
        <f t="shared" si="2"/>
        <v>329</v>
      </c>
      <c r="AL162" t="str" cm="1">
        <f t="array" ref="AL162">ElsoBetuNagy(R162)</f>
        <v/>
      </c>
      <c r="AO162" t="str" cm="1">
        <f t="array" ref="AO162">DatumSzovegge5(AN162)</f>
        <v>1899.</v>
      </c>
      <c r="AP162" t="str" cm="1">
        <f t="array" ref="AP162">DatumSzovegge3(AN162)</f>
        <v>december</v>
      </c>
      <c r="AQ162" t="str" cm="1">
        <f t="array" ref="AQ162">DatumSzovegge4(AN162)</f>
        <v>30.</v>
      </c>
    </row>
    <row r="163" spans="4:43" x14ac:dyDescent="0.25">
      <c r="D163" t="str" cm="1">
        <f t="array" ref="D163">SzuressNev($B$1,ROW()-1)</f>
        <v/>
      </c>
      <c r="E163">
        <f>COUNTIF($D$2:D163,D163)</f>
        <v>142</v>
      </c>
      <c r="F163" t="str" cm="1">
        <f t="array" ref="F163">ElutasitasEgyOk2(D163,E163)</f>
        <v/>
      </c>
      <c r="G163" t="str">
        <f>IFERROR(INDEX(diakadat!$I$2:$I$50,MATCH(D163,diakadat!$J$2:$J$50,0),1),"")</f>
        <v/>
      </c>
      <c r="H163" t="str">
        <f>IFERROR(INDEX(diakadat!$O$2:$O$50,MATCH(D163,diakadat!$J$2:$J$50,0),1),"")</f>
        <v/>
      </c>
      <c r="I163" t="str">
        <f>IFERROR(INDEX(diakadat!#REF!,MATCH(D163,diakadat!$J$2:$J$50,0),1),"")</f>
        <v/>
      </c>
      <c r="J163" t="str">
        <f>IFERROR(INDEX(diakadat!$K$2:$K$50,MATCH(D163,diakadat!$J$2:$J$50,0),1),"")</f>
        <v/>
      </c>
      <c r="K163" t="str" cm="1">
        <f t="array" ref="K163">IFERROR(DatumSzovegge2(INDEX(diakadat!$L$2:$L$50,MATCH(D163,diakadat!$J$2:$J$50,0),1)),"")</f>
        <v/>
      </c>
      <c r="L163" t="str" cm="1">
        <f t="array" ref="L163">IFERROR(DatumSzovegge5(INDEX(diakadat!$L$2:$L$50,MATCH(D163,diakadat!$J$2:$J$50,0),1)),"")</f>
        <v/>
      </c>
      <c r="M163" t="str" cm="1">
        <f t="array" ref="M163">IFERROR(DatumSzovegge3(INDEX(diakadat!$L$2:$L$50,MATCH(D163,diakadat!$J$2:$J$50,0),1)),"")</f>
        <v/>
      </c>
      <c r="N163" t="str" cm="1">
        <f t="array" ref="N163">IFERROR(DatumSzovegge4(INDEX(diakadat!$L$2:$L$50,MATCH(D163,diakadat!$J$2:$J$50,0),1)),"")</f>
        <v/>
      </c>
      <c r="O163" t="str">
        <f>IFERROR(INDEX(diakadat!$R$2:$R$50,MATCH(D163,diakadat!$J$2:$J$50,0),1),"")</f>
        <v/>
      </c>
      <c r="P163" t="str">
        <f>IFERROR(INDEX(diakadat!$AI$2:$AI$50,MATCH(D163,diakadat!$J$2:$J$50,0),1),"")</f>
        <v/>
      </c>
      <c r="Q163" t="str">
        <f>IFERROR(INDEX('rangsor'!$C$2:$C$343,MATCH(D163,'rangsor'!$A$2:$A$343,0),1),"")</f>
        <v/>
      </c>
      <c r="T163" t="s">
        <v>831</v>
      </c>
      <c r="U163" t="str" cm="1">
        <f t="array" ref="U163">Határozat(D163)</f>
        <v/>
      </c>
      <c r="AC163" t="str">
        <f>IFERROR(INDEX(diakadat!$U$2:$U$50,MATCH(D163,diakadat!$J$2:$J$50),1),"")</f>
        <v/>
      </c>
      <c r="AD163" t="str">
        <f>IFERROR(INDEX(diakadat!$V$2:$V$50,MATCH(D163,diakadat!$J$2:$J$50),1),"")</f>
        <v/>
      </c>
      <c r="AE163" t="str">
        <f>IFERROR(INDEX(diakadat!$W$2:$W$50,MATCH(D163,diakadat!$J$2:$J$50),1),"")</f>
        <v/>
      </c>
      <c r="AF163">
        <v>1155</v>
      </c>
      <c r="AG163" t="s">
        <v>912</v>
      </c>
      <c r="AH163" t="s">
        <v>1338</v>
      </c>
      <c r="AI163" t="str">
        <f>IFERROR(INDEX(diakadat!$X$2:$X$50,MATCH(D163,diakadat!$J$2:$J$50),1),"")</f>
        <v/>
      </c>
      <c r="AK163">
        <f t="shared" si="2"/>
        <v>329</v>
      </c>
      <c r="AL163" t="str" cm="1">
        <f t="array" ref="AL163">ElsoBetuNagy(R163)</f>
        <v/>
      </c>
      <c r="AO163" t="str" cm="1">
        <f t="array" ref="AO163">DatumSzovegge5(AN163)</f>
        <v>1899.</v>
      </c>
      <c r="AP163" t="str" cm="1">
        <f t="array" ref="AP163">DatumSzovegge3(AN163)</f>
        <v>december</v>
      </c>
      <c r="AQ163" t="str" cm="1">
        <f t="array" ref="AQ163">DatumSzovegge4(AN163)</f>
        <v>30.</v>
      </c>
    </row>
    <row r="164" spans="4:43" x14ac:dyDescent="0.25">
      <c r="D164" t="str" cm="1">
        <f t="array" ref="D164">SzuressNev($B$1,ROW()-1)</f>
        <v/>
      </c>
      <c r="E164">
        <f>COUNTIF($D$2:D164,D164)</f>
        <v>143</v>
      </c>
      <c r="F164" t="str" cm="1">
        <f t="array" ref="F164">ElutasitasEgyOk2(D164,E164)</f>
        <v/>
      </c>
      <c r="G164" t="str">
        <f>IFERROR(INDEX(diakadat!$I$2:$I$50,MATCH(D164,diakadat!$J$2:$J$50,0),1),"")</f>
        <v/>
      </c>
      <c r="H164" t="str">
        <f>IFERROR(INDEX(diakadat!$O$2:$O$50,MATCH(D164,diakadat!$J$2:$J$50,0),1),"")</f>
        <v/>
      </c>
      <c r="I164" t="str">
        <f>IFERROR(INDEX(diakadat!#REF!,MATCH(D164,diakadat!$J$2:$J$50,0),1),"")</f>
        <v/>
      </c>
      <c r="J164" t="str">
        <f>IFERROR(INDEX(diakadat!$K$2:$K$50,MATCH(D164,diakadat!$J$2:$J$50,0),1),"")</f>
        <v/>
      </c>
      <c r="K164" t="str" cm="1">
        <f t="array" ref="K164">IFERROR(DatumSzovegge2(INDEX(diakadat!$L$2:$L$50,MATCH(D164,diakadat!$J$2:$J$50,0),1)),"")</f>
        <v/>
      </c>
      <c r="L164" t="str" cm="1">
        <f t="array" ref="L164">IFERROR(DatumSzovegge5(INDEX(diakadat!$L$2:$L$50,MATCH(D164,diakadat!$J$2:$J$50,0),1)),"")</f>
        <v/>
      </c>
      <c r="M164" t="str" cm="1">
        <f t="array" ref="M164">IFERROR(DatumSzovegge3(INDEX(diakadat!$L$2:$L$50,MATCH(D164,diakadat!$J$2:$J$50,0),1)),"")</f>
        <v/>
      </c>
      <c r="N164" t="str" cm="1">
        <f t="array" ref="N164">IFERROR(DatumSzovegge4(INDEX(diakadat!$L$2:$L$50,MATCH(D164,diakadat!$J$2:$J$50,0),1)),"")</f>
        <v/>
      </c>
      <c r="O164" t="str">
        <f>IFERROR(INDEX(diakadat!$R$2:$R$50,MATCH(D164,diakadat!$J$2:$J$50,0),1),"")</f>
        <v/>
      </c>
      <c r="P164" t="str">
        <f>IFERROR(INDEX(diakadat!$AI$2:$AI$50,MATCH(D164,diakadat!$J$2:$J$50,0),1),"")</f>
        <v/>
      </c>
      <c r="Q164" t="str">
        <f>IFERROR(INDEX('rangsor'!$C$2:$C$343,MATCH(D164,'rangsor'!$A$2:$A$343,0),1),"")</f>
        <v/>
      </c>
      <c r="T164" t="s">
        <v>831</v>
      </c>
      <c r="U164" t="str" cm="1">
        <f t="array" ref="U164">Határozat(D164)</f>
        <v/>
      </c>
      <c r="AC164" t="str">
        <f>IFERROR(INDEX(diakadat!$U$2:$U$50,MATCH(D164,diakadat!$J$2:$J$50),1),"")</f>
        <v/>
      </c>
      <c r="AD164" t="str">
        <f>IFERROR(INDEX(diakadat!$V$2:$V$50,MATCH(D164,diakadat!$J$2:$J$50),1),"")</f>
        <v/>
      </c>
      <c r="AE164" t="str">
        <f>IFERROR(INDEX(diakadat!$W$2:$W$50,MATCH(D164,diakadat!$J$2:$J$50),1),"")</f>
        <v/>
      </c>
      <c r="AF164">
        <v>1028</v>
      </c>
      <c r="AG164" t="s">
        <v>912</v>
      </c>
      <c r="AH164" t="s">
        <v>1339</v>
      </c>
      <c r="AI164" t="str">
        <f>IFERROR(INDEX(diakadat!$X$2:$X$50,MATCH(D164,diakadat!$J$2:$J$50),1),"")</f>
        <v/>
      </c>
      <c r="AK164">
        <f t="shared" si="2"/>
        <v>329</v>
      </c>
      <c r="AL164" t="str" cm="1">
        <f t="array" ref="AL164">ElsoBetuNagy(R164)</f>
        <v/>
      </c>
      <c r="AO164" t="str" cm="1">
        <f t="array" ref="AO164">DatumSzovegge5(AN164)</f>
        <v>1899.</v>
      </c>
      <c r="AP164" t="str" cm="1">
        <f t="array" ref="AP164">DatumSzovegge3(AN164)</f>
        <v>december</v>
      </c>
      <c r="AQ164" t="str" cm="1">
        <f t="array" ref="AQ164">DatumSzovegge4(AN164)</f>
        <v>30.</v>
      </c>
    </row>
    <row r="165" spans="4:43" x14ac:dyDescent="0.25">
      <c r="D165" t="str" cm="1">
        <f t="array" ref="D165">SzuressNev($B$1,ROW()-1)</f>
        <v/>
      </c>
      <c r="E165">
        <f>COUNTIF($D$2:D165,D165)</f>
        <v>144</v>
      </c>
      <c r="F165" t="str" cm="1">
        <f t="array" ref="F165">ElutasitasEgyOk2(D165,E165)</f>
        <v/>
      </c>
      <c r="G165" t="str">
        <f>IFERROR(INDEX(diakadat!$I$2:$I$50,MATCH(D165,diakadat!$J$2:$J$50,0),1),"")</f>
        <v/>
      </c>
      <c r="H165" t="str">
        <f>IFERROR(INDEX(diakadat!$O$2:$O$50,MATCH(D165,diakadat!$J$2:$J$50,0),1),"")</f>
        <v/>
      </c>
      <c r="I165" t="str">
        <f>IFERROR(INDEX(diakadat!#REF!,MATCH(D165,diakadat!$J$2:$J$50,0),1),"")</f>
        <v/>
      </c>
      <c r="J165" t="str">
        <f>IFERROR(INDEX(diakadat!$K$2:$K$50,MATCH(D165,diakadat!$J$2:$J$50,0),1),"")</f>
        <v/>
      </c>
      <c r="K165" t="str" cm="1">
        <f t="array" ref="K165">IFERROR(DatumSzovegge2(INDEX(diakadat!$L$2:$L$50,MATCH(D165,diakadat!$J$2:$J$50,0),1)),"")</f>
        <v/>
      </c>
      <c r="L165" t="str" cm="1">
        <f t="array" ref="L165">IFERROR(DatumSzovegge5(INDEX(diakadat!$L$2:$L$50,MATCH(D165,diakadat!$J$2:$J$50,0),1)),"")</f>
        <v/>
      </c>
      <c r="M165" t="str" cm="1">
        <f t="array" ref="M165">IFERROR(DatumSzovegge3(INDEX(diakadat!$L$2:$L$50,MATCH(D165,diakadat!$J$2:$J$50,0),1)),"")</f>
        <v/>
      </c>
      <c r="N165" t="str" cm="1">
        <f t="array" ref="N165">IFERROR(DatumSzovegge4(INDEX(diakadat!$L$2:$L$50,MATCH(D165,diakadat!$J$2:$J$50,0),1)),"")</f>
        <v/>
      </c>
      <c r="O165" t="str">
        <f>IFERROR(INDEX(diakadat!$R$2:$R$50,MATCH(D165,diakadat!$J$2:$J$50,0),1),"")</f>
        <v/>
      </c>
      <c r="P165" t="str">
        <f>IFERROR(INDEX(diakadat!$AI$2:$AI$50,MATCH(D165,diakadat!$J$2:$J$50,0),1),"")</f>
        <v/>
      </c>
      <c r="Q165" t="str">
        <f>IFERROR(INDEX('rangsor'!$C$2:$C$343,MATCH(D165,'rangsor'!$A$2:$A$343,0),1),"")</f>
        <v/>
      </c>
      <c r="T165" t="s">
        <v>831</v>
      </c>
      <c r="U165" t="str" cm="1">
        <f t="array" ref="U165">Határozat(D165)</f>
        <v/>
      </c>
      <c r="AC165" t="str">
        <f>IFERROR(INDEX(diakadat!$U$2:$U$50,MATCH(D165,diakadat!$J$2:$J$50),1),"")</f>
        <v/>
      </c>
      <c r="AD165" t="str">
        <f>IFERROR(INDEX(diakadat!$V$2:$V$50,MATCH(D165,diakadat!$J$2:$J$50),1),"")</f>
        <v/>
      </c>
      <c r="AE165" t="str">
        <f>IFERROR(INDEX(diakadat!$W$2:$W$50,MATCH(D165,diakadat!$J$2:$J$50),1),"")</f>
        <v/>
      </c>
      <c r="AF165">
        <v>2051</v>
      </c>
      <c r="AG165" t="s">
        <v>1176</v>
      </c>
      <c r="AH165" t="s">
        <v>1340</v>
      </c>
      <c r="AI165" t="str">
        <f>IFERROR(INDEX(diakadat!$X$2:$X$50,MATCH(D165,diakadat!$J$2:$J$50),1),"")</f>
        <v/>
      </c>
      <c r="AK165">
        <f t="shared" si="2"/>
        <v>329</v>
      </c>
      <c r="AL165" t="str" cm="1">
        <f t="array" ref="AL165">ElsoBetuNagy(R165)</f>
        <v/>
      </c>
      <c r="AO165" t="str" cm="1">
        <f t="array" ref="AO165">DatumSzovegge5(AN165)</f>
        <v>1899.</v>
      </c>
      <c r="AP165" t="str" cm="1">
        <f t="array" ref="AP165">DatumSzovegge3(AN165)</f>
        <v>december</v>
      </c>
      <c r="AQ165" t="str" cm="1">
        <f t="array" ref="AQ165">DatumSzovegge4(AN165)</f>
        <v>30.</v>
      </c>
    </row>
    <row r="166" spans="4:43" x14ac:dyDescent="0.25">
      <c r="D166" t="str" cm="1">
        <f t="array" ref="D166">SzuressNev($B$1,ROW()-1)</f>
        <v/>
      </c>
      <c r="E166">
        <f>COUNTIF($D$2:D166,D166)</f>
        <v>145</v>
      </c>
      <c r="F166" t="str" cm="1">
        <f t="array" ref="F166">ElutasitasEgyOk2(D166,E166)</f>
        <v/>
      </c>
      <c r="G166" t="str">
        <f>IFERROR(INDEX(diakadat!$I$2:$I$50,MATCH(D166,diakadat!$J$2:$J$50,0),1),"")</f>
        <v/>
      </c>
      <c r="H166" t="str">
        <f>IFERROR(INDEX(diakadat!$O$2:$O$50,MATCH(D166,diakadat!$J$2:$J$50,0),1),"")</f>
        <v/>
      </c>
      <c r="I166" t="str">
        <f>IFERROR(INDEX(diakadat!#REF!,MATCH(D166,diakadat!$J$2:$J$50,0),1),"")</f>
        <v/>
      </c>
      <c r="J166" t="str">
        <f>IFERROR(INDEX(diakadat!$K$2:$K$50,MATCH(D166,diakadat!$J$2:$J$50,0),1),"")</f>
        <v/>
      </c>
      <c r="K166" t="str" cm="1">
        <f t="array" ref="K166">IFERROR(DatumSzovegge2(INDEX(diakadat!$L$2:$L$50,MATCH(D166,diakadat!$J$2:$J$50,0),1)),"")</f>
        <v/>
      </c>
      <c r="L166" t="str" cm="1">
        <f t="array" ref="L166">IFERROR(DatumSzovegge5(INDEX(diakadat!$L$2:$L$50,MATCH(D166,diakadat!$J$2:$J$50,0),1)),"")</f>
        <v/>
      </c>
      <c r="M166" t="str" cm="1">
        <f t="array" ref="M166">IFERROR(DatumSzovegge3(INDEX(diakadat!$L$2:$L$50,MATCH(D166,diakadat!$J$2:$J$50,0),1)),"")</f>
        <v/>
      </c>
      <c r="N166" t="str" cm="1">
        <f t="array" ref="N166">IFERROR(DatumSzovegge4(INDEX(diakadat!$L$2:$L$50,MATCH(D166,diakadat!$J$2:$J$50,0),1)),"")</f>
        <v/>
      </c>
      <c r="O166" t="str">
        <f>IFERROR(INDEX(diakadat!$R$2:$R$50,MATCH(D166,diakadat!$J$2:$J$50,0),1),"")</f>
        <v/>
      </c>
      <c r="P166" t="str">
        <f>IFERROR(INDEX(diakadat!$AI$2:$AI$50,MATCH(D166,diakadat!$J$2:$J$50,0),1),"")</f>
        <v/>
      </c>
      <c r="Q166" t="str">
        <f>IFERROR(INDEX('rangsor'!$C$2:$C$343,MATCH(D166,'rangsor'!$A$2:$A$343,0),1),"")</f>
        <v/>
      </c>
      <c r="T166" t="s">
        <v>831</v>
      </c>
      <c r="U166" t="str" cm="1">
        <f t="array" ref="U166">Határozat(D166)</f>
        <v/>
      </c>
      <c r="AC166" t="str">
        <f>IFERROR(INDEX(diakadat!$U$2:$U$50,MATCH(D166,diakadat!$J$2:$J$50),1),"")</f>
        <v/>
      </c>
      <c r="AD166" t="str">
        <f>IFERROR(INDEX(diakadat!$V$2:$V$50,MATCH(D166,diakadat!$J$2:$J$50),1),"")</f>
        <v/>
      </c>
      <c r="AE166" t="str">
        <f>IFERROR(INDEX(diakadat!$W$2:$W$50,MATCH(D166,diakadat!$J$2:$J$50),1),"")</f>
        <v/>
      </c>
      <c r="AF166">
        <v>1025</v>
      </c>
      <c r="AG166" t="s">
        <v>912</v>
      </c>
      <c r="AH166" t="s">
        <v>1341</v>
      </c>
      <c r="AI166" t="str">
        <f>IFERROR(INDEX(diakadat!$X$2:$X$50,MATCH(D166,diakadat!$J$2:$J$50),1),"")</f>
        <v/>
      </c>
      <c r="AK166">
        <f t="shared" si="2"/>
        <v>329</v>
      </c>
      <c r="AL166" t="str" cm="1">
        <f t="array" ref="AL166">ElsoBetuNagy(R166)</f>
        <v/>
      </c>
      <c r="AO166" t="str" cm="1">
        <f t="array" ref="AO166">DatumSzovegge5(AN166)</f>
        <v>1899.</v>
      </c>
      <c r="AP166" t="str" cm="1">
        <f t="array" ref="AP166">DatumSzovegge3(AN166)</f>
        <v>december</v>
      </c>
      <c r="AQ166" t="str" cm="1">
        <f t="array" ref="AQ166">DatumSzovegge4(AN166)</f>
        <v>30.</v>
      </c>
    </row>
    <row r="167" spans="4:43" x14ac:dyDescent="0.25">
      <c r="D167" t="str" cm="1">
        <f t="array" ref="D167">SzuressNev($B$1,ROW()-1)</f>
        <v/>
      </c>
      <c r="E167">
        <f>COUNTIF($D$2:D167,D167)</f>
        <v>146</v>
      </c>
      <c r="F167" t="str" cm="1">
        <f t="array" ref="F167">ElutasitasEgyOk2(D167,E167)</f>
        <v/>
      </c>
      <c r="G167" t="str">
        <f>IFERROR(INDEX(diakadat!$I$2:$I$50,MATCH(D167,diakadat!$J$2:$J$50,0),1),"")</f>
        <v/>
      </c>
      <c r="H167" t="str">
        <f>IFERROR(INDEX(diakadat!$O$2:$O$50,MATCH(D167,diakadat!$J$2:$J$50,0),1),"")</f>
        <v/>
      </c>
      <c r="I167" t="str">
        <f>IFERROR(INDEX(diakadat!#REF!,MATCH(D167,diakadat!$J$2:$J$50,0),1),"")</f>
        <v/>
      </c>
      <c r="J167" t="str">
        <f>IFERROR(INDEX(diakadat!$K$2:$K$50,MATCH(D167,diakadat!$J$2:$J$50,0),1),"")</f>
        <v/>
      </c>
      <c r="K167" t="str" cm="1">
        <f t="array" ref="K167">IFERROR(DatumSzovegge2(INDEX(diakadat!$L$2:$L$50,MATCH(D167,diakadat!$J$2:$J$50,0),1)),"")</f>
        <v/>
      </c>
      <c r="L167" t="str" cm="1">
        <f t="array" ref="L167">IFERROR(DatumSzovegge5(INDEX(diakadat!$L$2:$L$50,MATCH(D167,diakadat!$J$2:$J$50,0),1)),"")</f>
        <v/>
      </c>
      <c r="M167" t="str" cm="1">
        <f t="array" ref="M167">IFERROR(DatumSzovegge3(INDEX(diakadat!$L$2:$L$50,MATCH(D167,diakadat!$J$2:$J$50,0),1)),"")</f>
        <v/>
      </c>
      <c r="N167" t="str" cm="1">
        <f t="array" ref="N167">IFERROR(DatumSzovegge4(INDEX(diakadat!$L$2:$L$50,MATCH(D167,diakadat!$J$2:$J$50,0),1)),"")</f>
        <v/>
      </c>
      <c r="O167" t="str">
        <f>IFERROR(INDEX(diakadat!$R$2:$R$50,MATCH(D167,diakadat!$J$2:$J$50,0),1),"")</f>
        <v/>
      </c>
      <c r="P167" t="str">
        <f>IFERROR(INDEX(diakadat!$AI$2:$AI$50,MATCH(D167,diakadat!$J$2:$J$50,0),1),"")</f>
        <v/>
      </c>
      <c r="Q167" t="str">
        <f>IFERROR(INDEX('rangsor'!$C$2:$C$343,MATCH(D167,'rangsor'!$A$2:$A$343,0),1),"")</f>
        <v/>
      </c>
      <c r="T167" t="s">
        <v>831</v>
      </c>
      <c r="U167" t="str" cm="1">
        <f t="array" ref="U167">Határozat(D167)</f>
        <v/>
      </c>
      <c r="AC167" t="str">
        <f>IFERROR(INDEX(diakadat!$U$2:$U$50,MATCH(D167,diakadat!$J$2:$J$50),1),"")</f>
        <v/>
      </c>
      <c r="AD167" t="str">
        <f>IFERROR(INDEX(diakadat!$V$2:$V$50,MATCH(D167,diakadat!$J$2:$J$50),1),"")</f>
        <v/>
      </c>
      <c r="AE167" t="str">
        <f>IFERROR(INDEX(diakadat!$W$2:$W$50,MATCH(D167,diakadat!$J$2:$J$50),1),"")</f>
        <v/>
      </c>
      <c r="AF167">
        <v>1223</v>
      </c>
      <c r="AG167" t="s">
        <v>912</v>
      </c>
      <c r="AH167" t="s">
        <v>1342</v>
      </c>
      <c r="AI167" t="str">
        <f>IFERROR(INDEX(diakadat!$X$2:$X$50,MATCH(D167,diakadat!$J$2:$J$50),1),"")</f>
        <v/>
      </c>
      <c r="AK167">
        <f t="shared" si="2"/>
        <v>329</v>
      </c>
      <c r="AL167" t="str" cm="1">
        <f t="array" ref="AL167">ElsoBetuNagy(R167)</f>
        <v/>
      </c>
      <c r="AO167" t="str" cm="1">
        <f t="array" ref="AO167">DatumSzovegge5(AN167)</f>
        <v>1899.</v>
      </c>
      <c r="AP167" t="str" cm="1">
        <f t="array" ref="AP167">DatumSzovegge3(AN167)</f>
        <v>december</v>
      </c>
      <c r="AQ167" t="str" cm="1">
        <f t="array" ref="AQ167">DatumSzovegge4(AN167)</f>
        <v>30.</v>
      </c>
    </row>
    <row r="168" spans="4:43" x14ac:dyDescent="0.25">
      <c r="D168" t="str" cm="1">
        <f t="array" ref="D168">SzuressNev($B$1,ROW()-1)</f>
        <v/>
      </c>
      <c r="E168">
        <f>COUNTIF($D$2:D168,D168)</f>
        <v>147</v>
      </c>
      <c r="F168" t="str" cm="1">
        <f t="array" ref="F168">ElutasitasEgyOk2(D168,E168)</f>
        <v/>
      </c>
      <c r="G168" t="str">
        <f>IFERROR(INDEX(diakadat!$I$2:$I$50,MATCH(D168,diakadat!$J$2:$J$50,0),1),"")</f>
        <v/>
      </c>
      <c r="H168" t="str">
        <f>IFERROR(INDEX(diakadat!$O$2:$O$50,MATCH(D168,diakadat!$J$2:$J$50,0),1),"")</f>
        <v/>
      </c>
      <c r="I168" t="str">
        <f>IFERROR(INDEX(diakadat!#REF!,MATCH(D168,diakadat!$J$2:$J$50,0),1),"")</f>
        <v/>
      </c>
      <c r="J168" t="str">
        <f>IFERROR(INDEX(diakadat!$K$2:$K$50,MATCH(D168,diakadat!$J$2:$J$50,0),1),"")</f>
        <v/>
      </c>
      <c r="K168" t="str" cm="1">
        <f t="array" ref="K168">IFERROR(DatumSzovegge2(INDEX(diakadat!$L$2:$L$50,MATCH(D168,diakadat!$J$2:$J$50,0),1)),"")</f>
        <v/>
      </c>
      <c r="L168" t="str" cm="1">
        <f t="array" ref="L168">IFERROR(DatumSzovegge5(INDEX(diakadat!$L$2:$L$50,MATCH(D168,diakadat!$J$2:$J$50,0),1)),"")</f>
        <v/>
      </c>
      <c r="M168" t="str" cm="1">
        <f t="array" ref="M168">IFERROR(DatumSzovegge3(INDEX(diakadat!$L$2:$L$50,MATCH(D168,diakadat!$J$2:$J$50,0),1)),"")</f>
        <v/>
      </c>
      <c r="N168" t="str" cm="1">
        <f t="array" ref="N168">IFERROR(DatumSzovegge4(INDEX(diakadat!$L$2:$L$50,MATCH(D168,diakadat!$J$2:$J$50,0),1)),"")</f>
        <v/>
      </c>
      <c r="O168" t="str">
        <f>IFERROR(INDEX(diakadat!$R$2:$R$50,MATCH(D168,diakadat!$J$2:$J$50,0),1),"")</f>
        <v/>
      </c>
      <c r="P168" t="str">
        <f>IFERROR(INDEX(diakadat!$AI$2:$AI$50,MATCH(D168,diakadat!$J$2:$J$50,0),1),"")</f>
        <v/>
      </c>
      <c r="Q168" t="str">
        <f>IFERROR(INDEX('rangsor'!$C$2:$C$343,MATCH(D168,'rangsor'!$A$2:$A$343,0),1),"")</f>
        <v/>
      </c>
      <c r="T168" t="s">
        <v>831</v>
      </c>
      <c r="U168" t="str" cm="1">
        <f t="array" ref="U168">Határozat(D168)</f>
        <v/>
      </c>
      <c r="AC168" t="str">
        <f>IFERROR(INDEX(diakadat!$U$2:$U$50,MATCH(D168,diakadat!$J$2:$J$50),1),"")</f>
        <v/>
      </c>
      <c r="AD168" t="str">
        <f>IFERROR(INDEX(diakadat!$V$2:$V$50,MATCH(D168,diakadat!$J$2:$J$50),1),"")</f>
        <v/>
      </c>
      <c r="AE168" t="str">
        <f>IFERROR(INDEX(diakadat!$W$2:$W$50,MATCH(D168,diakadat!$J$2:$J$50),1),"")</f>
        <v/>
      </c>
      <c r="AF168">
        <v>1124</v>
      </c>
      <c r="AG168" t="s">
        <v>912</v>
      </c>
      <c r="AH168" t="s">
        <v>1343</v>
      </c>
      <c r="AI168" t="str">
        <f>IFERROR(INDEX(diakadat!$X$2:$X$50,MATCH(D168,diakadat!$J$2:$J$50),1),"")</f>
        <v/>
      </c>
      <c r="AK168">
        <f t="shared" si="2"/>
        <v>329</v>
      </c>
      <c r="AL168" t="str" cm="1">
        <f t="array" ref="AL168">ElsoBetuNagy(R168)</f>
        <v/>
      </c>
      <c r="AO168" t="str" cm="1">
        <f t="array" ref="AO168">DatumSzovegge5(AN168)</f>
        <v>1899.</v>
      </c>
      <c r="AP168" t="str" cm="1">
        <f t="array" ref="AP168">DatumSzovegge3(AN168)</f>
        <v>december</v>
      </c>
      <c r="AQ168" t="str" cm="1">
        <f t="array" ref="AQ168">DatumSzovegge4(AN168)</f>
        <v>30.</v>
      </c>
    </row>
    <row r="169" spans="4:43" x14ac:dyDescent="0.25">
      <c r="D169" t="str" cm="1">
        <f t="array" ref="D169">SzuressNev($B$1,ROW()-1)</f>
        <v/>
      </c>
      <c r="E169">
        <f>COUNTIF($D$2:D169,D169)</f>
        <v>148</v>
      </c>
      <c r="F169" t="str" cm="1">
        <f t="array" ref="F169">ElutasitasEgyOk2(D169,E169)</f>
        <v/>
      </c>
      <c r="G169" t="str">
        <f>IFERROR(INDEX(diakadat!$I$2:$I$50,MATCH(D169,diakadat!$J$2:$J$50,0),1),"")</f>
        <v/>
      </c>
      <c r="H169" t="str">
        <f>IFERROR(INDEX(diakadat!$O$2:$O$50,MATCH(D169,diakadat!$J$2:$J$50,0),1),"")</f>
        <v/>
      </c>
      <c r="I169" t="str">
        <f>IFERROR(INDEX(diakadat!#REF!,MATCH(D169,diakadat!$J$2:$J$50,0),1),"")</f>
        <v/>
      </c>
      <c r="J169" t="str">
        <f>IFERROR(INDEX(diakadat!$K$2:$K$50,MATCH(D169,diakadat!$J$2:$J$50,0),1),"")</f>
        <v/>
      </c>
      <c r="K169" t="str" cm="1">
        <f t="array" ref="K169">IFERROR(DatumSzovegge2(INDEX(diakadat!$L$2:$L$50,MATCH(D169,diakadat!$J$2:$J$50,0),1)),"")</f>
        <v/>
      </c>
      <c r="L169" t="str" cm="1">
        <f t="array" ref="L169">IFERROR(DatumSzovegge5(INDEX(diakadat!$L$2:$L$50,MATCH(D169,diakadat!$J$2:$J$50,0),1)),"")</f>
        <v/>
      </c>
      <c r="M169" t="str" cm="1">
        <f t="array" ref="M169">IFERROR(DatumSzovegge3(INDEX(diakadat!$L$2:$L$50,MATCH(D169,diakadat!$J$2:$J$50,0),1)),"")</f>
        <v/>
      </c>
      <c r="N169" t="str" cm="1">
        <f t="array" ref="N169">IFERROR(DatumSzovegge4(INDEX(diakadat!$L$2:$L$50,MATCH(D169,diakadat!$J$2:$J$50,0),1)),"")</f>
        <v/>
      </c>
      <c r="O169" t="str">
        <f>IFERROR(INDEX(diakadat!$R$2:$R$50,MATCH(D169,diakadat!$J$2:$J$50,0),1),"")</f>
        <v/>
      </c>
      <c r="P169" t="str">
        <f>IFERROR(INDEX(diakadat!$AI$2:$AI$50,MATCH(D169,diakadat!$J$2:$J$50,0),1),"")</f>
        <v/>
      </c>
      <c r="Q169" t="str">
        <f>IFERROR(INDEX('rangsor'!$C$2:$C$343,MATCH(D169,'rangsor'!$A$2:$A$343,0),1),"")</f>
        <v/>
      </c>
      <c r="T169" t="s">
        <v>831</v>
      </c>
      <c r="U169" t="str" cm="1">
        <f t="array" ref="U169">Határozat(D169)</f>
        <v/>
      </c>
      <c r="AC169" t="str">
        <f>IFERROR(INDEX(diakadat!$U$2:$U$50,MATCH(D169,diakadat!$J$2:$J$50),1),"")</f>
        <v/>
      </c>
      <c r="AD169" t="str">
        <f>IFERROR(INDEX(diakadat!$V$2:$V$50,MATCH(D169,diakadat!$J$2:$J$50),1),"")</f>
        <v/>
      </c>
      <c r="AE169" t="str">
        <f>IFERROR(INDEX(diakadat!$W$2:$W$50,MATCH(D169,diakadat!$J$2:$J$50),1),"")</f>
        <v/>
      </c>
      <c r="AF169">
        <v>1021</v>
      </c>
      <c r="AG169" t="s">
        <v>912</v>
      </c>
      <c r="AH169" t="s">
        <v>1344</v>
      </c>
      <c r="AI169" t="str">
        <f>IFERROR(INDEX(diakadat!$X$2:$X$50,MATCH(D169,diakadat!$J$2:$J$50),1),"")</f>
        <v/>
      </c>
      <c r="AK169">
        <f t="shared" si="2"/>
        <v>329</v>
      </c>
      <c r="AL169" t="str" cm="1">
        <f t="array" ref="AL169">ElsoBetuNagy(R169)</f>
        <v/>
      </c>
      <c r="AO169" t="str" cm="1">
        <f t="array" ref="AO169">DatumSzovegge5(AN169)</f>
        <v>1899.</v>
      </c>
      <c r="AP169" t="str" cm="1">
        <f t="array" ref="AP169">DatumSzovegge3(AN169)</f>
        <v>december</v>
      </c>
      <c r="AQ169" t="str" cm="1">
        <f t="array" ref="AQ169">DatumSzovegge4(AN169)</f>
        <v>30.</v>
      </c>
    </row>
    <row r="170" spans="4:43" x14ac:dyDescent="0.25">
      <c r="D170" t="str" cm="1">
        <f t="array" ref="D170">SzuressNev($B$1,ROW()-1)</f>
        <v/>
      </c>
      <c r="E170">
        <f>COUNTIF($D$2:D170,D170)</f>
        <v>149</v>
      </c>
      <c r="F170" t="str" cm="1">
        <f t="array" ref="F170">ElutasitasEgyOk2(D170,E170)</f>
        <v/>
      </c>
      <c r="G170" t="str">
        <f>IFERROR(INDEX(diakadat!$I$2:$I$50,MATCH(D170,diakadat!$J$2:$J$50,0),1),"")</f>
        <v/>
      </c>
      <c r="H170" t="str">
        <f>IFERROR(INDEX(diakadat!$O$2:$O$50,MATCH(D170,diakadat!$J$2:$J$50,0),1),"")</f>
        <v/>
      </c>
      <c r="I170" t="str">
        <f>IFERROR(INDEX(diakadat!#REF!,MATCH(D170,diakadat!$J$2:$J$50,0),1),"")</f>
        <v/>
      </c>
      <c r="J170" t="str">
        <f>IFERROR(INDEX(diakadat!$K$2:$K$50,MATCH(D170,diakadat!$J$2:$J$50,0),1),"")</f>
        <v/>
      </c>
      <c r="K170" t="str" cm="1">
        <f t="array" ref="K170">IFERROR(DatumSzovegge2(INDEX(diakadat!$L$2:$L$50,MATCH(D170,diakadat!$J$2:$J$50,0),1)),"")</f>
        <v/>
      </c>
      <c r="L170" t="str" cm="1">
        <f t="array" ref="L170">IFERROR(DatumSzovegge5(INDEX(diakadat!$L$2:$L$50,MATCH(D170,diakadat!$J$2:$J$50,0),1)),"")</f>
        <v/>
      </c>
      <c r="M170" t="str" cm="1">
        <f t="array" ref="M170">IFERROR(DatumSzovegge3(INDEX(diakadat!$L$2:$L$50,MATCH(D170,diakadat!$J$2:$J$50,0),1)),"")</f>
        <v/>
      </c>
      <c r="N170" t="str" cm="1">
        <f t="array" ref="N170">IFERROR(DatumSzovegge4(INDEX(diakadat!$L$2:$L$50,MATCH(D170,diakadat!$J$2:$J$50,0),1)),"")</f>
        <v/>
      </c>
      <c r="O170" t="str">
        <f>IFERROR(INDEX(diakadat!$R$2:$R$50,MATCH(D170,diakadat!$J$2:$J$50,0),1),"")</f>
        <v/>
      </c>
      <c r="P170" t="str">
        <f>IFERROR(INDEX(diakadat!$AI$2:$AI$50,MATCH(D170,diakadat!$J$2:$J$50,0),1),"")</f>
        <v/>
      </c>
      <c r="Q170" t="str">
        <f>IFERROR(INDEX('rangsor'!$C$2:$C$343,MATCH(D170,'rangsor'!$A$2:$A$343,0),1),"")</f>
        <v/>
      </c>
      <c r="T170" t="s">
        <v>831</v>
      </c>
      <c r="U170" t="str" cm="1">
        <f t="array" ref="U170">Határozat(D170)</f>
        <v/>
      </c>
      <c r="AC170" t="str">
        <f>IFERROR(INDEX(diakadat!$U$2:$U$50,MATCH(D170,diakadat!$J$2:$J$50),1),"")</f>
        <v/>
      </c>
      <c r="AD170" t="str">
        <f>IFERROR(INDEX(diakadat!$V$2:$V$50,MATCH(D170,diakadat!$J$2:$J$50),1),"")</f>
        <v/>
      </c>
      <c r="AE170" t="str">
        <f>IFERROR(INDEX(diakadat!$W$2:$W$50,MATCH(D170,diakadat!$J$2:$J$50),1),"")</f>
        <v/>
      </c>
      <c r="AF170">
        <v>2083</v>
      </c>
      <c r="AG170" t="s">
        <v>1345</v>
      </c>
      <c r="AH170" t="s">
        <v>1346</v>
      </c>
      <c r="AI170" t="str">
        <f>IFERROR(INDEX(diakadat!$X$2:$X$50,MATCH(D170,diakadat!$J$2:$J$50),1),"")</f>
        <v/>
      </c>
      <c r="AK170">
        <f t="shared" si="2"/>
        <v>329</v>
      </c>
      <c r="AL170" t="str" cm="1">
        <f t="array" ref="AL170">ElsoBetuNagy(R170)</f>
        <v/>
      </c>
      <c r="AO170" t="str" cm="1">
        <f t="array" ref="AO170">DatumSzovegge5(AN170)</f>
        <v>1899.</v>
      </c>
      <c r="AP170" t="str" cm="1">
        <f t="array" ref="AP170">DatumSzovegge3(AN170)</f>
        <v>december</v>
      </c>
      <c r="AQ170" t="str" cm="1">
        <f t="array" ref="AQ170">DatumSzovegge4(AN170)</f>
        <v>30.</v>
      </c>
    </row>
    <row r="171" spans="4:43" x14ac:dyDescent="0.25">
      <c r="D171" t="str" cm="1">
        <f t="array" ref="D171">SzuressNev($B$1,ROW()-1)</f>
        <v/>
      </c>
      <c r="E171">
        <f>COUNTIF($D$2:D171,D171)</f>
        <v>150</v>
      </c>
      <c r="F171" t="str" cm="1">
        <f t="array" ref="F171">ElutasitasEgyOk2(D171,E171)</f>
        <v/>
      </c>
      <c r="G171" t="str">
        <f>IFERROR(INDEX(diakadat!$I$2:$I$50,MATCH(D171,diakadat!$J$2:$J$50,0),1),"")</f>
        <v/>
      </c>
      <c r="H171" t="str">
        <f>IFERROR(INDEX(diakadat!$O$2:$O$50,MATCH(D171,diakadat!$J$2:$J$50,0),1),"")</f>
        <v/>
      </c>
      <c r="I171" t="str">
        <f>IFERROR(INDEX(diakadat!#REF!,MATCH(D171,diakadat!$J$2:$J$50,0),1),"")</f>
        <v/>
      </c>
      <c r="J171" t="str">
        <f>IFERROR(INDEX(diakadat!$K$2:$K$50,MATCH(D171,diakadat!$J$2:$J$50,0),1),"")</f>
        <v/>
      </c>
      <c r="K171" t="str" cm="1">
        <f t="array" ref="K171">IFERROR(DatumSzovegge2(INDEX(diakadat!$L$2:$L$50,MATCH(D171,diakadat!$J$2:$J$50,0),1)),"")</f>
        <v/>
      </c>
      <c r="L171" t="str" cm="1">
        <f t="array" ref="L171">IFERROR(DatumSzovegge5(INDEX(diakadat!$L$2:$L$50,MATCH(D171,diakadat!$J$2:$J$50,0),1)),"")</f>
        <v/>
      </c>
      <c r="M171" t="str" cm="1">
        <f t="array" ref="M171">IFERROR(DatumSzovegge3(INDEX(diakadat!$L$2:$L$50,MATCH(D171,diakadat!$J$2:$J$50,0),1)),"")</f>
        <v/>
      </c>
      <c r="N171" t="str" cm="1">
        <f t="array" ref="N171">IFERROR(DatumSzovegge4(INDEX(diakadat!$L$2:$L$50,MATCH(D171,diakadat!$J$2:$J$50,0),1)),"")</f>
        <v/>
      </c>
      <c r="O171" t="str">
        <f>IFERROR(INDEX(diakadat!$R$2:$R$50,MATCH(D171,diakadat!$J$2:$J$50,0),1),"")</f>
        <v/>
      </c>
      <c r="P171" t="str">
        <f>IFERROR(INDEX(diakadat!$AI$2:$AI$50,MATCH(D171,diakadat!$J$2:$J$50,0),1),"")</f>
        <v/>
      </c>
      <c r="Q171" t="str">
        <f>IFERROR(INDEX('rangsor'!$C$2:$C$343,MATCH(D171,'rangsor'!$A$2:$A$343,0),1),"")</f>
        <v/>
      </c>
      <c r="T171" t="s">
        <v>831</v>
      </c>
      <c r="U171" t="str" cm="1">
        <f t="array" ref="U171">Határozat(D171)</f>
        <v/>
      </c>
      <c r="AC171" t="str">
        <f>IFERROR(INDEX(diakadat!$U$2:$U$50,MATCH(D171,diakadat!$J$2:$J$50),1),"")</f>
        <v/>
      </c>
      <c r="AD171" t="str">
        <f>IFERROR(INDEX(diakadat!$V$2:$V$50,MATCH(D171,diakadat!$J$2:$J$50),1),"")</f>
        <v/>
      </c>
      <c r="AE171" t="str">
        <f>IFERROR(INDEX(diakadat!$W$2:$W$50,MATCH(D171,diakadat!$J$2:$J$50),1),"")</f>
        <v/>
      </c>
      <c r="AF171">
        <v>1125</v>
      </c>
      <c r="AG171" t="s">
        <v>912</v>
      </c>
      <c r="AH171" t="s">
        <v>1347</v>
      </c>
      <c r="AI171" t="str">
        <f>IFERROR(INDEX(diakadat!$X$2:$X$50,MATCH(D171,diakadat!$J$2:$J$50),1),"")</f>
        <v/>
      </c>
      <c r="AK171">
        <f t="shared" si="2"/>
        <v>329</v>
      </c>
      <c r="AL171" t="str" cm="1">
        <f t="array" ref="AL171">ElsoBetuNagy(R171)</f>
        <v/>
      </c>
      <c r="AO171" t="str" cm="1">
        <f t="array" ref="AO171">DatumSzovegge5(AN171)</f>
        <v>1899.</v>
      </c>
      <c r="AP171" t="str" cm="1">
        <f t="array" ref="AP171">DatumSzovegge3(AN171)</f>
        <v>december</v>
      </c>
      <c r="AQ171" t="str" cm="1">
        <f t="array" ref="AQ171">DatumSzovegge4(AN171)</f>
        <v>30.</v>
      </c>
    </row>
    <row r="172" spans="4:43" x14ac:dyDescent="0.25">
      <c r="D172" t="str" cm="1">
        <f t="array" ref="D172">SzuressNev($B$1,ROW()-1)</f>
        <v/>
      </c>
      <c r="E172">
        <f>COUNTIF($D$2:D172,D172)</f>
        <v>151</v>
      </c>
      <c r="F172" t="str" cm="1">
        <f t="array" ref="F172">ElutasitasEgyOk2(D172,E172)</f>
        <v/>
      </c>
      <c r="G172" t="str">
        <f>IFERROR(INDEX(diakadat!$I$2:$I$50,MATCH(D172,diakadat!$J$2:$J$50,0),1),"")</f>
        <v/>
      </c>
      <c r="H172" t="str">
        <f>IFERROR(INDEX(diakadat!$O$2:$O$50,MATCH(D172,diakadat!$J$2:$J$50,0),1),"")</f>
        <v/>
      </c>
      <c r="I172" t="str">
        <f>IFERROR(INDEX(diakadat!#REF!,MATCH(D172,diakadat!$J$2:$J$50,0),1),"")</f>
        <v/>
      </c>
      <c r="J172" t="str">
        <f>IFERROR(INDEX(diakadat!$K$2:$K$50,MATCH(D172,diakadat!$J$2:$J$50,0),1),"")</f>
        <v/>
      </c>
      <c r="K172" t="str" cm="1">
        <f t="array" ref="K172">IFERROR(DatumSzovegge2(INDEX(diakadat!$L$2:$L$50,MATCH(D172,diakadat!$J$2:$J$50,0),1)),"")</f>
        <v/>
      </c>
      <c r="L172" t="str" cm="1">
        <f t="array" ref="L172">IFERROR(DatumSzovegge5(INDEX(diakadat!$L$2:$L$50,MATCH(D172,diakadat!$J$2:$J$50,0),1)),"")</f>
        <v/>
      </c>
      <c r="M172" t="str" cm="1">
        <f t="array" ref="M172">IFERROR(DatumSzovegge3(INDEX(diakadat!$L$2:$L$50,MATCH(D172,diakadat!$J$2:$J$50,0),1)),"")</f>
        <v/>
      </c>
      <c r="N172" t="str" cm="1">
        <f t="array" ref="N172">IFERROR(DatumSzovegge4(INDEX(diakadat!$L$2:$L$50,MATCH(D172,diakadat!$J$2:$J$50,0),1)),"")</f>
        <v/>
      </c>
      <c r="O172" t="str">
        <f>IFERROR(INDEX(diakadat!$R$2:$R$50,MATCH(D172,diakadat!$J$2:$J$50,0),1),"")</f>
        <v/>
      </c>
      <c r="P172" t="str">
        <f>IFERROR(INDEX(diakadat!$AI$2:$AI$50,MATCH(D172,diakadat!$J$2:$J$50,0),1),"")</f>
        <v/>
      </c>
      <c r="Q172" t="str">
        <f>IFERROR(INDEX('rangsor'!$C$2:$C$343,MATCH(D172,'rangsor'!$A$2:$A$343,0),1),"")</f>
        <v/>
      </c>
      <c r="T172" t="s">
        <v>831</v>
      </c>
      <c r="U172" t="str" cm="1">
        <f t="array" ref="U172">Határozat(D172)</f>
        <v/>
      </c>
      <c r="AC172" t="str">
        <f>IFERROR(INDEX(diakadat!$U$2:$U$50,MATCH(D172,diakadat!$J$2:$J$50),1),"")</f>
        <v/>
      </c>
      <c r="AD172" t="str">
        <f>IFERROR(INDEX(diakadat!$V$2:$V$50,MATCH(D172,diakadat!$J$2:$J$50),1),"")</f>
        <v/>
      </c>
      <c r="AE172" t="str">
        <f>IFERROR(INDEX(diakadat!$W$2:$W$50,MATCH(D172,diakadat!$J$2:$J$50),1),"")</f>
        <v/>
      </c>
      <c r="AF172">
        <v>1024</v>
      </c>
      <c r="AG172" t="s">
        <v>912</v>
      </c>
      <c r="AH172" t="s">
        <v>1348</v>
      </c>
      <c r="AI172" t="str">
        <f>IFERROR(INDEX(diakadat!$X$2:$X$50,MATCH(D172,diakadat!$J$2:$J$50),1),"")</f>
        <v/>
      </c>
      <c r="AK172">
        <f t="shared" si="2"/>
        <v>329</v>
      </c>
      <c r="AL172" t="str" cm="1">
        <f t="array" ref="AL172">ElsoBetuNagy(R172)</f>
        <v/>
      </c>
      <c r="AO172" t="str" cm="1">
        <f t="array" ref="AO172">DatumSzovegge5(AN172)</f>
        <v>1899.</v>
      </c>
      <c r="AP172" t="str" cm="1">
        <f t="array" ref="AP172">DatumSzovegge3(AN172)</f>
        <v>december</v>
      </c>
      <c r="AQ172" t="str" cm="1">
        <f t="array" ref="AQ172">DatumSzovegge4(AN172)</f>
        <v>30.</v>
      </c>
    </row>
    <row r="173" spans="4:43" x14ac:dyDescent="0.25">
      <c r="D173" t="str" cm="1">
        <f t="array" ref="D173">SzuressNev($B$1,ROW()-1)</f>
        <v/>
      </c>
      <c r="E173">
        <f>COUNTIF($D$2:D173,D173)</f>
        <v>152</v>
      </c>
      <c r="F173" t="str" cm="1">
        <f t="array" ref="F173">ElutasitasEgyOk2(D173,E173)</f>
        <v/>
      </c>
      <c r="G173" t="str">
        <f>IFERROR(INDEX(diakadat!$I$2:$I$50,MATCH(D173,diakadat!$J$2:$J$50,0),1),"")</f>
        <v/>
      </c>
      <c r="H173" t="str">
        <f>IFERROR(INDEX(diakadat!$O$2:$O$50,MATCH(D173,diakadat!$J$2:$J$50,0),1),"")</f>
        <v/>
      </c>
      <c r="I173" t="str">
        <f>IFERROR(INDEX(diakadat!#REF!,MATCH(D173,diakadat!$J$2:$J$50,0),1),"")</f>
        <v/>
      </c>
      <c r="J173" t="str">
        <f>IFERROR(INDEX(diakadat!$K$2:$K$50,MATCH(D173,diakadat!$J$2:$J$50,0),1),"")</f>
        <v/>
      </c>
      <c r="K173" t="str" cm="1">
        <f t="array" ref="K173">IFERROR(DatumSzovegge2(INDEX(diakadat!$L$2:$L$50,MATCH(D173,diakadat!$J$2:$J$50,0),1)),"")</f>
        <v/>
      </c>
      <c r="L173" t="str" cm="1">
        <f t="array" ref="L173">IFERROR(DatumSzovegge5(INDEX(diakadat!$L$2:$L$50,MATCH(D173,diakadat!$J$2:$J$50,0),1)),"")</f>
        <v/>
      </c>
      <c r="M173" t="str" cm="1">
        <f t="array" ref="M173">IFERROR(DatumSzovegge3(INDEX(diakadat!$L$2:$L$50,MATCH(D173,diakadat!$J$2:$J$50,0),1)),"")</f>
        <v/>
      </c>
      <c r="N173" t="str" cm="1">
        <f t="array" ref="N173">IFERROR(DatumSzovegge4(INDEX(diakadat!$L$2:$L$50,MATCH(D173,diakadat!$J$2:$J$50,0),1)),"")</f>
        <v/>
      </c>
      <c r="O173" t="str">
        <f>IFERROR(INDEX(diakadat!$R$2:$R$50,MATCH(D173,diakadat!$J$2:$J$50,0),1),"")</f>
        <v/>
      </c>
      <c r="P173" t="str">
        <f>IFERROR(INDEX(diakadat!$AI$2:$AI$50,MATCH(D173,diakadat!$J$2:$J$50,0),1),"")</f>
        <v/>
      </c>
      <c r="Q173" t="str">
        <f>IFERROR(INDEX('rangsor'!$C$2:$C$343,MATCH(D173,'rangsor'!$A$2:$A$343,0),1),"")</f>
        <v/>
      </c>
      <c r="T173" t="s">
        <v>831</v>
      </c>
      <c r="U173" t="str" cm="1">
        <f t="array" ref="U173">Határozat(D173)</f>
        <v/>
      </c>
      <c r="AC173" t="str">
        <f>IFERROR(INDEX(diakadat!$U$2:$U$50,MATCH(D173,diakadat!$J$2:$J$50),1),"")</f>
        <v/>
      </c>
      <c r="AD173" t="str">
        <f>IFERROR(INDEX(diakadat!$V$2:$V$50,MATCH(D173,diakadat!$J$2:$J$50),1),"")</f>
        <v/>
      </c>
      <c r="AE173" t="str">
        <f>IFERROR(INDEX(diakadat!$W$2:$W$50,MATCH(D173,diakadat!$J$2:$J$50),1),"")</f>
        <v/>
      </c>
      <c r="AF173">
        <v>1116</v>
      </c>
      <c r="AG173" t="s">
        <v>1164</v>
      </c>
      <c r="AH173" t="s">
        <v>1349</v>
      </c>
      <c r="AI173" t="str">
        <f>IFERROR(INDEX(diakadat!$X$2:$X$50,MATCH(D173,diakadat!$J$2:$J$50),1),"")</f>
        <v/>
      </c>
      <c r="AK173">
        <f t="shared" si="2"/>
        <v>329</v>
      </c>
      <c r="AL173" t="str" cm="1">
        <f t="array" ref="AL173">ElsoBetuNagy(R173)</f>
        <v/>
      </c>
      <c r="AO173" t="str" cm="1">
        <f t="array" ref="AO173">DatumSzovegge5(AN173)</f>
        <v>1899.</v>
      </c>
      <c r="AP173" t="str" cm="1">
        <f t="array" ref="AP173">DatumSzovegge3(AN173)</f>
        <v>december</v>
      </c>
      <c r="AQ173" t="str" cm="1">
        <f t="array" ref="AQ173">DatumSzovegge4(AN173)</f>
        <v>30.</v>
      </c>
    </row>
    <row r="174" spans="4:43" x14ac:dyDescent="0.25">
      <c r="D174" t="str" cm="1">
        <f t="array" ref="D174">SzuressNev($B$1,ROW()-1)</f>
        <v/>
      </c>
      <c r="E174">
        <f>COUNTIF($D$2:D174,D174)</f>
        <v>153</v>
      </c>
      <c r="F174" t="str" cm="1">
        <f t="array" ref="F174">ElutasitasEgyOk2(D174,E174)</f>
        <v/>
      </c>
      <c r="G174" t="str">
        <f>IFERROR(INDEX(diakadat!$I$2:$I$50,MATCH(D174,diakadat!$J$2:$J$50,0),1),"")</f>
        <v/>
      </c>
      <c r="H174" t="str">
        <f>IFERROR(INDEX(diakadat!$O$2:$O$50,MATCH(D174,diakadat!$J$2:$J$50,0),1),"")</f>
        <v/>
      </c>
      <c r="I174" t="str">
        <f>IFERROR(INDEX(diakadat!#REF!,MATCH(D174,diakadat!$J$2:$J$50,0),1),"")</f>
        <v/>
      </c>
      <c r="J174" t="str">
        <f>IFERROR(INDEX(diakadat!$K$2:$K$50,MATCH(D174,diakadat!$J$2:$J$50,0),1),"")</f>
        <v/>
      </c>
      <c r="K174" t="str" cm="1">
        <f t="array" ref="K174">IFERROR(DatumSzovegge2(INDEX(diakadat!$L$2:$L$50,MATCH(D174,diakadat!$J$2:$J$50,0),1)),"")</f>
        <v/>
      </c>
      <c r="L174" t="str" cm="1">
        <f t="array" ref="L174">IFERROR(DatumSzovegge5(INDEX(diakadat!$L$2:$L$50,MATCH(D174,diakadat!$J$2:$J$50,0),1)),"")</f>
        <v/>
      </c>
      <c r="M174" t="str" cm="1">
        <f t="array" ref="M174">IFERROR(DatumSzovegge3(INDEX(diakadat!$L$2:$L$50,MATCH(D174,diakadat!$J$2:$J$50,0),1)),"")</f>
        <v/>
      </c>
      <c r="N174" t="str" cm="1">
        <f t="array" ref="N174">IFERROR(DatumSzovegge4(INDEX(diakadat!$L$2:$L$50,MATCH(D174,diakadat!$J$2:$J$50,0),1)),"")</f>
        <v/>
      </c>
      <c r="O174" t="str">
        <f>IFERROR(INDEX(diakadat!$R$2:$R$50,MATCH(D174,diakadat!$J$2:$J$50,0),1),"")</f>
        <v/>
      </c>
      <c r="P174" t="str">
        <f>IFERROR(INDEX(diakadat!$AI$2:$AI$50,MATCH(D174,diakadat!$J$2:$J$50,0),1),"")</f>
        <v/>
      </c>
      <c r="Q174" t="str">
        <f>IFERROR(INDEX('rangsor'!$C$2:$C$343,MATCH(D174,'rangsor'!$A$2:$A$343,0),1),"")</f>
        <v/>
      </c>
      <c r="T174" t="s">
        <v>831</v>
      </c>
      <c r="U174" t="str" cm="1">
        <f t="array" ref="U174">Határozat(D174)</f>
        <v/>
      </c>
      <c r="AC174" t="str">
        <f>IFERROR(INDEX(diakadat!$U$2:$U$50,MATCH(D174,diakadat!$J$2:$J$50),1),"")</f>
        <v/>
      </c>
      <c r="AD174" t="str">
        <f>IFERROR(INDEX(diakadat!$V$2:$V$50,MATCH(D174,diakadat!$J$2:$J$50),1),"")</f>
        <v/>
      </c>
      <c r="AE174" t="str">
        <f>IFERROR(INDEX(diakadat!$W$2:$W$50,MATCH(D174,diakadat!$J$2:$J$50),1),"")</f>
        <v/>
      </c>
      <c r="AF174">
        <v>6000</v>
      </c>
      <c r="AG174" t="s">
        <v>1350</v>
      </c>
      <c r="AH174" t="s">
        <v>1351</v>
      </c>
      <c r="AI174" t="str">
        <f>IFERROR(INDEX(diakadat!$X$2:$X$50,MATCH(D174,diakadat!$J$2:$J$50),1),"")</f>
        <v/>
      </c>
      <c r="AK174">
        <f t="shared" si="2"/>
        <v>329</v>
      </c>
      <c r="AL174" t="str" cm="1">
        <f t="array" ref="AL174">ElsoBetuNagy(R174)</f>
        <v/>
      </c>
      <c r="AO174" t="str" cm="1">
        <f t="array" ref="AO174">DatumSzovegge5(AN174)</f>
        <v>1899.</v>
      </c>
      <c r="AP174" t="str" cm="1">
        <f t="array" ref="AP174">DatumSzovegge3(AN174)</f>
        <v>december</v>
      </c>
      <c r="AQ174" t="str" cm="1">
        <f t="array" ref="AQ174">DatumSzovegge4(AN174)</f>
        <v>30.</v>
      </c>
    </row>
    <row r="175" spans="4:43" x14ac:dyDescent="0.25">
      <c r="D175" t="str" cm="1">
        <f t="array" ref="D175">SzuressNev($B$1,ROW()-1)</f>
        <v/>
      </c>
      <c r="E175">
        <f>COUNTIF($D$2:D175,D175)</f>
        <v>154</v>
      </c>
      <c r="F175" t="str" cm="1">
        <f t="array" ref="F175">ElutasitasEgyOk2(D175,E175)</f>
        <v/>
      </c>
      <c r="G175" t="str">
        <f>IFERROR(INDEX(diakadat!$I$2:$I$50,MATCH(D175,diakadat!$J$2:$J$50,0),1),"")</f>
        <v/>
      </c>
      <c r="H175" t="str">
        <f>IFERROR(INDEX(diakadat!$O$2:$O$50,MATCH(D175,diakadat!$J$2:$J$50,0),1),"")</f>
        <v/>
      </c>
      <c r="I175" t="str">
        <f>IFERROR(INDEX(diakadat!#REF!,MATCH(D175,diakadat!$J$2:$J$50,0),1),"")</f>
        <v/>
      </c>
      <c r="J175" t="str">
        <f>IFERROR(INDEX(diakadat!$K$2:$K$50,MATCH(D175,diakadat!$J$2:$J$50,0),1),"")</f>
        <v/>
      </c>
      <c r="K175" t="str" cm="1">
        <f t="array" ref="K175">IFERROR(DatumSzovegge2(INDEX(diakadat!$L$2:$L$50,MATCH(D175,diakadat!$J$2:$J$50,0),1)),"")</f>
        <v/>
      </c>
      <c r="L175" t="str" cm="1">
        <f t="array" ref="L175">IFERROR(DatumSzovegge5(INDEX(diakadat!$L$2:$L$50,MATCH(D175,diakadat!$J$2:$J$50,0),1)),"")</f>
        <v/>
      </c>
      <c r="M175" t="str" cm="1">
        <f t="array" ref="M175">IFERROR(DatumSzovegge3(INDEX(diakadat!$L$2:$L$50,MATCH(D175,diakadat!$J$2:$J$50,0),1)),"")</f>
        <v/>
      </c>
      <c r="N175" t="str" cm="1">
        <f t="array" ref="N175">IFERROR(DatumSzovegge4(INDEX(diakadat!$L$2:$L$50,MATCH(D175,diakadat!$J$2:$J$50,0),1)),"")</f>
        <v/>
      </c>
      <c r="O175" t="str">
        <f>IFERROR(INDEX(diakadat!$R$2:$R$50,MATCH(D175,diakadat!$J$2:$J$50,0),1),"")</f>
        <v/>
      </c>
      <c r="P175" t="str">
        <f>IFERROR(INDEX(diakadat!$AI$2:$AI$50,MATCH(D175,diakadat!$J$2:$J$50,0),1),"")</f>
        <v/>
      </c>
      <c r="Q175" t="str">
        <f>IFERROR(INDEX('rangsor'!$C$2:$C$343,MATCH(D175,'rangsor'!$A$2:$A$343,0),1),"")</f>
        <v/>
      </c>
      <c r="T175" t="s">
        <v>831</v>
      </c>
      <c r="U175" t="str" cm="1">
        <f t="array" ref="U175">Határozat(D175)</f>
        <v/>
      </c>
      <c r="AC175" t="str">
        <f>IFERROR(INDEX(diakadat!$U$2:$U$50,MATCH(D175,diakadat!$J$2:$J$50),1),"")</f>
        <v/>
      </c>
      <c r="AD175" t="str">
        <f>IFERROR(INDEX(diakadat!$V$2:$V$50,MATCH(D175,diakadat!$J$2:$J$50),1),"")</f>
        <v/>
      </c>
      <c r="AE175" t="str">
        <f>IFERROR(INDEX(diakadat!$W$2:$W$50,MATCH(D175,diakadat!$J$2:$J$50),1),"")</f>
        <v/>
      </c>
      <c r="AF175">
        <v>1071</v>
      </c>
      <c r="AG175" t="s">
        <v>912</v>
      </c>
      <c r="AH175" t="s">
        <v>1352</v>
      </c>
      <c r="AI175" t="str">
        <f>IFERROR(INDEX(diakadat!$X$2:$X$50,MATCH(D175,diakadat!$J$2:$J$50),1),"")</f>
        <v/>
      </c>
      <c r="AK175">
        <f t="shared" si="2"/>
        <v>329</v>
      </c>
      <c r="AL175" t="str" cm="1">
        <f t="array" ref="AL175">ElsoBetuNagy(R175)</f>
        <v/>
      </c>
      <c r="AO175" t="str" cm="1">
        <f t="array" ref="AO175">DatumSzovegge5(AN175)</f>
        <v>1899.</v>
      </c>
      <c r="AP175" t="str" cm="1">
        <f t="array" ref="AP175">DatumSzovegge3(AN175)</f>
        <v>december</v>
      </c>
      <c r="AQ175" t="str" cm="1">
        <f t="array" ref="AQ175">DatumSzovegge4(AN175)</f>
        <v>30.</v>
      </c>
    </row>
    <row r="176" spans="4:43" x14ac:dyDescent="0.25">
      <c r="D176" t="str" cm="1">
        <f t="array" ref="D176">SzuressNev($B$1,ROW()-1)</f>
        <v/>
      </c>
      <c r="E176">
        <f>COUNTIF($D$2:D176,D176)</f>
        <v>155</v>
      </c>
      <c r="F176" t="str" cm="1">
        <f t="array" ref="F176">ElutasitasEgyOk2(D176,E176)</f>
        <v/>
      </c>
      <c r="G176" t="str">
        <f>IFERROR(INDEX(diakadat!$I$2:$I$50,MATCH(D176,diakadat!$J$2:$J$50,0),1),"")</f>
        <v/>
      </c>
      <c r="H176" t="str">
        <f>IFERROR(INDEX(diakadat!$O$2:$O$50,MATCH(D176,diakadat!$J$2:$J$50,0),1),"")</f>
        <v/>
      </c>
      <c r="I176" t="str">
        <f>IFERROR(INDEX(diakadat!#REF!,MATCH(D176,diakadat!$J$2:$J$50,0),1),"")</f>
        <v/>
      </c>
      <c r="J176" t="str">
        <f>IFERROR(INDEX(diakadat!$K$2:$K$50,MATCH(D176,diakadat!$J$2:$J$50,0),1),"")</f>
        <v/>
      </c>
      <c r="K176" t="str" cm="1">
        <f t="array" ref="K176">IFERROR(DatumSzovegge2(INDEX(diakadat!$L$2:$L$50,MATCH(D176,diakadat!$J$2:$J$50,0),1)),"")</f>
        <v/>
      </c>
      <c r="L176" t="str" cm="1">
        <f t="array" ref="L176">IFERROR(DatumSzovegge5(INDEX(diakadat!$L$2:$L$50,MATCH(D176,diakadat!$J$2:$J$50,0),1)),"")</f>
        <v/>
      </c>
      <c r="M176" t="str" cm="1">
        <f t="array" ref="M176">IFERROR(DatumSzovegge3(INDEX(diakadat!$L$2:$L$50,MATCH(D176,diakadat!$J$2:$J$50,0),1)),"")</f>
        <v/>
      </c>
      <c r="N176" t="str" cm="1">
        <f t="array" ref="N176">IFERROR(DatumSzovegge4(INDEX(diakadat!$L$2:$L$50,MATCH(D176,diakadat!$J$2:$J$50,0),1)),"")</f>
        <v/>
      </c>
      <c r="O176" t="str">
        <f>IFERROR(INDEX(diakadat!$R$2:$R$50,MATCH(D176,diakadat!$J$2:$J$50,0),1),"")</f>
        <v/>
      </c>
      <c r="P176" t="str">
        <f>IFERROR(INDEX(diakadat!$AI$2:$AI$50,MATCH(D176,diakadat!$J$2:$J$50,0),1),"")</f>
        <v/>
      </c>
      <c r="Q176" t="str">
        <f>IFERROR(INDEX('rangsor'!$C$2:$C$343,MATCH(D176,'rangsor'!$A$2:$A$343,0),1),"")</f>
        <v/>
      </c>
      <c r="T176" t="s">
        <v>831</v>
      </c>
      <c r="U176" t="str" cm="1">
        <f t="array" ref="U176">Határozat(D176)</f>
        <v/>
      </c>
      <c r="AC176" t="str">
        <f>IFERROR(INDEX(diakadat!$U$2:$U$50,MATCH(D176,diakadat!$J$2:$J$50),1),"")</f>
        <v/>
      </c>
      <c r="AD176" t="str">
        <f>IFERROR(INDEX(diakadat!$V$2:$V$50,MATCH(D176,diakadat!$J$2:$J$50),1),"")</f>
        <v/>
      </c>
      <c r="AE176" t="str">
        <f>IFERROR(INDEX(diakadat!$W$2:$W$50,MATCH(D176,diakadat!$J$2:$J$50),1),"")</f>
        <v/>
      </c>
      <c r="AF176">
        <v>1155</v>
      </c>
      <c r="AG176" t="s">
        <v>912</v>
      </c>
      <c r="AH176" t="s">
        <v>1353</v>
      </c>
      <c r="AI176" t="str">
        <f>IFERROR(INDEX(diakadat!$X$2:$X$50,MATCH(D176,diakadat!$J$2:$J$50),1),"")</f>
        <v/>
      </c>
      <c r="AK176">
        <f t="shared" si="2"/>
        <v>329</v>
      </c>
      <c r="AL176" t="str" cm="1">
        <f t="array" ref="AL176">ElsoBetuNagy(R176)</f>
        <v/>
      </c>
      <c r="AO176" t="str" cm="1">
        <f t="array" ref="AO176">DatumSzovegge5(AN176)</f>
        <v>1899.</v>
      </c>
      <c r="AP176" t="str" cm="1">
        <f t="array" ref="AP176">DatumSzovegge3(AN176)</f>
        <v>december</v>
      </c>
      <c r="AQ176" t="str" cm="1">
        <f t="array" ref="AQ176">DatumSzovegge4(AN176)</f>
        <v>30.</v>
      </c>
    </row>
    <row r="177" spans="4:43" x14ac:dyDescent="0.25">
      <c r="D177" t="str" cm="1">
        <f t="array" ref="D177">SzuressNev($B$1,ROW()-1)</f>
        <v/>
      </c>
      <c r="E177">
        <f>COUNTIF($D$2:D177,D177)</f>
        <v>156</v>
      </c>
      <c r="F177" t="str" cm="1">
        <f t="array" ref="F177">ElutasitasEgyOk2(D177,E177)</f>
        <v/>
      </c>
      <c r="G177" t="str">
        <f>IFERROR(INDEX(diakadat!$I$2:$I$50,MATCH(D177,diakadat!$J$2:$J$50,0),1),"")</f>
        <v/>
      </c>
      <c r="H177" t="str">
        <f>IFERROR(INDEX(diakadat!$O$2:$O$50,MATCH(D177,diakadat!$J$2:$J$50,0),1),"")</f>
        <v/>
      </c>
      <c r="I177" t="str">
        <f>IFERROR(INDEX(diakadat!#REF!,MATCH(D177,diakadat!$J$2:$J$50,0),1),"")</f>
        <v/>
      </c>
      <c r="J177" t="str">
        <f>IFERROR(INDEX(diakadat!$K$2:$K$50,MATCH(D177,diakadat!$J$2:$J$50,0),1),"")</f>
        <v/>
      </c>
      <c r="K177" t="str" cm="1">
        <f t="array" ref="K177">IFERROR(DatumSzovegge2(INDEX(diakadat!$L$2:$L$50,MATCH(D177,diakadat!$J$2:$J$50,0),1)),"")</f>
        <v/>
      </c>
      <c r="L177" t="str" cm="1">
        <f t="array" ref="L177">IFERROR(DatumSzovegge5(INDEX(diakadat!$L$2:$L$50,MATCH(D177,diakadat!$J$2:$J$50,0),1)),"")</f>
        <v/>
      </c>
      <c r="M177" t="str" cm="1">
        <f t="array" ref="M177">IFERROR(DatumSzovegge3(INDEX(diakadat!$L$2:$L$50,MATCH(D177,diakadat!$J$2:$J$50,0),1)),"")</f>
        <v/>
      </c>
      <c r="N177" t="str" cm="1">
        <f t="array" ref="N177">IFERROR(DatumSzovegge4(INDEX(diakadat!$L$2:$L$50,MATCH(D177,diakadat!$J$2:$J$50,0),1)),"")</f>
        <v/>
      </c>
      <c r="O177" t="str">
        <f>IFERROR(INDEX(diakadat!$R$2:$R$50,MATCH(D177,diakadat!$J$2:$J$50,0),1),"")</f>
        <v/>
      </c>
      <c r="P177" t="str">
        <f>IFERROR(INDEX(diakadat!$AI$2:$AI$50,MATCH(D177,diakadat!$J$2:$J$50,0),1),"")</f>
        <v/>
      </c>
      <c r="Q177" t="str">
        <f>IFERROR(INDEX('rangsor'!$C$2:$C$343,MATCH(D177,'rangsor'!$A$2:$A$343,0),1),"")</f>
        <v/>
      </c>
      <c r="T177" t="s">
        <v>831</v>
      </c>
      <c r="U177" t="str" cm="1">
        <f t="array" ref="U177">Határozat(D177)</f>
        <v/>
      </c>
      <c r="AC177" t="str">
        <f>IFERROR(INDEX(diakadat!$U$2:$U$50,MATCH(D177,diakadat!$J$2:$J$50),1),"")</f>
        <v/>
      </c>
      <c r="AD177" t="str">
        <f>IFERROR(INDEX(diakadat!$V$2:$V$50,MATCH(D177,diakadat!$J$2:$J$50),1),"")</f>
        <v/>
      </c>
      <c r="AE177" t="str">
        <f>IFERROR(INDEX(diakadat!$W$2:$W$50,MATCH(D177,diakadat!$J$2:$J$50),1),"")</f>
        <v/>
      </c>
      <c r="AF177">
        <v>2000</v>
      </c>
      <c r="AG177" t="s">
        <v>1154</v>
      </c>
      <c r="AH177" t="s">
        <v>1354</v>
      </c>
      <c r="AI177" t="str">
        <f>IFERROR(INDEX(diakadat!$X$2:$X$50,MATCH(D177,diakadat!$J$2:$J$50),1),"")</f>
        <v/>
      </c>
      <c r="AK177">
        <f t="shared" si="2"/>
        <v>329</v>
      </c>
      <c r="AL177" t="str" cm="1">
        <f t="array" ref="AL177">ElsoBetuNagy(R177)</f>
        <v/>
      </c>
      <c r="AO177" t="str" cm="1">
        <f t="array" ref="AO177">DatumSzovegge5(AN177)</f>
        <v>1899.</v>
      </c>
      <c r="AP177" t="str" cm="1">
        <f t="array" ref="AP177">DatumSzovegge3(AN177)</f>
        <v>december</v>
      </c>
      <c r="AQ177" t="str" cm="1">
        <f t="array" ref="AQ177">DatumSzovegge4(AN177)</f>
        <v>30.</v>
      </c>
    </row>
    <row r="178" spans="4:43" x14ac:dyDescent="0.25">
      <c r="D178" t="str" cm="1">
        <f t="array" ref="D178">SzuressNev($B$1,ROW()-1)</f>
        <v/>
      </c>
      <c r="E178">
        <f>COUNTIF($D$2:D178,D178)</f>
        <v>157</v>
      </c>
      <c r="F178" t="str" cm="1">
        <f t="array" ref="F178">ElutasitasEgyOk2(D178,E178)</f>
        <v/>
      </c>
      <c r="G178" t="str">
        <f>IFERROR(INDEX(diakadat!$I$2:$I$50,MATCH(D178,diakadat!$J$2:$J$50,0),1),"")</f>
        <v/>
      </c>
      <c r="H178" t="str">
        <f>IFERROR(INDEX(diakadat!$O$2:$O$50,MATCH(D178,diakadat!$J$2:$J$50,0),1),"")</f>
        <v/>
      </c>
      <c r="I178" t="str">
        <f>IFERROR(INDEX(diakadat!#REF!,MATCH(D178,diakadat!$J$2:$J$50,0),1),"")</f>
        <v/>
      </c>
      <c r="J178" t="str">
        <f>IFERROR(INDEX(diakadat!$K$2:$K$50,MATCH(D178,diakadat!$J$2:$J$50,0),1),"")</f>
        <v/>
      </c>
      <c r="K178" t="str" cm="1">
        <f t="array" ref="K178">IFERROR(DatumSzovegge2(INDEX(diakadat!$L$2:$L$50,MATCH(D178,diakadat!$J$2:$J$50,0),1)),"")</f>
        <v/>
      </c>
      <c r="L178" t="str" cm="1">
        <f t="array" ref="L178">IFERROR(DatumSzovegge5(INDEX(diakadat!$L$2:$L$50,MATCH(D178,diakadat!$J$2:$J$50,0),1)),"")</f>
        <v/>
      </c>
      <c r="M178" t="str" cm="1">
        <f t="array" ref="M178">IFERROR(DatumSzovegge3(INDEX(diakadat!$L$2:$L$50,MATCH(D178,diakadat!$J$2:$J$50,0),1)),"")</f>
        <v/>
      </c>
      <c r="N178" t="str" cm="1">
        <f t="array" ref="N178">IFERROR(DatumSzovegge4(INDEX(diakadat!$L$2:$L$50,MATCH(D178,diakadat!$J$2:$J$50,0),1)),"")</f>
        <v/>
      </c>
      <c r="O178" t="str">
        <f>IFERROR(INDEX(diakadat!$R$2:$R$50,MATCH(D178,diakadat!$J$2:$J$50,0),1),"")</f>
        <v/>
      </c>
      <c r="P178" t="str">
        <f>IFERROR(INDEX(diakadat!$AI$2:$AI$50,MATCH(D178,diakadat!$J$2:$J$50,0),1),"")</f>
        <v/>
      </c>
      <c r="Q178" t="str">
        <f>IFERROR(INDEX('rangsor'!$C$2:$C$343,MATCH(D178,'rangsor'!$A$2:$A$343,0),1),"")</f>
        <v/>
      </c>
      <c r="T178" t="s">
        <v>831</v>
      </c>
      <c r="U178" t="str" cm="1">
        <f t="array" ref="U178">Határozat(D178)</f>
        <v/>
      </c>
      <c r="AC178" t="str">
        <f>IFERROR(INDEX(diakadat!$U$2:$U$50,MATCH(D178,diakadat!$J$2:$J$50),1),"")</f>
        <v/>
      </c>
      <c r="AD178" t="str">
        <f>IFERROR(INDEX(diakadat!$V$2:$V$50,MATCH(D178,diakadat!$J$2:$J$50),1),"")</f>
        <v/>
      </c>
      <c r="AE178" t="str">
        <f>IFERROR(INDEX(diakadat!$W$2:$W$50,MATCH(D178,diakadat!$J$2:$J$50),1),"")</f>
        <v/>
      </c>
      <c r="AF178">
        <v>2011</v>
      </c>
      <c r="AG178" t="s">
        <v>1284</v>
      </c>
      <c r="AH178" t="s">
        <v>1355</v>
      </c>
      <c r="AI178" t="str">
        <f>IFERROR(INDEX(diakadat!$X$2:$X$50,MATCH(D178,diakadat!$J$2:$J$50),1),"")</f>
        <v/>
      </c>
      <c r="AK178">
        <f t="shared" si="2"/>
        <v>329</v>
      </c>
      <c r="AL178" t="str" cm="1">
        <f t="array" ref="AL178">ElsoBetuNagy(R178)</f>
        <v/>
      </c>
      <c r="AO178" t="str" cm="1">
        <f t="array" ref="AO178">DatumSzovegge5(AN178)</f>
        <v>1899.</v>
      </c>
      <c r="AP178" t="str" cm="1">
        <f t="array" ref="AP178">DatumSzovegge3(AN178)</f>
        <v>december</v>
      </c>
      <c r="AQ178" t="str" cm="1">
        <f t="array" ref="AQ178">DatumSzovegge4(AN178)</f>
        <v>30.</v>
      </c>
    </row>
    <row r="179" spans="4:43" x14ac:dyDescent="0.25">
      <c r="D179" t="str" cm="1">
        <f t="array" ref="D179">SzuressNev($B$1,ROW()-1)</f>
        <v/>
      </c>
      <c r="E179">
        <f>COUNTIF($D$2:D179,D179)</f>
        <v>158</v>
      </c>
      <c r="F179" t="str" cm="1">
        <f t="array" ref="F179">ElutasitasEgyOk2(D179,E179)</f>
        <v/>
      </c>
      <c r="G179" t="str">
        <f>IFERROR(INDEX(diakadat!$I$2:$I$50,MATCH(D179,diakadat!$J$2:$J$50,0),1),"")</f>
        <v/>
      </c>
      <c r="H179" t="str">
        <f>IFERROR(INDEX(diakadat!$O$2:$O$50,MATCH(D179,diakadat!$J$2:$J$50,0),1),"")</f>
        <v/>
      </c>
      <c r="I179" t="str">
        <f>IFERROR(INDEX(diakadat!#REF!,MATCH(D179,diakadat!$J$2:$J$50,0),1),"")</f>
        <v/>
      </c>
      <c r="J179" t="str">
        <f>IFERROR(INDEX(diakadat!$K$2:$K$50,MATCH(D179,diakadat!$J$2:$J$50,0),1),"")</f>
        <v/>
      </c>
      <c r="K179" t="str" cm="1">
        <f t="array" ref="K179">IFERROR(DatumSzovegge2(INDEX(diakadat!$L$2:$L$50,MATCH(D179,diakadat!$J$2:$J$50,0),1)),"")</f>
        <v/>
      </c>
      <c r="L179" t="str" cm="1">
        <f t="array" ref="L179">IFERROR(DatumSzovegge5(INDEX(diakadat!$L$2:$L$50,MATCH(D179,diakadat!$J$2:$J$50,0),1)),"")</f>
        <v/>
      </c>
      <c r="M179" t="str" cm="1">
        <f t="array" ref="M179">IFERROR(DatumSzovegge3(INDEX(diakadat!$L$2:$L$50,MATCH(D179,diakadat!$J$2:$J$50,0),1)),"")</f>
        <v/>
      </c>
      <c r="N179" t="str" cm="1">
        <f t="array" ref="N179">IFERROR(DatumSzovegge4(INDEX(diakadat!$L$2:$L$50,MATCH(D179,diakadat!$J$2:$J$50,0),1)),"")</f>
        <v/>
      </c>
      <c r="O179" t="str">
        <f>IFERROR(INDEX(diakadat!$R$2:$R$50,MATCH(D179,diakadat!$J$2:$J$50,0),1),"")</f>
        <v/>
      </c>
      <c r="P179" t="str">
        <f>IFERROR(INDEX(diakadat!$AI$2:$AI$50,MATCH(D179,diakadat!$J$2:$J$50,0),1),"")</f>
        <v/>
      </c>
      <c r="Q179" t="str">
        <f>IFERROR(INDEX('rangsor'!$C$2:$C$343,MATCH(D179,'rangsor'!$A$2:$A$343,0),1),"")</f>
        <v/>
      </c>
      <c r="T179" t="s">
        <v>831</v>
      </c>
      <c r="U179" t="str" cm="1">
        <f t="array" ref="U179">Határozat(D179)</f>
        <v/>
      </c>
      <c r="AC179" t="str">
        <f>IFERROR(INDEX(diakadat!$U$2:$U$50,MATCH(D179,diakadat!$J$2:$J$50),1),"")</f>
        <v/>
      </c>
      <c r="AD179" t="str">
        <f>IFERROR(INDEX(diakadat!$V$2:$V$50,MATCH(D179,diakadat!$J$2:$J$50),1),"")</f>
        <v/>
      </c>
      <c r="AE179" t="str">
        <f>IFERROR(INDEX(diakadat!$W$2:$W$50,MATCH(D179,diakadat!$J$2:$J$50),1),"")</f>
        <v/>
      </c>
      <c r="AF179">
        <v>1124</v>
      </c>
      <c r="AG179" t="s">
        <v>912</v>
      </c>
      <c r="AH179" t="s">
        <v>1356</v>
      </c>
      <c r="AI179" t="str">
        <f>IFERROR(INDEX(diakadat!$X$2:$X$50,MATCH(D179,diakadat!$J$2:$J$50),1),"")</f>
        <v/>
      </c>
      <c r="AK179">
        <f t="shared" si="2"/>
        <v>329</v>
      </c>
      <c r="AL179" t="str" cm="1">
        <f t="array" ref="AL179">ElsoBetuNagy(R179)</f>
        <v/>
      </c>
      <c r="AO179" t="str" cm="1">
        <f t="array" ref="AO179">DatumSzovegge5(AN179)</f>
        <v>1899.</v>
      </c>
      <c r="AP179" t="str" cm="1">
        <f t="array" ref="AP179">DatumSzovegge3(AN179)</f>
        <v>december</v>
      </c>
      <c r="AQ179" t="str" cm="1">
        <f t="array" ref="AQ179">DatumSzovegge4(AN179)</f>
        <v>30.</v>
      </c>
    </row>
    <row r="180" spans="4:43" x14ac:dyDescent="0.25">
      <c r="D180" t="str" cm="1">
        <f t="array" ref="D180">SzuressNev($B$1,ROW()-1)</f>
        <v/>
      </c>
      <c r="E180">
        <f>COUNTIF($D$2:D180,D180)</f>
        <v>159</v>
      </c>
      <c r="F180" t="str" cm="1">
        <f t="array" ref="F180">ElutasitasEgyOk2(D180,E180)</f>
        <v/>
      </c>
      <c r="G180" t="str">
        <f>IFERROR(INDEX(diakadat!$I$2:$I$50,MATCH(D180,diakadat!$J$2:$J$50,0),1),"")</f>
        <v/>
      </c>
      <c r="H180" t="str">
        <f>IFERROR(INDEX(diakadat!$O$2:$O$50,MATCH(D180,diakadat!$J$2:$J$50,0),1),"")</f>
        <v/>
      </c>
      <c r="I180" t="str">
        <f>IFERROR(INDEX(diakadat!#REF!,MATCH(D180,diakadat!$J$2:$J$50,0),1),"")</f>
        <v/>
      </c>
      <c r="J180" t="str">
        <f>IFERROR(INDEX(diakadat!$K$2:$K$50,MATCH(D180,diakadat!$J$2:$J$50,0),1),"")</f>
        <v/>
      </c>
      <c r="K180" t="str" cm="1">
        <f t="array" ref="K180">IFERROR(DatumSzovegge2(INDEX(diakadat!$L$2:$L$50,MATCH(D180,diakadat!$J$2:$J$50,0),1)),"")</f>
        <v/>
      </c>
      <c r="L180" t="str" cm="1">
        <f t="array" ref="L180">IFERROR(DatumSzovegge5(INDEX(diakadat!$L$2:$L$50,MATCH(D180,diakadat!$J$2:$J$50,0),1)),"")</f>
        <v/>
      </c>
      <c r="M180" t="str" cm="1">
        <f t="array" ref="M180">IFERROR(DatumSzovegge3(INDEX(diakadat!$L$2:$L$50,MATCH(D180,diakadat!$J$2:$J$50,0),1)),"")</f>
        <v/>
      </c>
      <c r="N180" t="str" cm="1">
        <f t="array" ref="N180">IFERROR(DatumSzovegge4(INDEX(diakadat!$L$2:$L$50,MATCH(D180,diakadat!$J$2:$J$50,0),1)),"")</f>
        <v/>
      </c>
      <c r="O180" t="str">
        <f>IFERROR(INDEX(diakadat!$R$2:$R$50,MATCH(D180,diakadat!$J$2:$J$50,0),1),"")</f>
        <v/>
      </c>
      <c r="P180" t="str">
        <f>IFERROR(INDEX(diakadat!$AI$2:$AI$50,MATCH(D180,diakadat!$J$2:$J$50,0),1),"")</f>
        <v/>
      </c>
      <c r="Q180" t="str">
        <f>IFERROR(INDEX('rangsor'!$C$2:$C$343,MATCH(D180,'rangsor'!$A$2:$A$343,0),1),"")</f>
        <v/>
      </c>
      <c r="T180" t="s">
        <v>831</v>
      </c>
      <c r="U180" t="str" cm="1">
        <f t="array" ref="U180">Határozat(D180)</f>
        <v/>
      </c>
      <c r="AC180" t="str">
        <f>IFERROR(INDEX(diakadat!$U$2:$U$50,MATCH(D180,diakadat!$J$2:$J$50),1),"")</f>
        <v/>
      </c>
      <c r="AD180" t="str">
        <f>IFERROR(INDEX(diakadat!$V$2:$V$50,MATCH(D180,diakadat!$J$2:$J$50),1),"")</f>
        <v/>
      </c>
      <c r="AE180" t="str">
        <f>IFERROR(INDEX(diakadat!$W$2:$W$50,MATCH(D180,diakadat!$J$2:$J$50),1),"")</f>
        <v/>
      </c>
      <c r="AF180">
        <v>2000</v>
      </c>
      <c r="AG180" t="s">
        <v>1154</v>
      </c>
      <c r="AH180" t="s">
        <v>1357</v>
      </c>
      <c r="AI180" t="str">
        <f>IFERROR(INDEX(diakadat!$X$2:$X$50,MATCH(D180,diakadat!$J$2:$J$50),1),"")</f>
        <v/>
      </c>
      <c r="AK180">
        <f t="shared" si="2"/>
        <v>329</v>
      </c>
      <c r="AL180" t="str" cm="1">
        <f t="array" ref="AL180">ElsoBetuNagy(R180)</f>
        <v/>
      </c>
      <c r="AO180" t="str" cm="1">
        <f t="array" ref="AO180">DatumSzovegge5(AN180)</f>
        <v>1899.</v>
      </c>
      <c r="AP180" t="str" cm="1">
        <f t="array" ref="AP180">DatumSzovegge3(AN180)</f>
        <v>december</v>
      </c>
      <c r="AQ180" t="str" cm="1">
        <f t="array" ref="AQ180">DatumSzovegge4(AN180)</f>
        <v>30.</v>
      </c>
    </row>
    <row r="181" spans="4:43" x14ac:dyDescent="0.25">
      <c r="D181" t="str" cm="1">
        <f t="array" ref="D181">SzuressNev($B$1,ROW()-1)</f>
        <v/>
      </c>
      <c r="E181">
        <f>COUNTIF($D$2:D181,D181)</f>
        <v>160</v>
      </c>
      <c r="F181" t="str" cm="1">
        <f t="array" ref="F181">ElutasitasEgyOk2(D181,E181)</f>
        <v/>
      </c>
      <c r="G181" t="str">
        <f>IFERROR(INDEX(diakadat!$I$2:$I$50,MATCH(D181,diakadat!$J$2:$J$50,0),1),"")</f>
        <v/>
      </c>
      <c r="H181" t="str">
        <f>IFERROR(INDEX(diakadat!$O$2:$O$50,MATCH(D181,diakadat!$J$2:$J$50,0),1),"")</f>
        <v/>
      </c>
      <c r="I181" t="str">
        <f>IFERROR(INDEX(diakadat!#REF!,MATCH(D181,diakadat!$J$2:$J$50,0),1),"")</f>
        <v/>
      </c>
      <c r="J181" t="str">
        <f>IFERROR(INDEX(diakadat!$K$2:$K$50,MATCH(D181,diakadat!$J$2:$J$50,0),1),"")</f>
        <v/>
      </c>
      <c r="K181" t="str" cm="1">
        <f t="array" ref="K181">IFERROR(DatumSzovegge2(INDEX(diakadat!$L$2:$L$50,MATCH(D181,diakadat!$J$2:$J$50,0),1)),"")</f>
        <v/>
      </c>
      <c r="L181" t="str" cm="1">
        <f t="array" ref="L181">IFERROR(DatumSzovegge5(INDEX(diakadat!$L$2:$L$50,MATCH(D181,diakadat!$J$2:$J$50,0),1)),"")</f>
        <v/>
      </c>
      <c r="M181" t="str" cm="1">
        <f t="array" ref="M181">IFERROR(DatumSzovegge3(INDEX(diakadat!$L$2:$L$50,MATCH(D181,diakadat!$J$2:$J$50,0),1)),"")</f>
        <v/>
      </c>
      <c r="N181" t="str" cm="1">
        <f t="array" ref="N181">IFERROR(DatumSzovegge4(INDEX(diakadat!$L$2:$L$50,MATCH(D181,diakadat!$J$2:$J$50,0),1)),"")</f>
        <v/>
      </c>
      <c r="O181" t="str">
        <f>IFERROR(INDEX(diakadat!$R$2:$R$50,MATCH(D181,diakadat!$J$2:$J$50,0),1),"")</f>
        <v/>
      </c>
      <c r="P181" t="str">
        <f>IFERROR(INDEX(diakadat!$AI$2:$AI$50,MATCH(D181,diakadat!$J$2:$J$50,0),1),"")</f>
        <v/>
      </c>
      <c r="Q181" t="str">
        <f>IFERROR(INDEX('rangsor'!$C$2:$C$343,MATCH(D181,'rangsor'!$A$2:$A$343,0),1),"")</f>
        <v/>
      </c>
      <c r="T181" t="s">
        <v>831</v>
      </c>
      <c r="U181" t="str" cm="1">
        <f t="array" ref="U181">Határozat(D181)</f>
        <v/>
      </c>
      <c r="AC181" t="str">
        <f>IFERROR(INDEX(diakadat!$U$2:$U$50,MATCH(D181,diakadat!$J$2:$J$50),1),"")</f>
        <v/>
      </c>
      <c r="AD181" t="str">
        <f>IFERROR(INDEX(diakadat!$V$2:$V$50,MATCH(D181,diakadat!$J$2:$J$50),1),"")</f>
        <v/>
      </c>
      <c r="AE181" t="str">
        <f>IFERROR(INDEX(diakadat!$W$2:$W$50,MATCH(D181,diakadat!$J$2:$J$50),1),"")</f>
        <v/>
      </c>
      <c r="AF181">
        <v>1065</v>
      </c>
      <c r="AG181" t="s">
        <v>912</v>
      </c>
      <c r="AH181" t="s">
        <v>1358</v>
      </c>
      <c r="AI181" t="str">
        <f>IFERROR(INDEX(diakadat!$X$2:$X$50,MATCH(D181,diakadat!$J$2:$J$50),1),"")</f>
        <v/>
      </c>
      <c r="AK181">
        <f t="shared" si="2"/>
        <v>329</v>
      </c>
      <c r="AL181" t="str" cm="1">
        <f t="array" ref="AL181">ElsoBetuNagy(R181)</f>
        <v/>
      </c>
      <c r="AO181" t="str" cm="1">
        <f t="array" ref="AO181">DatumSzovegge5(AN181)</f>
        <v>1899.</v>
      </c>
      <c r="AP181" t="str" cm="1">
        <f t="array" ref="AP181">DatumSzovegge3(AN181)</f>
        <v>december</v>
      </c>
      <c r="AQ181" t="str" cm="1">
        <f t="array" ref="AQ181">DatumSzovegge4(AN181)</f>
        <v>30.</v>
      </c>
    </row>
    <row r="182" spans="4:43" x14ac:dyDescent="0.25">
      <c r="D182" t="str" cm="1">
        <f t="array" ref="D182">SzuressNev($B$1,ROW()-1)</f>
        <v/>
      </c>
      <c r="E182">
        <f>COUNTIF($D$2:D182,D182)</f>
        <v>161</v>
      </c>
      <c r="F182" t="str" cm="1">
        <f t="array" ref="F182">ElutasitasEgyOk2(D182,E182)</f>
        <v/>
      </c>
      <c r="G182" t="str">
        <f>IFERROR(INDEX(diakadat!$I$2:$I$50,MATCH(D182,diakadat!$J$2:$J$50,0),1),"")</f>
        <v/>
      </c>
      <c r="H182" t="str">
        <f>IFERROR(INDEX(diakadat!$O$2:$O$50,MATCH(D182,diakadat!$J$2:$J$50,0),1),"")</f>
        <v/>
      </c>
      <c r="I182" t="str">
        <f>IFERROR(INDEX(diakadat!#REF!,MATCH(D182,diakadat!$J$2:$J$50,0),1),"")</f>
        <v/>
      </c>
      <c r="J182" t="str">
        <f>IFERROR(INDEX(diakadat!$K$2:$K$50,MATCH(D182,diakadat!$J$2:$J$50,0),1),"")</f>
        <v/>
      </c>
      <c r="K182" t="str" cm="1">
        <f t="array" ref="K182">IFERROR(DatumSzovegge2(INDEX(diakadat!$L$2:$L$50,MATCH(D182,diakadat!$J$2:$J$50,0),1)),"")</f>
        <v/>
      </c>
      <c r="L182" t="str" cm="1">
        <f t="array" ref="L182">IFERROR(DatumSzovegge5(INDEX(diakadat!$L$2:$L$50,MATCH(D182,diakadat!$J$2:$J$50,0),1)),"")</f>
        <v/>
      </c>
      <c r="M182" t="str" cm="1">
        <f t="array" ref="M182">IFERROR(DatumSzovegge3(INDEX(diakadat!$L$2:$L$50,MATCH(D182,diakadat!$J$2:$J$50,0),1)),"")</f>
        <v/>
      </c>
      <c r="N182" t="str" cm="1">
        <f t="array" ref="N182">IFERROR(DatumSzovegge4(INDEX(diakadat!$L$2:$L$50,MATCH(D182,diakadat!$J$2:$J$50,0),1)),"")</f>
        <v/>
      </c>
      <c r="O182" t="str">
        <f>IFERROR(INDEX(diakadat!$R$2:$R$50,MATCH(D182,diakadat!$J$2:$J$50,0),1),"")</f>
        <v/>
      </c>
      <c r="P182" t="str">
        <f>IFERROR(INDEX(diakadat!$AI$2:$AI$50,MATCH(D182,diakadat!$J$2:$J$50,0),1),"")</f>
        <v/>
      </c>
      <c r="Q182" t="str">
        <f>IFERROR(INDEX('rangsor'!$C$2:$C$343,MATCH(D182,'rangsor'!$A$2:$A$343,0),1),"")</f>
        <v/>
      </c>
      <c r="T182" t="s">
        <v>831</v>
      </c>
      <c r="U182" t="str" cm="1">
        <f t="array" ref="U182">Határozat(D182)</f>
        <v/>
      </c>
      <c r="AC182" t="str">
        <f>IFERROR(INDEX(diakadat!$U$2:$U$50,MATCH(D182,diakadat!$J$2:$J$50),1),"")</f>
        <v/>
      </c>
      <c r="AD182" t="str">
        <f>IFERROR(INDEX(diakadat!$V$2:$V$50,MATCH(D182,diakadat!$J$2:$J$50),1),"")</f>
        <v/>
      </c>
      <c r="AE182" t="str">
        <f>IFERROR(INDEX(diakadat!$W$2:$W$50,MATCH(D182,diakadat!$J$2:$J$50),1),"")</f>
        <v/>
      </c>
      <c r="AF182">
        <v>1125</v>
      </c>
      <c r="AG182" t="s">
        <v>912</v>
      </c>
      <c r="AH182" t="s">
        <v>1359</v>
      </c>
      <c r="AI182" t="str">
        <f>IFERROR(INDEX(diakadat!$X$2:$X$50,MATCH(D182,diakadat!$J$2:$J$50),1),"")</f>
        <v/>
      </c>
      <c r="AK182">
        <f t="shared" si="2"/>
        <v>329</v>
      </c>
      <c r="AL182" t="str" cm="1">
        <f t="array" ref="AL182">ElsoBetuNagy(R182)</f>
        <v/>
      </c>
      <c r="AO182" t="str" cm="1">
        <f t="array" ref="AO182">DatumSzovegge5(AN182)</f>
        <v>1899.</v>
      </c>
      <c r="AP182" t="str" cm="1">
        <f t="array" ref="AP182">DatumSzovegge3(AN182)</f>
        <v>december</v>
      </c>
      <c r="AQ182" t="str" cm="1">
        <f t="array" ref="AQ182">DatumSzovegge4(AN182)</f>
        <v>30.</v>
      </c>
    </row>
    <row r="183" spans="4:43" x14ac:dyDescent="0.25">
      <c r="D183" t="str" cm="1">
        <f t="array" ref="D183">SzuressNev($B$1,ROW()-1)</f>
        <v/>
      </c>
      <c r="E183">
        <f>COUNTIF($D$2:D183,D183)</f>
        <v>162</v>
      </c>
      <c r="F183" t="str" cm="1">
        <f t="array" ref="F183">ElutasitasEgyOk2(D183,E183)</f>
        <v/>
      </c>
      <c r="G183" t="str">
        <f>IFERROR(INDEX(diakadat!$I$2:$I$50,MATCH(D183,diakadat!$J$2:$J$50,0),1),"")</f>
        <v/>
      </c>
      <c r="H183" t="str">
        <f>IFERROR(INDEX(diakadat!$O$2:$O$50,MATCH(D183,diakadat!$J$2:$J$50,0),1),"")</f>
        <v/>
      </c>
      <c r="I183" t="str">
        <f>IFERROR(INDEX(diakadat!#REF!,MATCH(D183,diakadat!$J$2:$J$50,0),1),"")</f>
        <v/>
      </c>
      <c r="J183" t="str">
        <f>IFERROR(INDEX(diakadat!$K$2:$K$50,MATCH(D183,diakadat!$J$2:$J$50,0),1),"")</f>
        <v/>
      </c>
      <c r="K183" t="str" cm="1">
        <f t="array" ref="K183">IFERROR(DatumSzovegge2(INDEX(diakadat!$L$2:$L$50,MATCH(D183,diakadat!$J$2:$J$50,0),1)),"")</f>
        <v/>
      </c>
      <c r="L183" t="str" cm="1">
        <f t="array" ref="L183">IFERROR(DatumSzovegge5(INDEX(diakadat!$L$2:$L$50,MATCH(D183,diakadat!$J$2:$J$50,0),1)),"")</f>
        <v/>
      </c>
      <c r="M183" t="str" cm="1">
        <f t="array" ref="M183">IFERROR(DatumSzovegge3(INDEX(diakadat!$L$2:$L$50,MATCH(D183,diakadat!$J$2:$J$50,0),1)),"")</f>
        <v/>
      </c>
      <c r="N183" t="str" cm="1">
        <f t="array" ref="N183">IFERROR(DatumSzovegge4(INDEX(diakadat!$L$2:$L$50,MATCH(D183,diakadat!$J$2:$J$50,0),1)),"")</f>
        <v/>
      </c>
      <c r="O183" t="str">
        <f>IFERROR(INDEX(diakadat!$R$2:$R$50,MATCH(D183,diakadat!$J$2:$J$50,0),1),"")</f>
        <v/>
      </c>
      <c r="P183" t="str">
        <f>IFERROR(INDEX(diakadat!$AI$2:$AI$50,MATCH(D183,diakadat!$J$2:$J$50,0),1),"")</f>
        <v/>
      </c>
      <c r="Q183" t="str">
        <f>IFERROR(INDEX('rangsor'!$C$2:$C$343,MATCH(D183,'rangsor'!$A$2:$A$343,0),1),"")</f>
        <v/>
      </c>
      <c r="T183" t="s">
        <v>831</v>
      </c>
      <c r="U183" t="str" cm="1">
        <f t="array" ref="U183">Határozat(D183)</f>
        <v/>
      </c>
      <c r="AC183" t="str">
        <f>IFERROR(INDEX(diakadat!$U$2:$U$50,MATCH(D183,diakadat!$J$2:$J$50),1),"")</f>
        <v/>
      </c>
      <c r="AD183" t="str">
        <f>IFERROR(INDEX(diakadat!$V$2:$V$50,MATCH(D183,diakadat!$J$2:$J$50),1),"")</f>
        <v/>
      </c>
      <c r="AE183" t="str">
        <f>IFERROR(INDEX(diakadat!$W$2:$W$50,MATCH(D183,diakadat!$J$2:$J$50),1),"")</f>
        <v/>
      </c>
      <c r="AF183">
        <v>1122</v>
      </c>
      <c r="AG183" t="s">
        <v>1164</v>
      </c>
      <c r="AH183" t="s">
        <v>1360</v>
      </c>
      <c r="AI183" t="str">
        <f>IFERROR(INDEX(diakadat!$X$2:$X$50,MATCH(D183,diakadat!$J$2:$J$50),1),"")</f>
        <v/>
      </c>
      <c r="AK183">
        <f t="shared" si="2"/>
        <v>329</v>
      </c>
      <c r="AL183" t="str" cm="1">
        <f t="array" ref="AL183">ElsoBetuNagy(R183)</f>
        <v/>
      </c>
      <c r="AO183" t="str" cm="1">
        <f t="array" ref="AO183">DatumSzovegge5(AN183)</f>
        <v>1899.</v>
      </c>
      <c r="AP183" t="str" cm="1">
        <f t="array" ref="AP183">DatumSzovegge3(AN183)</f>
        <v>december</v>
      </c>
      <c r="AQ183" t="str" cm="1">
        <f t="array" ref="AQ183">DatumSzovegge4(AN183)</f>
        <v>30.</v>
      </c>
    </row>
    <row r="184" spans="4:43" x14ac:dyDescent="0.25">
      <c r="D184" t="str" cm="1">
        <f t="array" ref="D184">SzuressNev($B$1,ROW()-1)</f>
        <v/>
      </c>
      <c r="E184">
        <f>COUNTIF($D$2:D184,D184)</f>
        <v>163</v>
      </c>
      <c r="F184" t="str" cm="1">
        <f t="array" ref="F184">ElutasitasEgyOk2(D184,E184)</f>
        <v/>
      </c>
      <c r="G184" t="str">
        <f>IFERROR(INDEX(diakadat!$I$2:$I$50,MATCH(D184,diakadat!$J$2:$J$50,0),1),"")</f>
        <v/>
      </c>
      <c r="H184" t="str">
        <f>IFERROR(INDEX(diakadat!$O$2:$O$50,MATCH(D184,diakadat!$J$2:$J$50,0),1),"")</f>
        <v/>
      </c>
      <c r="I184" t="str">
        <f>IFERROR(INDEX(diakadat!#REF!,MATCH(D184,diakadat!$J$2:$J$50,0),1),"")</f>
        <v/>
      </c>
      <c r="J184" t="str">
        <f>IFERROR(INDEX(diakadat!$K$2:$K$50,MATCH(D184,diakadat!$J$2:$J$50,0),1),"")</f>
        <v/>
      </c>
      <c r="K184" t="str" cm="1">
        <f t="array" ref="K184">IFERROR(DatumSzovegge2(INDEX(diakadat!$L$2:$L$50,MATCH(D184,diakadat!$J$2:$J$50,0),1)),"")</f>
        <v/>
      </c>
      <c r="L184" t="str" cm="1">
        <f t="array" ref="L184">IFERROR(DatumSzovegge5(INDEX(diakadat!$L$2:$L$50,MATCH(D184,diakadat!$J$2:$J$50,0),1)),"")</f>
        <v/>
      </c>
      <c r="M184" t="str" cm="1">
        <f t="array" ref="M184">IFERROR(DatumSzovegge3(INDEX(diakadat!$L$2:$L$50,MATCH(D184,diakadat!$J$2:$J$50,0),1)),"")</f>
        <v/>
      </c>
      <c r="N184" t="str" cm="1">
        <f t="array" ref="N184">IFERROR(DatumSzovegge4(INDEX(diakadat!$L$2:$L$50,MATCH(D184,diakadat!$J$2:$J$50,0),1)),"")</f>
        <v/>
      </c>
      <c r="O184" t="str">
        <f>IFERROR(INDEX(diakadat!$R$2:$R$50,MATCH(D184,diakadat!$J$2:$J$50,0),1),"")</f>
        <v/>
      </c>
      <c r="P184" t="str">
        <f>IFERROR(INDEX(diakadat!$AI$2:$AI$50,MATCH(D184,diakadat!$J$2:$J$50,0),1),"")</f>
        <v/>
      </c>
      <c r="Q184" t="str">
        <f>IFERROR(INDEX('rangsor'!$C$2:$C$343,MATCH(D184,'rangsor'!$A$2:$A$343,0),1),"")</f>
        <v/>
      </c>
      <c r="T184" t="s">
        <v>831</v>
      </c>
      <c r="U184" t="str" cm="1">
        <f t="array" ref="U184">Határozat(D184)</f>
        <v/>
      </c>
      <c r="AC184" t="str">
        <f>IFERROR(INDEX(diakadat!$U$2:$U$50,MATCH(D184,diakadat!$J$2:$J$50),1),"")</f>
        <v/>
      </c>
      <c r="AD184" t="str">
        <f>IFERROR(INDEX(diakadat!$V$2:$V$50,MATCH(D184,diakadat!$J$2:$J$50),1),"")</f>
        <v/>
      </c>
      <c r="AE184" t="str">
        <f>IFERROR(INDEX(diakadat!$W$2:$W$50,MATCH(D184,diakadat!$J$2:$J$50),1),"")</f>
        <v/>
      </c>
      <c r="AF184">
        <v>1118</v>
      </c>
      <c r="AG184" t="s">
        <v>912</v>
      </c>
      <c r="AH184" t="s">
        <v>1361</v>
      </c>
      <c r="AI184" t="str">
        <f>IFERROR(INDEX(diakadat!$X$2:$X$50,MATCH(D184,diakadat!$J$2:$J$50),1),"")</f>
        <v/>
      </c>
      <c r="AK184">
        <f t="shared" si="2"/>
        <v>329</v>
      </c>
      <c r="AL184" t="str" cm="1">
        <f t="array" ref="AL184">ElsoBetuNagy(R184)</f>
        <v/>
      </c>
      <c r="AO184" t="str" cm="1">
        <f t="array" ref="AO184">DatumSzovegge5(AN184)</f>
        <v>1899.</v>
      </c>
      <c r="AP184" t="str" cm="1">
        <f t="array" ref="AP184">DatumSzovegge3(AN184)</f>
        <v>december</v>
      </c>
      <c r="AQ184" t="str" cm="1">
        <f t="array" ref="AQ184">DatumSzovegge4(AN184)</f>
        <v>30.</v>
      </c>
    </row>
    <row r="185" spans="4:43" x14ac:dyDescent="0.25">
      <c r="D185" t="str" cm="1">
        <f t="array" ref="D185">SzuressNev($B$1,ROW()-1)</f>
        <v/>
      </c>
      <c r="E185">
        <f>COUNTIF($D$2:D185,D185)</f>
        <v>164</v>
      </c>
      <c r="F185" t="str" cm="1">
        <f t="array" ref="F185">ElutasitasEgyOk2(D185,E185)</f>
        <v/>
      </c>
      <c r="G185" t="str">
        <f>IFERROR(INDEX(diakadat!$I$2:$I$50,MATCH(D185,diakadat!$J$2:$J$50,0),1),"")</f>
        <v/>
      </c>
      <c r="H185" t="str">
        <f>IFERROR(INDEX(diakadat!$O$2:$O$50,MATCH(D185,diakadat!$J$2:$J$50,0),1),"")</f>
        <v/>
      </c>
      <c r="I185" t="str">
        <f>IFERROR(INDEX(diakadat!#REF!,MATCH(D185,diakadat!$J$2:$J$50,0),1),"")</f>
        <v/>
      </c>
      <c r="J185" t="str">
        <f>IFERROR(INDEX(diakadat!$K$2:$K$50,MATCH(D185,diakadat!$J$2:$J$50,0),1),"")</f>
        <v/>
      </c>
      <c r="K185" t="str" cm="1">
        <f t="array" ref="K185">IFERROR(DatumSzovegge2(INDEX(diakadat!$L$2:$L$50,MATCH(D185,diakadat!$J$2:$J$50,0),1)),"")</f>
        <v/>
      </c>
      <c r="L185" t="str" cm="1">
        <f t="array" ref="L185">IFERROR(DatumSzovegge5(INDEX(diakadat!$L$2:$L$50,MATCH(D185,diakadat!$J$2:$J$50,0),1)),"")</f>
        <v/>
      </c>
      <c r="M185" t="str" cm="1">
        <f t="array" ref="M185">IFERROR(DatumSzovegge3(INDEX(diakadat!$L$2:$L$50,MATCH(D185,diakadat!$J$2:$J$50,0),1)),"")</f>
        <v/>
      </c>
      <c r="N185" t="str" cm="1">
        <f t="array" ref="N185">IFERROR(DatumSzovegge4(INDEX(diakadat!$L$2:$L$50,MATCH(D185,diakadat!$J$2:$J$50,0),1)),"")</f>
        <v/>
      </c>
      <c r="O185" t="str">
        <f>IFERROR(INDEX(diakadat!$R$2:$R$50,MATCH(D185,diakadat!$J$2:$J$50,0),1),"")</f>
        <v/>
      </c>
      <c r="P185" t="str">
        <f>IFERROR(INDEX(diakadat!$AI$2:$AI$50,MATCH(D185,diakadat!$J$2:$J$50,0),1),"")</f>
        <v/>
      </c>
      <c r="Q185" t="str">
        <f>IFERROR(INDEX('rangsor'!$C$2:$C$343,MATCH(D185,'rangsor'!$A$2:$A$343,0),1),"")</f>
        <v/>
      </c>
      <c r="T185" t="s">
        <v>831</v>
      </c>
      <c r="U185" t="str" cm="1">
        <f t="array" ref="U185">Határozat(D185)</f>
        <v/>
      </c>
      <c r="AC185" t="str">
        <f>IFERROR(INDEX(diakadat!$U$2:$U$50,MATCH(D185,diakadat!$J$2:$J$50),1),"")</f>
        <v/>
      </c>
      <c r="AD185" t="str">
        <f>IFERROR(INDEX(diakadat!$V$2:$V$50,MATCH(D185,diakadat!$J$2:$J$50),1),"")</f>
        <v/>
      </c>
      <c r="AE185" t="str">
        <f>IFERROR(INDEX(diakadat!$W$2:$W$50,MATCH(D185,diakadat!$J$2:$J$50),1),"")</f>
        <v/>
      </c>
      <c r="AF185">
        <v>1113</v>
      </c>
      <c r="AG185" t="s">
        <v>912</v>
      </c>
      <c r="AH185" t="s">
        <v>1362</v>
      </c>
      <c r="AI185" t="str">
        <f>IFERROR(INDEX(diakadat!$X$2:$X$50,MATCH(D185,diakadat!$J$2:$J$50),1),"")</f>
        <v/>
      </c>
      <c r="AK185">
        <f t="shared" si="2"/>
        <v>329</v>
      </c>
      <c r="AL185" t="str" cm="1">
        <f t="array" ref="AL185">ElsoBetuNagy(R185)</f>
        <v/>
      </c>
      <c r="AO185" t="str" cm="1">
        <f t="array" ref="AO185">DatumSzovegge5(AN185)</f>
        <v>1899.</v>
      </c>
      <c r="AP185" t="str" cm="1">
        <f t="array" ref="AP185">DatumSzovegge3(AN185)</f>
        <v>december</v>
      </c>
      <c r="AQ185" t="str" cm="1">
        <f t="array" ref="AQ185">DatumSzovegge4(AN185)</f>
        <v>30.</v>
      </c>
    </row>
    <row r="186" spans="4:43" x14ac:dyDescent="0.25">
      <c r="D186" t="str" cm="1">
        <f t="array" ref="D186">SzuressNev($B$1,ROW()-1)</f>
        <v/>
      </c>
      <c r="E186">
        <f>COUNTIF($D$2:D186,D186)</f>
        <v>165</v>
      </c>
      <c r="F186" t="str" cm="1">
        <f t="array" ref="F186">ElutasitasEgyOk2(D186,E186)</f>
        <v/>
      </c>
      <c r="G186" t="str">
        <f>IFERROR(INDEX(diakadat!$I$2:$I$50,MATCH(D186,diakadat!$J$2:$J$50,0),1),"")</f>
        <v/>
      </c>
      <c r="H186" t="str">
        <f>IFERROR(INDEX(diakadat!$O$2:$O$50,MATCH(D186,diakadat!$J$2:$J$50,0),1),"")</f>
        <v/>
      </c>
      <c r="I186" t="str">
        <f>IFERROR(INDEX(diakadat!#REF!,MATCH(D186,diakadat!$J$2:$J$50,0),1),"")</f>
        <v/>
      </c>
      <c r="J186" t="str">
        <f>IFERROR(INDEX(diakadat!$K$2:$K$50,MATCH(D186,diakadat!$J$2:$J$50,0),1),"")</f>
        <v/>
      </c>
      <c r="K186" t="str" cm="1">
        <f t="array" ref="K186">IFERROR(DatumSzovegge2(INDEX(diakadat!$L$2:$L$50,MATCH(D186,diakadat!$J$2:$J$50,0),1)),"")</f>
        <v/>
      </c>
      <c r="L186" t="str" cm="1">
        <f t="array" ref="L186">IFERROR(DatumSzovegge5(INDEX(diakadat!$L$2:$L$50,MATCH(D186,diakadat!$J$2:$J$50,0),1)),"")</f>
        <v/>
      </c>
      <c r="M186" t="str" cm="1">
        <f t="array" ref="M186">IFERROR(DatumSzovegge3(INDEX(diakadat!$L$2:$L$50,MATCH(D186,diakadat!$J$2:$J$50,0),1)),"")</f>
        <v/>
      </c>
      <c r="N186" t="str" cm="1">
        <f t="array" ref="N186">IFERROR(DatumSzovegge4(INDEX(diakadat!$L$2:$L$50,MATCH(D186,diakadat!$J$2:$J$50,0),1)),"")</f>
        <v/>
      </c>
      <c r="O186" t="str">
        <f>IFERROR(INDEX(diakadat!$R$2:$R$50,MATCH(D186,diakadat!$J$2:$J$50,0),1),"")</f>
        <v/>
      </c>
      <c r="P186" t="str">
        <f>IFERROR(INDEX(diakadat!$AI$2:$AI$50,MATCH(D186,diakadat!$J$2:$J$50,0),1),"")</f>
        <v/>
      </c>
      <c r="Q186" t="str">
        <f>IFERROR(INDEX('rangsor'!$C$2:$C$343,MATCH(D186,'rangsor'!$A$2:$A$343,0),1),"")</f>
        <v/>
      </c>
      <c r="T186" t="s">
        <v>831</v>
      </c>
      <c r="U186" t="str" cm="1">
        <f t="array" ref="U186">Határozat(D186)</f>
        <v/>
      </c>
      <c r="AC186" t="str">
        <f>IFERROR(INDEX(diakadat!$U$2:$U$50,MATCH(D186,diakadat!$J$2:$J$50),1),"")</f>
        <v/>
      </c>
      <c r="AD186" t="str">
        <f>IFERROR(INDEX(diakadat!$V$2:$V$50,MATCH(D186,diakadat!$J$2:$J$50),1),"")</f>
        <v/>
      </c>
      <c r="AE186" t="str">
        <f>IFERROR(INDEX(diakadat!$W$2:$W$50,MATCH(D186,diakadat!$J$2:$J$50),1),"")</f>
        <v/>
      </c>
      <c r="AF186">
        <v>1114</v>
      </c>
      <c r="AG186" t="s">
        <v>912</v>
      </c>
      <c r="AH186" t="s">
        <v>1363</v>
      </c>
      <c r="AI186" t="str">
        <f>IFERROR(INDEX(diakadat!$X$2:$X$50,MATCH(D186,diakadat!$J$2:$J$50),1),"")</f>
        <v/>
      </c>
      <c r="AK186">
        <f t="shared" si="2"/>
        <v>329</v>
      </c>
      <c r="AL186" t="str" cm="1">
        <f t="array" ref="AL186">ElsoBetuNagy(R186)</f>
        <v/>
      </c>
      <c r="AO186" t="str" cm="1">
        <f t="array" ref="AO186">DatumSzovegge5(AN186)</f>
        <v>1899.</v>
      </c>
      <c r="AP186" t="str" cm="1">
        <f t="array" ref="AP186">DatumSzovegge3(AN186)</f>
        <v>december</v>
      </c>
      <c r="AQ186" t="str" cm="1">
        <f t="array" ref="AQ186">DatumSzovegge4(AN186)</f>
        <v>30.</v>
      </c>
    </row>
    <row r="187" spans="4:43" x14ac:dyDescent="0.25">
      <c r="D187" t="str" cm="1">
        <f t="array" ref="D187">SzuressNev($B$1,ROW()-1)</f>
        <v/>
      </c>
      <c r="E187">
        <f>COUNTIF($D$2:D187,D187)</f>
        <v>166</v>
      </c>
      <c r="F187" t="str" cm="1">
        <f t="array" ref="F187">ElutasitasEgyOk2(D187,E187)</f>
        <v/>
      </c>
      <c r="G187" t="str">
        <f>IFERROR(INDEX(diakadat!$I$2:$I$50,MATCH(D187,diakadat!$J$2:$J$50,0),1),"")</f>
        <v/>
      </c>
      <c r="H187" t="str">
        <f>IFERROR(INDEX(diakadat!$O$2:$O$50,MATCH(D187,diakadat!$J$2:$J$50,0),1),"")</f>
        <v/>
      </c>
      <c r="I187" t="str">
        <f>IFERROR(INDEX(diakadat!#REF!,MATCH(D187,diakadat!$J$2:$J$50,0),1),"")</f>
        <v/>
      </c>
      <c r="J187" t="str">
        <f>IFERROR(INDEX(diakadat!$K$2:$K$50,MATCH(D187,diakadat!$J$2:$J$50,0),1),"")</f>
        <v/>
      </c>
      <c r="K187" t="str" cm="1">
        <f t="array" ref="K187">IFERROR(DatumSzovegge2(INDEX(diakadat!$L$2:$L$50,MATCH(D187,diakadat!$J$2:$J$50,0),1)),"")</f>
        <v/>
      </c>
      <c r="L187" t="str" cm="1">
        <f t="array" ref="L187">IFERROR(DatumSzovegge5(INDEX(diakadat!$L$2:$L$50,MATCH(D187,diakadat!$J$2:$J$50,0),1)),"")</f>
        <v/>
      </c>
      <c r="M187" t="str" cm="1">
        <f t="array" ref="M187">IFERROR(DatumSzovegge3(INDEX(diakadat!$L$2:$L$50,MATCH(D187,diakadat!$J$2:$J$50,0),1)),"")</f>
        <v/>
      </c>
      <c r="N187" t="str" cm="1">
        <f t="array" ref="N187">IFERROR(DatumSzovegge4(INDEX(diakadat!$L$2:$L$50,MATCH(D187,diakadat!$J$2:$J$50,0),1)),"")</f>
        <v/>
      </c>
      <c r="O187" t="str">
        <f>IFERROR(INDEX(diakadat!$R$2:$R$50,MATCH(D187,diakadat!$J$2:$J$50,0),1),"")</f>
        <v/>
      </c>
      <c r="P187" t="str">
        <f>IFERROR(INDEX(diakadat!$AI$2:$AI$50,MATCH(D187,diakadat!$J$2:$J$50,0),1),"")</f>
        <v/>
      </c>
      <c r="Q187" t="str">
        <f>IFERROR(INDEX('rangsor'!$C$2:$C$343,MATCH(D187,'rangsor'!$A$2:$A$343,0),1),"")</f>
        <v/>
      </c>
      <c r="T187" t="s">
        <v>831</v>
      </c>
      <c r="U187" t="str" cm="1">
        <f t="array" ref="U187">Határozat(D187)</f>
        <v/>
      </c>
      <c r="AC187" t="str">
        <f>IFERROR(INDEX(diakadat!$U$2:$U$50,MATCH(D187,diakadat!$J$2:$J$50),1),"")</f>
        <v/>
      </c>
      <c r="AD187" t="str">
        <f>IFERROR(INDEX(diakadat!$V$2:$V$50,MATCH(D187,diakadat!$J$2:$J$50),1),"")</f>
        <v/>
      </c>
      <c r="AE187" t="str">
        <f>IFERROR(INDEX(diakadat!$W$2:$W$50,MATCH(D187,diakadat!$J$2:$J$50),1),"")</f>
        <v/>
      </c>
      <c r="AF187">
        <v>1119</v>
      </c>
      <c r="AG187" t="s">
        <v>1164</v>
      </c>
      <c r="AH187" t="s">
        <v>1364</v>
      </c>
      <c r="AI187" t="str">
        <f>IFERROR(INDEX(diakadat!$X$2:$X$50,MATCH(D187,diakadat!$J$2:$J$50),1),"")</f>
        <v/>
      </c>
      <c r="AK187">
        <f t="shared" si="2"/>
        <v>329</v>
      </c>
      <c r="AL187" t="str" cm="1">
        <f t="array" ref="AL187">ElsoBetuNagy(R187)</f>
        <v/>
      </c>
      <c r="AO187" t="str" cm="1">
        <f t="array" ref="AO187">DatumSzovegge5(AN187)</f>
        <v>1899.</v>
      </c>
      <c r="AP187" t="str" cm="1">
        <f t="array" ref="AP187">DatumSzovegge3(AN187)</f>
        <v>december</v>
      </c>
      <c r="AQ187" t="str" cm="1">
        <f t="array" ref="AQ187">DatumSzovegge4(AN187)</f>
        <v>30.</v>
      </c>
    </row>
    <row r="188" spans="4:43" x14ac:dyDescent="0.25">
      <c r="D188" t="str" cm="1">
        <f t="array" ref="D188">SzuressNev($B$1,ROW()-1)</f>
        <v/>
      </c>
      <c r="E188">
        <f>COUNTIF($D$2:D188,D188)</f>
        <v>167</v>
      </c>
      <c r="F188" t="str" cm="1">
        <f t="array" ref="F188">ElutasitasEgyOk2(D188,E188)</f>
        <v/>
      </c>
      <c r="G188" t="str">
        <f>IFERROR(INDEX(diakadat!$I$2:$I$50,MATCH(D188,diakadat!$J$2:$J$50,0),1),"")</f>
        <v/>
      </c>
      <c r="H188" t="str">
        <f>IFERROR(INDEX(diakadat!$O$2:$O$50,MATCH(D188,diakadat!$J$2:$J$50,0),1),"")</f>
        <v/>
      </c>
      <c r="I188" t="str">
        <f>IFERROR(INDEX(diakadat!#REF!,MATCH(D188,diakadat!$J$2:$J$50,0),1),"")</f>
        <v/>
      </c>
      <c r="J188" t="str">
        <f>IFERROR(INDEX(diakadat!$K$2:$K$50,MATCH(D188,diakadat!$J$2:$J$50,0),1),"")</f>
        <v/>
      </c>
      <c r="K188" t="str" cm="1">
        <f t="array" ref="K188">IFERROR(DatumSzovegge2(INDEX(diakadat!$L$2:$L$50,MATCH(D188,diakadat!$J$2:$J$50,0),1)),"")</f>
        <v/>
      </c>
      <c r="L188" t="str" cm="1">
        <f t="array" ref="L188">IFERROR(DatumSzovegge5(INDEX(diakadat!$L$2:$L$50,MATCH(D188,diakadat!$J$2:$J$50,0),1)),"")</f>
        <v/>
      </c>
      <c r="M188" t="str" cm="1">
        <f t="array" ref="M188">IFERROR(DatumSzovegge3(INDEX(diakadat!$L$2:$L$50,MATCH(D188,diakadat!$J$2:$J$50,0),1)),"")</f>
        <v/>
      </c>
      <c r="N188" t="str" cm="1">
        <f t="array" ref="N188">IFERROR(DatumSzovegge4(INDEX(diakadat!$L$2:$L$50,MATCH(D188,diakadat!$J$2:$J$50,0),1)),"")</f>
        <v/>
      </c>
      <c r="O188" t="str">
        <f>IFERROR(INDEX(diakadat!$R$2:$R$50,MATCH(D188,diakadat!$J$2:$J$50,0),1),"")</f>
        <v/>
      </c>
      <c r="P188" t="str">
        <f>IFERROR(INDEX(diakadat!$AI$2:$AI$50,MATCH(D188,diakadat!$J$2:$J$50,0),1),"")</f>
        <v/>
      </c>
      <c r="Q188" t="str">
        <f>IFERROR(INDEX('rangsor'!$C$2:$C$343,MATCH(D188,'rangsor'!$A$2:$A$343,0),1),"")</f>
        <v/>
      </c>
      <c r="T188" t="s">
        <v>831</v>
      </c>
      <c r="U188" t="str" cm="1">
        <f t="array" ref="U188">Határozat(D188)</f>
        <v/>
      </c>
      <c r="AC188" t="str">
        <f>IFERROR(INDEX(diakadat!$U$2:$U$50,MATCH(D188,diakadat!$J$2:$J$50),1),"")</f>
        <v/>
      </c>
      <c r="AD188" t="str">
        <f>IFERROR(INDEX(diakadat!$V$2:$V$50,MATCH(D188,diakadat!$J$2:$J$50),1),"")</f>
        <v/>
      </c>
      <c r="AE188" t="str">
        <f>IFERROR(INDEX(diakadat!$W$2:$W$50,MATCH(D188,diakadat!$J$2:$J$50),1),"")</f>
        <v/>
      </c>
      <c r="AF188">
        <v>1116</v>
      </c>
      <c r="AG188" t="s">
        <v>912</v>
      </c>
      <c r="AH188" t="s">
        <v>1365</v>
      </c>
      <c r="AI188" t="str">
        <f>IFERROR(INDEX(diakadat!$X$2:$X$50,MATCH(D188,diakadat!$J$2:$J$50),1),"")</f>
        <v/>
      </c>
      <c r="AK188">
        <f t="shared" si="2"/>
        <v>329</v>
      </c>
      <c r="AL188" t="str" cm="1">
        <f t="array" ref="AL188">ElsoBetuNagy(R188)</f>
        <v/>
      </c>
      <c r="AO188" t="str" cm="1">
        <f t="array" ref="AO188">DatumSzovegge5(AN188)</f>
        <v>1899.</v>
      </c>
      <c r="AP188" t="str" cm="1">
        <f t="array" ref="AP188">DatumSzovegge3(AN188)</f>
        <v>december</v>
      </c>
      <c r="AQ188" t="str" cm="1">
        <f t="array" ref="AQ188">DatumSzovegge4(AN188)</f>
        <v>30.</v>
      </c>
    </row>
    <row r="189" spans="4:43" x14ac:dyDescent="0.25">
      <c r="D189" t="str" cm="1">
        <f t="array" ref="D189">SzuressNev($B$1,ROW()-1)</f>
        <v/>
      </c>
      <c r="E189">
        <f>COUNTIF($D$2:D189,D189)</f>
        <v>168</v>
      </c>
      <c r="F189" t="str" cm="1">
        <f t="array" ref="F189">ElutasitasEgyOk2(D189,E189)</f>
        <v/>
      </c>
      <c r="G189" t="str">
        <f>IFERROR(INDEX(diakadat!$I$2:$I$50,MATCH(D189,diakadat!$J$2:$J$50,0),1),"")</f>
        <v/>
      </c>
      <c r="H189" t="str">
        <f>IFERROR(INDEX(diakadat!$O$2:$O$50,MATCH(D189,diakadat!$J$2:$J$50,0),1),"")</f>
        <v/>
      </c>
      <c r="I189" t="str">
        <f>IFERROR(INDEX(diakadat!#REF!,MATCH(D189,diakadat!$J$2:$J$50,0),1),"")</f>
        <v/>
      </c>
      <c r="J189" t="str">
        <f>IFERROR(INDEX(diakadat!$K$2:$K$50,MATCH(D189,diakadat!$J$2:$J$50,0),1),"")</f>
        <v/>
      </c>
      <c r="K189" t="str" cm="1">
        <f t="array" ref="K189">IFERROR(DatumSzovegge2(INDEX(diakadat!$L$2:$L$50,MATCH(D189,diakadat!$J$2:$J$50,0),1)),"")</f>
        <v/>
      </c>
      <c r="L189" t="str" cm="1">
        <f t="array" ref="L189">IFERROR(DatumSzovegge5(INDEX(diakadat!$L$2:$L$50,MATCH(D189,diakadat!$J$2:$J$50,0),1)),"")</f>
        <v/>
      </c>
      <c r="M189" t="str" cm="1">
        <f t="array" ref="M189">IFERROR(DatumSzovegge3(INDEX(diakadat!$L$2:$L$50,MATCH(D189,diakadat!$J$2:$J$50,0),1)),"")</f>
        <v/>
      </c>
      <c r="N189" t="str" cm="1">
        <f t="array" ref="N189">IFERROR(DatumSzovegge4(INDEX(diakadat!$L$2:$L$50,MATCH(D189,diakadat!$J$2:$J$50,0),1)),"")</f>
        <v/>
      </c>
      <c r="O189" t="str">
        <f>IFERROR(INDEX(diakadat!$R$2:$R$50,MATCH(D189,diakadat!$J$2:$J$50,0),1),"")</f>
        <v/>
      </c>
      <c r="P189" t="str">
        <f>IFERROR(INDEX(diakadat!$AI$2:$AI$50,MATCH(D189,diakadat!$J$2:$J$50,0),1),"")</f>
        <v/>
      </c>
      <c r="Q189" t="str">
        <f>IFERROR(INDEX('rangsor'!$C$2:$C$343,MATCH(D189,'rangsor'!$A$2:$A$343,0),1),"")</f>
        <v/>
      </c>
      <c r="T189" t="s">
        <v>831</v>
      </c>
      <c r="U189" t="str" cm="1">
        <f t="array" ref="U189">Határozat(D189)</f>
        <v/>
      </c>
      <c r="AC189" t="str">
        <f>IFERROR(INDEX(diakadat!$U$2:$U$50,MATCH(D189,diakadat!$J$2:$J$50),1),"")</f>
        <v/>
      </c>
      <c r="AD189" t="str">
        <f>IFERROR(INDEX(diakadat!$V$2:$V$50,MATCH(D189,diakadat!$J$2:$J$50),1),"")</f>
        <v/>
      </c>
      <c r="AE189" t="str">
        <f>IFERROR(INDEX(diakadat!$W$2:$W$50,MATCH(D189,diakadat!$J$2:$J$50),1),"")</f>
        <v/>
      </c>
      <c r="AF189">
        <v>1119</v>
      </c>
      <c r="AG189" t="s">
        <v>912</v>
      </c>
      <c r="AH189" t="s">
        <v>1366</v>
      </c>
      <c r="AI189" t="str">
        <f>IFERROR(INDEX(diakadat!$X$2:$X$50,MATCH(D189,diakadat!$J$2:$J$50),1),"")</f>
        <v/>
      </c>
      <c r="AK189">
        <f t="shared" si="2"/>
        <v>329</v>
      </c>
      <c r="AL189" t="str" cm="1">
        <f t="array" ref="AL189">ElsoBetuNagy(R189)</f>
        <v/>
      </c>
      <c r="AO189" t="str" cm="1">
        <f t="array" ref="AO189">DatumSzovegge5(AN189)</f>
        <v>1899.</v>
      </c>
      <c r="AP189" t="str" cm="1">
        <f t="array" ref="AP189">DatumSzovegge3(AN189)</f>
        <v>december</v>
      </c>
      <c r="AQ189" t="str" cm="1">
        <f t="array" ref="AQ189">DatumSzovegge4(AN189)</f>
        <v>30.</v>
      </c>
    </row>
    <row r="190" spans="4:43" x14ac:dyDescent="0.25">
      <c r="D190" t="str" cm="1">
        <f t="array" ref="D190">SzuressNev($B$1,ROW()-1)</f>
        <v/>
      </c>
      <c r="E190">
        <f>COUNTIF($D$2:D190,D190)</f>
        <v>169</v>
      </c>
      <c r="F190" t="str" cm="1">
        <f t="array" ref="F190">ElutasitasEgyOk2(D190,E190)</f>
        <v/>
      </c>
      <c r="G190" t="str">
        <f>IFERROR(INDEX(diakadat!$I$2:$I$50,MATCH(D190,diakadat!$J$2:$J$50,0),1),"")</f>
        <v/>
      </c>
      <c r="H190" t="str">
        <f>IFERROR(INDEX(diakadat!$O$2:$O$50,MATCH(D190,diakadat!$J$2:$J$50,0),1),"")</f>
        <v/>
      </c>
      <c r="I190" t="str">
        <f>IFERROR(INDEX(diakadat!#REF!,MATCH(D190,diakadat!$J$2:$J$50,0),1),"")</f>
        <v/>
      </c>
      <c r="J190" t="str">
        <f>IFERROR(INDEX(diakadat!$K$2:$K$50,MATCH(D190,diakadat!$J$2:$J$50,0),1),"")</f>
        <v/>
      </c>
      <c r="K190" t="str" cm="1">
        <f t="array" ref="K190">IFERROR(DatumSzovegge2(INDEX(diakadat!$L$2:$L$50,MATCH(D190,diakadat!$J$2:$J$50,0),1)),"")</f>
        <v/>
      </c>
      <c r="L190" t="str" cm="1">
        <f t="array" ref="L190">IFERROR(DatumSzovegge5(INDEX(diakadat!$L$2:$L$50,MATCH(D190,diakadat!$J$2:$J$50,0),1)),"")</f>
        <v/>
      </c>
      <c r="M190" t="str" cm="1">
        <f t="array" ref="M190">IFERROR(DatumSzovegge3(INDEX(diakadat!$L$2:$L$50,MATCH(D190,diakadat!$J$2:$J$50,0),1)),"")</f>
        <v/>
      </c>
      <c r="N190" t="str" cm="1">
        <f t="array" ref="N190">IFERROR(DatumSzovegge4(INDEX(diakadat!$L$2:$L$50,MATCH(D190,diakadat!$J$2:$J$50,0),1)),"")</f>
        <v/>
      </c>
      <c r="O190" t="str">
        <f>IFERROR(INDEX(diakadat!$R$2:$R$50,MATCH(D190,diakadat!$J$2:$J$50,0),1),"")</f>
        <v/>
      </c>
      <c r="P190" t="str">
        <f>IFERROR(INDEX(diakadat!$AI$2:$AI$50,MATCH(D190,diakadat!$J$2:$J$50,0),1),"")</f>
        <v/>
      </c>
      <c r="Q190" t="str">
        <f>IFERROR(INDEX('rangsor'!$C$2:$C$343,MATCH(D190,'rangsor'!$A$2:$A$343,0),1),"")</f>
        <v/>
      </c>
      <c r="T190" t="s">
        <v>831</v>
      </c>
      <c r="U190" t="str" cm="1">
        <f t="array" ref="U190">Határozat(D190)</f>
        <v/>
      </c>
      <c r="AC190" t="str">
        <f>IFERROR(INDEX(diakadat!$U$2:$U$50,MATCH(D190,diakadat!$J$2:$J$50),1),"")</f>
        <v/>
      </c>
      <c r="AD190" t="str">
        <f>IFERROR(INDEX(diakadat!$V$2:$V$50,MATCH(D190,diakadat!$J$2:$J$50),1),"")</f>
        <v/>
      </c>
      <c r="AE190" t="str">
        <f>IFERROR(INDEX(diakadat!$W$2:$W$50,MATCH(D190,diakadat!$J$2:$J$50),1),"")</f>
        <v/>
      </c>
      <c r="AF190">
        <v>1023</v>
      </c>
      <c r="AG190" t="s">
        <v>912</v>
      </c>
      <c r="AH190" t="s">
        <v>1367</v>
      </c>
      <c r="AI190" t="str">
        <f>IFERROR(INDEX(diakadat!$X$2:$X$50,MATCH(D190,diakadat!$J$2:$J$50),1),"")</f>
        <v/>
      </c>
      <c r="AK190">
        <f t="shared" si="2"/>
        <v>329</v>
      </c>
      <c r="AL190" t="str" cm="1">
        <f t="array" ref="AL190">ElsoBetuNagy(R190)</f>
        <v/>
      </c>
      <c r="AO190" t="str" cm="1">
        <f t="array" ref="AO190">DatumSzovegge5(AN190)</f>
        <v>1899.</v>
      </c>
      <c r="AP190" t="str" cm="1">
        <f t="array" ref="AP190">DatumSzovegge3(AN190)</f>
        <v>december</v>
      </c>
      <c r="AQ190" t="str" cm="1">
        <f t="array" ref="AQ190">DatumSzovegge4(AN190)</f>
        <v>30.</v>
      </c>
    </row>
    <row r="191" spans="4:43" x14ac:dyDescent="0.25">
      <c r="D191" t="str" cm="1">
        <f t="array" ref="D191">SzuressNev($B$1,ROW()-1)</f>
        <v/>
      </c>
      <c r="E191">
        <f>COUNTIF($D$2:D191,D191)</f>
        <v>170</v>
      </c>
      <c r="F191" t="str" cm="1">
        <f t="array" ref="F191">ElutasitasEgyOk2(D191,E191)</f>
        <v/>
      </c>
      <c r="G191" t="str">
        <f>IFERROR(INDEX(diakadat!$I$2:$I$50,MATCH(D191,diakadat!$J$2:$J$50,0),1),"")</f>
        <v/>
      </c>
      <c r="H191" t="str">
        <f>IFERROR(INDEX(diakadat!$O$2:$O$50,MATCH(D191,diakadat!$J$2:$J$50,0),1),"")</f>
        <v/>
      </c>
      <c r="I191" t="str">
        <f>IFERROR(INDEX(diakadat!#REF!,MATCH(D191,diakadat!$J$2:$J$50,0),1),"")</f>
        <v/>
      </c>
      <c r="J191" t="str">
        <f>IFERROR(INDEX(diakadat!$K$2:$K$50,MATCH(D191,diakadat!$J$2:$J$50,0),1),"")</f>
        <v/>
      </c>
      <c r="K191" t="str" cm="1">
        <f t="array" ref="K191">IFERROR(DatumSzovegge2(INDEX(diakadat!$L$2:$L$50,MATCH(D191,diakadat!$J$2:$J$50,0),1)),"")</f>
        <v/>
      </c>
      <c r="L191" t="str" cm="1">
        <f t="array" ref="L191">IFERROR(DatumSzovegge5(INDEX(diakadat!$L$2:$L$50,MATCH(D191,diakadat!$J$2:$J$50,0),1)),"")</f>
        <v/>
      </c>
      <c r="M191" t="str" cm="1">
        <f t="array" ref="M191">IFERROR(DatumSzovegge3(INDEX(diakadat!$L$2:$L$50,MATCH(D191,diakadat!$J$2:$J$50,0),1)),"")</f>
        <v/>
      </c>
      <c r="N191" t="str" cm="1">
        <f t="array" ref="N191">IFERROR(DatumSzovegge4(INDEX(diakadat!$L$2:$L$50,MATCH(D191,diakadat!$J$2:$J$50,0),1)),"")</f>
        <v/>
      </c>
      <c r="O191" t="str">
        <f>IFERROR(INDEX(diakadat!$R$2:$R$50,MATCH(D191,diakadat!$J$2:$J$50,0),1),"")</f>
        <v/>
      </c>
      <c r="P191" t="str">
        <f>IFERROR(INDEX(diakadat!$AI$2:$AI$50,MATCH(D191,diakadat!$J$2:$J$50,0),1),"")</f>
        <v/>
      </c>
      <c r="Q191" t="str">
        <f>IFERROR(INDEX('rangsor'!$C$2:$C$343,MATCH(D191,'rangsor'!$A$2:$A$343,0),1),"")</f>
        <v/>
      </c>
      <c r="T191" t="s">
        <v>831</v>
      </c>
      <c r="U191" t="str" cm="1">
        <f t="array" ref="U191">Határozat(D191)</f>
        <v/>
      </c>
      <c r="AC191" t="str">
        <f>IFERROR(INDEX(diakadat!$U$2:$U$50,MATCH(D191,diakadat!$J$2:$J$50),1),"")</f>
        <v/>
      </c>
      <c r="AD191" t="str">
        <f>IFERROR(INDEX(diakadat!$V$2:$V$50,MATCH(D191,diakadat!$J$2:$J$50),1),"")</f>
        <v/>
      </c>
      <c r="AE191" t="str">
        <f>IFERROR(INDEX(diakadat!$W$2:$W$50,MATCH(D191,diakadat!$J$2:$J$50),1),"")</f>
        <v/>
      </c>
      <c r="AF191">
        <v>1089</v>
      </c>
      <c r="AG191" t="s">
        <v>912</v>
      </c>
      <c r="AH191" t="s">
        <v>1368</v>
      </c>
      <c r="AI191" t="str">
        <f>IFERROR(INDEX(diakadat!$X$2:$X$50,MATCH(D191,diakadat!$J$2:$J$50),1),"")</f>
        <v/>
      </c>
      <c r="AK191">
        <f t="shared" si="2"/>
        <v>329</v>
      </c>
      <c r="AL191" t="str" cm="1">
        <f t="array" ref="AL191">ElsoBetuNagy(R191)</f>
        <v/>
      </c>
      <c r="AO191" t="str" cm="1">
        <f t="array" ref="AO191">DatumSzovegge5(AN191)</f>
        <v>1899.</v>
      </c>
      <c r="AP191" t="str" cm="1">
        <f t="array" ref="AP191">DatumSzovegge3(AN191)</f>
        <v>december</v>
      </c>
      <c r="AQ191" t="str" cm="1">
        <f t="array" ref="AQ191">DatumSzovegge4(AN191)</f>
        <v>30.</v>
      </c>
    </row>
    <row r="192" spans="4:43" x14ac:dyDescent="0.25">
      <c r="D192" t="str" cm="1">
        <f t="array" ref="D192">SzuressNev($B$1,ROW()-1)</f>
        <v/>
      </c>
      <c r="E192">
        <f>COUNTIF($D$2:D192,D192)</f>
        <v>171</v>
      </c>
      <c r="F192" t="str" cm="1">
        <f t="array" ref="F192">ElutasitasEgyOk2(D192,E192)</f>
        <v/>
      </c>
      <c r="G192" t="str">
        <f>IFERROR(INDEX(diakadat!$I$2:$I$50,MATCH(D192,diakadat!$J$2:$J$50,0),1),"")</f>
        <v/>
      </c>
      <c r="H192" t="str">
        <f>IFERROR(INDEX(diakadat!$O$2:$O$50,MATCH(D192,diakadat!$J$2:$J$50,0),1),"")</f>
        <v/>
      </c>
      <c r="I192" t="str">
        <f>IFERROR(INDEX(diakadat!#REF!,MATCH(D192,diakadat!$J$2:$J$50,0),1),"")</f>
        <v/>
      </c>
      <c r="J192" t="str">
        <f>IFERROR(INDEX(diakadat!$K$2:$K$50,MATCH(D192,diakadat!$J$2:$J$50,0),1),"")</f>
        <v/>
      </c>
      <c r="K192" t="str" cm="1">
        <f t="array" ref="K192">IFERROR(DatumSzovegge2(INDEX(diakadat!$L$2:$L$50,MATCH(D192,diakadat!$J$2:$J$50,0),1)),"")</f>
        <v/>
      </c>
      <c r="L192" t="str" cm="1">
        <f t="array" ref="L192">IFERROR(DatumSzovegge5(INDEX(diakadat!$L$2:$L$50,MATCH(D192,diakadat!$J$2:$J$50,0),1)),"")</f>
        <v/>
      </c>
      <c r="M192" t="str" cm="1">
        <f t="array" ref="M192">IFERROR(DatumSzovegge3(INDEX(diakadat!$L$2:$L$50,MATCH(D192,diakadat!$J$2:$J$50,0),1)),"")</f>
        <v/>
      </c>
      <c r="N192" t="str" cm="1">
        <f t="array" ref="N192">IFERROR(DatumSzovegge4(INDEX(diakadat!$L$2:$L$50,MATCH(D192,diakadat!$J$2:$J$50,0),1)),"")</f>
        <v/>
      </c>
      <c r="O192" t="str">
        <f>IFERROR(INDEX(diakadat!$R$2:$R$50,MATCH(D192,diakadat!$J$2:$J$50,0),1),"")</f>
        <v/>
      </c>
      <c r="P192" t="str">
        <f>IFERROR(INDEX(diakadat!$AI$2:$AI$50,MATCH(D192,diakadat!$J$2:$J$50,0),1),"")</f>
        <v/>
      </c>
      <c r="Q192" t="str">
        <f>IFERROR(INDEX('rangsor'!$C$2:$C$343,MATCH(D192,'rangsor'!$A$2:$A$343,0),1),"")</f>
        <v/>
      </c>
      <c r="T192" t="s">
        <v>831</v>
      </c>
      <c r="U192" t="str" cm="1">
        <f t="array" ref="U192">Határozat(D192)</f>
        <v/>
      </c>
      <c r="AC192" t="str">
        <f>IFERROR(INDEX(diakadat!$U$2:$U$50,MATCH(D192,diakadat!$J$2:$J$50),1),"")</f>
        <v/>
      </c>
      <c r="AD192" t="str">
        <f>IFERROR(INDEX(diakadat!$V$2:$V$50,MATCH(D192,diakadat!$J$2:$J$50),1),"")</f>
        <v/>
      </c>
      <c r="AE192" t="str">
        <f>IFERROR(INDEX(diakadat!$W$2:$W$50,MATCH(D192,diakadat!$J$2:$J$50),1),"")</f>
        <v/>
      </c>
      <c r="AF192">
        <v>1122</v>
      </c>
      <c r="AG192" t="s">
        <v>912</v>
      </c>
      <c r="AH192" t="s">
        <v>1369</v>
      </c>
      <c r="AI192" t="str">
        <f>IFERROR(INDEX(diakadat!$X$2:$X$50,MATCH(D192,diakadat!$J$2:$J$50),1),"")</f>
        <v/>
      </c>
      <c r="AK192">
        <f t="shared" si="2"/>
        <v>329</v>
      </c>
      <c r="AL192" t="str" cm="1">
        <f t="array" ref="AL192">ElsoBetuNagy(R192)</f>
        <v/>
      </c>
      <c r="AO192" t="str" cm="1">
        <f t="array" ref="AO192">DatumSzovegge5(AN192)</f>
        <v>1899.</v>
      </c>
      <c r="AP192" t="str" cm="1">
        <f t="array" ref="AP192">DatumSzovegge3(AN192)</f>
        <v>december</v>
      </c>
      <c r="AQ192" t="str" cm="1">
        <f t="array" ref="AQ192">DatumSzovegge4(AN192)</f>
        <v>30.</v>
      </c>
    </row>
    <row r="193" spans="4:43" x14ac:dyDescent="0.25">
      <c r="D193" t="str" cm="1">
        <f t="array" ref="D193">SzuressNev($B$1,ROW()-1)</f>
        <v/>
      </c>
      <c r="E193">
        <f>COUNTIF($D$2:D193,D193)</f>
        <v>172</v>
      </c>
      <c r="F193" t="str" cm="1">
        <f t="array" ref="F193">ElutasitasEgyOk2(D193,E193)</f>
        <v/>
      </c>
      <c r="G193" t="str">
        <f>IFERROR(INDEX(diakadat!$I$2:$I$50,MATCH(D193,diakadat!$J$2:$J$50,0),1),"")</f>
        <v/>
      </c>
      <c r="H193" t="str">
        <f>IFERROR(INDEX(diakadat!$O$2:$O$50,MATCH(D193,diakadat!$J$2:$J$50,0),1),"")</f>
        <v/>
      </c>
      <c r="I193" t="str">
        <f>IFERROR(INDEX(diakadat!#REF!,MATCH(D193,diakadat!$J$2:$J$50,0),1),"")</f>
        <v/>
      </c>
      <c r="J193" t="str">
        <f>IFERROR(INDEX(diakadat!$K$2:$K$50,MATCH(D193,diakadat!$J$2:$J$50,0),1),"")</f>
        <v/>
      </c>
      <c r="K193" t="str" cm="1">
        <f t="array" ref="K193">IFERROR(DatumSzovegge2(INDEX(diakadat!$L$2:$L$50,MATCH(D193,diakadat!$J$2:$J$50,0),1)),"")</f>
        <v/>
      </c>
      <c r="L193" t="str" cm="1">
        <f t="array" ref="L193">IFERROR(DatumSzovegge5(INDEX(diakadat!$L$2:$L$50,MATCH(D193,diakadat!$J$2:$J$50,0),1)),"")</f>
        <v/>
      </c>
      <c r="M193" t="str" cm="1">
        <f t="array" ref="M193">IFERROR(DatumSzovegge3(INDEX(diakadat!$L$2:$L$50,MATCH(D193,diakadat!$J$2:$J$50,0),1)),"")</f>
        <v/>
      </c>
      <c r="N193" t="str" cm="1">
        <f t="array" ref="N193">IFERROR(DatumSzovegge4(INDEX(diakadat!$L$2:$L$50,MATCH(D193,diakadat!$J$2:$J$50,0),1)),"")</f>
        <v/>
      </c>
      <c r="O193" t="str">
        <f>IFERROR(INDEX(diakadat!$R$2:$R$50,MATCH(D193,diakadat!$J$2:$J$50,0),1),"")</f>
        <v/>
      </c>
      <c r="P193" t="str">
        <f>IFERROR(INDEX(diakadat!$AI$2:$AI$50,MATCH(D193,diakadat!$J$2:$J$50,0),1),"")</f>
        <v/>
      </c>
      <c r="Q193" t="str">
        <f>IFERROR(INDEX('rangsor'!$C$2:$C$343,MATCH(D193,'rangsor'!$A$2:$A$343,0),1),"")</f>
        <v/>
      </c>
      <c r="T193" t="s">
        <v>831</v>
      </c>
      <c r="U193" t="str" cm="1">
        <f t="array" ref="U193">Határozat(D193)</f>
        <v/>
      </c>
      <c r="AC193" t="str">
        <f>IFERROR(INDEX(diakadat!$U$2:$U$50,MATCH(D193,diakadat!$J$2:$J$50),1),"")</f>
        <v/>
      </c>
      <c r="AD193" t="str">
        <f>IFERROR(INDEX(diakadat!$V$2:$V$50,MATCH(D193,diakadat!$J$2:$J$50),1),"")</f>
        <v/>
      </c>
      <c r="AE193" t="str">
        <f>IFERROR(INDEX(diakadat!$W$2:$W$50,MATCH(D193,diakadat!$J$2:$J$50),1),"")</f>
        <v/>
      </c>
      <c r="AF193">
        <v>1125</v>
      </c>
      <c r="AG193" t="s">
        <v>912</v>
      </c>
      <c r="AH193" t="s">
        <v>1370</v>
      </c>
      <c r="AI193" t="str">
        <f>IFERROR(INDEX(diakadat!$X$2:$X$50,MATCH(D193,diakadat!$J$2:$J$50),1),"")</f>
        <v/>
      </c>
      <c r="AK193">
        <f t="shared" si="2"/>
        <v>329</v>
      </c>
      <c r="AL193" t="str" cm="1">
        <f t="array" ref="AL193">ElsoBetuNagy(R193)</f>
        <v/>
      </c>
      <c r="AO193" t="str" cm="1">
        <f t="array" ref="AO193">DatumSzovegge5(AN193)</f>
        <v>1899.</v>
      </c>
      <c r="AP193" t="str" cm="1">
        <f t="array" ref="AP193">DatumSzovegge3(AN193)</f>
        <v>december</v>
      </c>
      <c r="AQ193" t="str" cm="1">
        <f t="array" ref="AQ193">DatumSzovegge4(AN193)</f>
        <v>30.</v>
      </c>
    </row>
    <row r="194" spans="4:43" x14ac:dyDescent="0.25">
      <c r="D194" t="str" cm="1">
        <f t="array" ref="D194">SzuressNev($B$1,ROW()-1)</f>
        <v/>
      </c>
      <c r="E194">
        <f>COUNTIF($D$2:D194,D194)</f>
        <v>173</v>
      </c>
      <c r="F194" t="str" cm="1">
        <f t="array" ref="F194">ElutasitasEgyOk2(D194,E194)</f>
        <v/>
      </c>
      <c r="G194" t="str">
        <f>IFERROR(INDEX(diakadat!$I$2:$I$50,MATCH(D194,diakadat!$J$2:$J$50,0),1),"")</f>
        <v/>
      </c>
      <c r="H194" t="str">
        <f>IFERROR(INDEX(diakadat!$O$2:$O$50,MATCH(D194,diakadat!$J$2:$J$50,0),1),"")</f>
        <v/>
      </c>
      <c r="I194" t="str">
        <f>IFERROR(INDEX(diakadat!#REF!,MATCH(D194,diakadat!$J$2:$J$50,0),1),"")</f>
        <v/>
      </c>
      <c r="J194" t="str">
        <f>IFERROR(INDEX(diakadat!$K$2:$K$50,MATCH(D194,diakadat!$J$2:$J$50,0),1),"")</f>
        <v/>
      </c>
      <c r="K194" t="str" cm="1">
        <f t="array" ref="K194">IFERROR(DatumSzovegge2(INDEX(diakadat!$L$2:$L$50,MATCH(D194,diakadat!$J$2:$J$50,0),1)),"")</f>
        <v/>
      </c>
      <c r="L194" t="str" cm="1">
        <f t="array" ref="L194">IFERROR(DatumSzovegge5(INDEX(diakadat!$L$2:$L$50,MATCH(D194,diakadat!$J$2:$J$50,0),1)),"")</f>
        <v/>
      </c>
      <c r="M194" t="str" cm="1">
        <f t="array" ref="M194">IFERROR(DatumSzovegge3(INDEX(diakadat!$L$2:$L$50,MATCH(D194,diakadat!$J$2:$J$50,0),1)),"")</f>
        <v/>
      </c>
      <c r="N194" t="str" cm="1">
        <f t="array" ref="N194">IFERROR(DatumSzovegge4(INDEX(diakadat!$L$2:$L$50,MATCH(D194,diakadat!$J$2:$J$50,0),1)),"")</f>
        <v/>
      </c>
      <c r="O194" t="str">
        <f>IFERROR(INDEX(diakadat!$R$2:$R$50,MATCH(D194,diakadat!$J$2:$J$50,0),1),"")</f>
        <v/>
      </c>
      <c r="P194" t="str">
        <f>IFERROR(INDEX(diakadat!$AI$2:$AI$50,MATCH(D194,diakadat!$J$2:$J$50,0),1),"")</f>
        <v/>
      </c>
      <c r="Q194" t="str">
        <f>IFERROR(INDEX('rangsor'!$C$2:$C$343,MATCH(D194,'rangsor'!$A$2:$A$343,0),1),"")</f>
        <v/>
      </c>
      <c r="T194" t="s">
        <v>831</v>
      </c>
      <c r="U194" t="str" cm="1">
        <f t="array" ref="U194">Határozat(D194)</f>
        <v/>
      </c>
      <c r="AC194" t="str">
        <f>IFERROR(INDEX(diakadat!$U$2:$U$50,MATCH(D194,diakadat!$J$2:$J$50),1),"")</f>
        <v/>
      </c>
      <c r="AD194" t="str">
        <f>IFERROR(INDEX(diakadat!$V$2:$V$50,MATCH(D194,diakadat!$J$2:$J$50),1),"")</f>
        <v/>
      </c>
      <c r="AE194" t="str">
        <f>IFERROR(INDEX(diakadat!$W$2:$W$50,MATCH(D194,diakadat!$J$2:$J$50),1),"")</f>
        <v/>
      </c>
      <c r="AF194">
        <v>2045</v>
      </c>
      <c r="AG194" t="s">
        <v>1169</v>
      </c>
      <c r="AH194" t="s">
        <v>1371</v>
      </c>
      <c r="AI194" t="str">
        <f>IFERROR(INDEX(diakadat!$X$2:$X$50,MATCH(D194,diakadat!$J$2:$J$50),1),"")</f>
        <v/>
      </c>
      <c r="AK194">
        <f t="shared" ref="AK194:AK257" si="3">COUNTIF($AD$2:$AD$350,AD194)</f>
        <v>329</v>
      </c>
      <c r="AL194" t="str" cm="1">
        <f t="array" ref="AL194">ElsoBetuNagy(R194)</f>
        <v/>
      </c>
      <c r="AO194" t="str" cm="1">
        <f t="array" ref="AO194">DatumSzovegge5(AN194)</f>
        <v>1899.</v>
      </c>
      <c r="AP194" t="str" cm="1">
        <f t="array" ref="AP194">DatumSzovegge3(AN194)</f>
        <v>december</v>
      </c>
      <c r="AQ194" t="str" cm="1">
        <f t="array" ref="AQ194">DatumSzovegge4(AN194)</f>
        <v>30.</v>
      </c>
    </row>
    <row r="195" spans="4:43" x14ac:dyDescent="0.25">
      <c r="D195" t="str" cm="1">
        <f t="array" ref="D195">SzuressNev($B$1,ROW()-1)</f>
        <v/>
      </c>
      <c r="E195">
        <f>COUNTIF($D$2:D195,D195)</f>
        <v>174</v>
      </c>
      <c r="F195" t="str" cm="1">
        <f t="array" ref="F195">ElutasitasEgyOk2(D195,E195)</f>
        <v/>
      </c>
      <c r="G195" t="str">
        <f>IFERROR(INDEX(diakadat!$I$2:$I$50,MATCH(D195,diakadat!$J$2:$J$50,0),1),"")</f>
        <v/>
      </c>
      <c r="H195" t="str">
        <f>IFERROR(INDEX(diakadat!$O$2:$O$50,MATCH(D195,diakadat!$J$2:$J$50,0),1),"")</f>
        <v/>
      </c>
      <c r="I195" t="str">
        <f>IFERROR(INDEX(diakadat!#REF!,MATCH(D195,diakadat!$J$2:$J$50,0),1),"")</f>
        <v/>
      </c>
      <c r="J195" t="str">
        <f>IFERROR(INDEX(diakadat!$K$2:$K$50,MATCH(D195,diakadat!$J$2:$J$50,0),1),"")</f>
        <v/>
      </c>
      <c r="K195" t="str" cm="1">
        <f t="array" ref="K195">IFERROR(DatumSzovegge2(INDEX(diakadat!$L$2:$L$50,MATCH(D195,diakadat!$J$2:$J$50,0),1)),"")</f>
        <v/>
      </c>
      <c r="L195" t="str" cm="1">
        <f t="array" ref="L195">IFERROR(DatumSzovegge5(INDEX(diakadat!$L$2:$L$50,MATCH(D195,diakadat!$J$2:$J$50,0),1)),"")</f>
        <v/>
      </c>
      <c r="M195" t="str" cm="1">
        <f t="array" ref="M195">IFERROR(DatumSzovegge3(INDEX(diakadat!$L$2:$L$50,MATCH(D195,diakadat!$J$2:$J$50,0),1)),"")</f>
        <v/>
      </c>
      <c r="N195" t="str" cm="1">
        <f t="array" ref="N195">IFERROR(DatumSzovegge4(INDEX(diakadat!$L$2:$L$50,MATCH(D195,diakadat!$J$2:$J$50,0),1)),"")</f>
        <v/>
      </c>
      <c r="O195" t="str">
        <f>IFERROR(INDEX(diakadat!$R$2:$R$50,MATCH(D195,diakadat!$J$2:$J$50,0),1),"")</f>
        <v/>
      </c>
      <c r="P195" t="str">
        <f>IFERROR(INDEX(diakadat!$AI$2:$AI$50,MATCH(D195,diakadat!$J$2:$J$50,0),1),"")</f>
        <v/>
      </c>
      <c r="Q195" t="str">
        <f>IFERROR(INDEX('rangsor'!$C$2:$C$343,MATCH(D195,'rangsor'!$A$2:$A$343,0),1),"")</f>
        <v/>
      </c>
      <c r="T195" t="s">
        <v>831</v>
      </c>
      <c r="U195" t="str" cm="1">
        <f t="array" ref="U195">Határozat(D195)</f>
        <v/>
      </c>
      <c r="AC195" t="str">
        <f>IFERROR(INDEX(diakadat!$U$2:$U$50,MATCH(D195,diakadat!$J$2:$J$50),1),"")</f>
        <v/>
      </c>
      <c r="AD195" t="str">
        <f>IFERROR(INDEX(diakadat!$V$2:$V$50,MATCH(D195,diakadat!$J$2:$J$50),1),"")</f>
        <v/>
      </c>
      <c r="AE195" t="str">
        <f>IFERROR(INDEX(diakadat!$W$2:$W$50,MATCH(D195,diakadat!$J$2:$J$50),1),"")</f>
        <v/>
      </c>
      <c r="AF195">
        <v>1121</v>
      </c>
      <c r="AG195" t="s">
        <v>912</v>
      </c>
      <c r="AH195" t="s">
        <v>1372</v>
      </c>
      <c r="AI195" t="str">
        <f>IFERROR(INDEX(diakadat!$X$2:$X$50,MATCH(D195,diakadat!$J$2:$J$50),1),"")</f>
        <v/>
      </c>
      <c r="AK195">
        <f t="shared" si="3"/>
        <v>329</v>
      </c>
      <c r="AL195" t="str" cm="1">
        <f t="array" ref="AL195">ElsoBetuNagy(R195)</f>
        <v/>
      </c>
      <c r="AO195" t="str" cm="1">
        <f t="array" ref="AO195">DatumSzovegge5(AN195)</f>
        <v>1899.</v>
      </c>
      <c r="AP195" t="str" cm="1">
        <f t="array" ref="AP195">DatumSzovegge3(AN195)</f>
        <v>december</v>
      </c>
      <c r="AQ195" t="str" cm="1">
        <f t="array" ref="AQ195">DatumSzovegge4(AN195)</f>
        <v>30.</v>
      </c>
    </row>
    <row r="196" spans="4:43" x14ac:dyDescent="0.25">
      <c r="D196" t="str" cm="1">
        <f t="array" ref="D196">SzuressNev($B$1,ROW()-1)</f>
        <v/>
      </c>
      <c r="E196">
        <f>COUNTIF($D$2:D196,D196)</f>
        <v>175</v>
      </c>
      <c r="F196" t="str" cm="1">
        <f t="array" ref="F196">ElutasitasEgyOk2(D196,E196)</f>
        <v/>
      </c>
      <c r="G196" t="str">
        <f>IFERROR(INDEX(diakadat!$I$2:$I$50,MATCH(D196,diakadat!$J$2:$J$50,0),1),"")</f>
        <v/>
      </c>
      <c r="H196" t="str">
        <f>IFERROR(INDEX(diakadat!$O$2:$O$50,MATCH(D196,diakadat!$J$2:$J$50,0),1),"")</f>
        <v/>
      </c>
      <c r="I196" t="str">
        <f>IFERROR(INDEX(diakadat!#REF!,MATCH(D196,diakadat!$J$2:$J$50,0),1),"")</f>
        <v/>
      </c>
      <c r="J196" t="str">
        <f>IFERROR(INDEX(diakadat!$K$2:$K$50,MATCH(D196,diakadat!$J$2:$J$50,0),1),"")</f>
        <v/>
      </c>
      <c r="K196" t="str" cm="1">
        <f t="array" ref="K196">IFERROR(DatumSzovegge2(INDEX(diakadat!$L$2:$L$50,MATCH(D196,diakadat!$J$2:$J$50,0),1)),"")</f>
        <v/>
      </c>
      <c r="L196" t="str" cm="1">
        <f t="array" ref="L196">IFERROR(DatumSzovegge5(INDEX(diakadat!$L$2:$L$50,MATCH(D196,diakadat!$J$2:$J$50,0),1)),"")</f>
        <v/>
      </c>
      <c r="M196" t="str" cm="1">
        <f t="array" ref="M196">IFERROR(DatumSzovegge3(INDEX(diakadat!$L$2:$L$50,MATCH(D196,diakadat!$J$2:$J$50,0),1)),"")</f>
        <v/>
      </c>
      <c r="N196" t="str" cm="1">
        <f t="array" ref="N196">IFERROR(DatumSzovegge4(INDEX(diakadat!$L$2:$L$50,MATCH(D196,diakadat!$J$2:$J$50,0),1)),"")</f>
        <v/>
      </c>
      <c r="O196" t="str">
        <f>IFERROR(INDEX(diakadat!$R$2:$R$50,MATCH(D196,diakadat!$J$2:$J$50,0),1),"")</f>
        <v/>
      </c>
      <c r="P196" t="str">
        <f>IFERROR(INDEX(diakadat!$AI$2:$AI$50,MATCH(D196,diakadat!$J$2:$J$50,0),1),"")</f>
        <v/>
      </c>
      <c r="Q196" t="str">
        <f>IFERROR(INDEX('rangsor'!$C$2:$C$343,MATCH(D196,'rangsor'!$A$2:$A$343,0),1),"")</f>
        <v/>
      </c>
      <c r="T196" t="s">
        <v>831</v>
      </c>
      <c r="U196" t="str" cm="1">
        <f t="array" ref="U196">Határozat(D196)</f>
        <v/>
      </c>
      <c r="AC196" t="str">
        <f>IFERROR(INDEX(diakadat!$U$2:$U$50,MATCH(D196,diakadat!$J$2:$J$50),1),"")</f>
        <v/>
      </c>
      <c r="AD196" t="str">
        <f>IFERROR(INDEX(diakadat!$V$2:$V$50,MATCH(D196,diakadat!$J$2:$J$50),1),"")</f>
        <v/>
      </c>
      <c r="AE196" t="str">
        <f>IFERROR(INDEX(diakadat!$W$2:$W$50,MATCH(D196,diakadat!$J$2:$J$50),1),"")</f>
        <v/>
      </c>
      <c r="AF196">
        <v>1145</v>
      </c>
      <c r="AG196" t="s">
        <v>912</v>
      </c>
      <c r="AH196" t="s">
        <v>1373</v>
      </c>
      <c r="AI196" t="str">
        <f>IFERROR(INDEX(diakadat!$X$2:$X$50,MATCH(D196,diakadat!$J$2:$J$50),1),"")</f>
        <v/>
      </c>
      <c r="AK196">
        <f t="shared" si="3"/>
        <v>329</v>
      </c>
      <c r="AL196" t="str" cm="1">
        <f t="array" ref="AL196">ElsoBetuNagy(R196)</f>
        <v/>
      </c>
      <c r="AO196" t="str" cm="1">
        <f t="array" ref="AO196">DatumSzovegge5(AN196)</f>
        <v>1899.</v>
      </c>
      <c r="AP196" t="str" cm="1">
        <f t="array" ref="AP196">DatumSzovegge3(AN196)</f>
        <v>december</v>
      </c>
      <c r="AQ196" t="str" cm="1">
        <f t="array" ref="AQ196">DatumSzovegge4(AN196)</f>
        <v>30.</v>
      </c>
    </row>
    <row r="197" spans="4:43" x14ac:dyDescent="0.25">
      <c r="D197" t="str" cm="1">
        <f t="array" ref="D197">SzuressNev($B$1,ROW()-1)</f>
        <v/>
      </c>
      <c r="E197">
        <f>COUNTIF($D$2:D197,D197)</f>
        <v>176</v>
      </c>
      <c r="F197" t="str" cm="1">
        <f t="array" ref="F197">ElutasitasEgyOk2(D197,E197)</f>
        <v/>
      </c>
      <c r="G197" t="str">
        <f>IFERROR(INDEX(diakadat!$I$2:$I$50,MATCH(D197,diakadat!$J$2:$J$50,0),1),"")</f>
        <v/>
      </c>
      <c r="H197" t="str">
        <f>IFERROR(INDEX(diakadat!$O$2:$O$50,MATCH(D197,diakadat!$J$2:$J$50,0),1),"")</f>
        <v/>
      </c>
      <c r="I197" t="str">
        <f>IFERROR(INDEX(diakadat!#REF!,MATCH(D197,diakadat!$J$2:$J$50,0),1),"")</f>
        <v/>
      </c>
      <c r="J197" t="str">
        <f>IFERROR(INDEX(diakadat!$K$2:$K$50,MATCH(D197,diakadat!$J$2:$J$50,0),1),"")</f>
        <v/>
      </c>
      <c r="K197" t="str" cm="1">
        <f t="array" ref="K197">IFERROR(DatumSzovegge2(INDEX(diakadat!$L$2:$L$50,MATCH(D197,diakadat!$J$2:$J$50,0),1)),"")</f>
        <v/>
      </c>
      <c r="L197" t="str" cm="1">
        <f t="array" ref="L197">IFERROR(DatumSzovegge5(INDEX(diakadat!$L$2:$L$50,MATCH(D197,diakadat!$J$2:$J$50,0),1)),"")</f>
        <v/>
      </c>
      <c r="M197" t="str" cm="1">
        <f t="array" ref="M197">IFERROR(DatumSzovegge3(INDEX(diakadat!$L$2:$L$50,MATCH(D197,diakadat!$J$2:$J$50,0),1)),"")</f>
        <v/>
      </c>
      <c r="N197" t="str" cm="1">
        <f t="array" ref="N197">IFERROR(DatumSzovegge4(INDEX(diakadat!$L$2:$L$50,MATCH(D197,diakadat!$J$2:$J$50,0),1)),"")</f>
        <v/>
      </c>
      <c r="O197" t="str">
        <f>IFERROR(INDEX(diakadat!$R$2:$R$50,MATCH(D197,diakadat!$J$2:$J$50,0),1),"")</f>
        <v/>
      </c>
      <c r="P197" t="str">
        <f>IFERROR(INDEX(diakadat!$AI$2:$AI$50,MATCH(D197,diakadat!$J$2:$J$50,0),1),"")</f>
        <v/>
      </c>
      <c r="Q197" t="str">
        <f>IFERROR(INDEX('rangsor'!$C$2:$C$343,MATCH(D197,'rangsor'!$A$2:$A$343,0),1),"")</f>
        <v/>
      </c>
      <c r="T197" t="s">
        <v>831</v>
      </c>
      <c r="U197" t="str" cm="1">
        <f t="array" ref="U197">Határozat(D197)</f>
        <v/>
      </c>
      <c r="AC197" t="str">
        <f>IFERROR(INDEX(diakadat!$U$2:$U$50,MATCH(D197,diakadat!$J$2:$J$50),1),"")</f>
        <v/>
      </c>
      <c r="AD197" t="str">
        <f>IFERROR(INDEX(diakadat!$V$2:$V$50,MATCH(D197,diakadat!$J$2:$J$50),1),"")</f>
        <v/>
      </c>
      <c r="AE197" t="str">
        <f>IFERROR(INDEX(diakadat!$W$2:$W$50,MATCH(D197,diakadat!$J$2:$J$50),1),"")</f>
        <v/>
      </c>
      <c r="AF197">
        <v>1148</v>
      </c>
      <c r="AG197" t="s">
        <v>912</v>
      </c>
      <c r="AH197" t="s">
        <v>1374</v>
      </c>
      <c r="AI197" t="str">
        <f>IFERROR(INDEX(diakadat!$X$2:$X$50,MATCH(D197,diakadat!$J$2:$J$50),1),"")</f>
        <v/>
      </c>
      <c r="AK197">
        <f t="shared" si="3"/>
        <v>329</v>
      </c>
      <c r="AL197" t="str" cm="1">
        <f t="array" ref="AL197">ElsoBetuNagy(R197)</f>
        <v/>
      </c>
      <c r="AO197" t="str" cm="1">
        <f t="array" ref="AO197">DatumSzovegge5(AN197)</f>
        <v>1899.</v>
      </c>
      <c r="AP197" t="str" cm="1">
        <f t="array" ref="AP197">DatumSzovegge3(AN197)</f>
        <v>december</v>
      </c>
      <c r="AQ197" t="str" cm="1">
        <f t="array" ref="AQ197">DatumSzovegge4(AN197)</f>
        <v>30.</v>
      </c>
    </row>
    <row r="198" spans="4:43" x14ac:dyDescent="0.25">
      <c r="D198" t="str" cm="1">
        <f t="array" ref="D198">SzuressNev($B$1,ROW()-1)</f>
        <v/>
      </c>
      <c r="E198">
        <f>COUNTIF($D$2:D198,D198)</f>
        <v>177</v>
      </c>
      <c r="F198" t="str" cm="1">
        <f t="array" ref="F198">ElutasitasEgyOk2(D198,E198)</f>
        <v/>
      </c>
      <c r="G198" t="str">
        <f>IFERROR(INDEX(diakadat!$I$2:$I$50,MATCH(D198,diakadat!$J$2:$J$50,0),1),"")</f>
        <v/>
      </c>
      <c r="H198" t="str">
        <f>IFERROR(INDEX(diakadat!$O$2:$O$50,MATCH(D198,diakadat!$J$2:$J$50,0),1),"")</f>
        <v/>
      </c>
      <c r="I198" t="str">
        <f>IFERROR(INDEX(diakadat!#REF!,MATCH(D198,diakadat!$J$2:$J$50,0),1),"")</f>
        <v/>
      </c>
      <c r="J198" t="str">
        <f>IFERROR(INDEX(diakadat!$K$2:$K$50,MATCH(D198,diakadat!$J$2:$J$50,0),1),"")</f>
        <v/>
      </c>
      <c r="K198" t="str" cm="1">
        <f t="array" ref="K198">IFERROR(DatumSzovegge2(INDEX(diakadat!$L$2:$L$50,MATCH(D198,diakadat!$J$2:$J$50,0),1)),"")</f>
        <v/>
      </c>
      <c r="L198" t="str" cm="1">
        <f t="array" ref="L198">IFERROR(DatumSzovegge5(INDEX(diakadat!$L$2:$L$50,MATCH(D198,diakadat!$J$2:$J$50,0),1)),"")</f>
        <v/>
      </c>
      <c r="M198" t="str" cm="1">
        <f t="array" ref="M198">IFERROR(DatumSzovegge3(INDEX(diakadat!$L$2:$L$50,MATCH(D198,diakadat!$J$2:$J$50,0),1)),"")</f>
        <v/>
      </c>
      <c r="N198" t="str" cm="1">
        <f t="array" ref="N198">IFERROR(DatumSzovegge4(INDEX(diakadat!$L$2:$L$50,MATCH(D198,diakadat!$J$2:$J$50,0),1)),"")</f>
        <v/>
      </c>
      <c r="O198" t="str">
        <f>IFERROR(INDEX(diakadat!$R$2:$R$50,MATCH(D198,diakadat!$J$2:$J$50,0),1),"")</f>
        <v/>
      </c>
      <c r="P198" t="str">
        <f>IFERROR(INDEX(diakadat!$AI$2:$AI$50,MATCH(D198,diakadat!$J$2:$J$50,0),1),"")</f>
        <v/>
      </c>
      <c r="Q198" t="str">
        <f>IFERROR(INDEX('rangsor'!$C$2:$C$343,MATCH(D198,'rangsor'!$A$2:$A$343,0),1),"")</f>
        <v/>
      </c>
      <c r="T198" t="s">
        <v>831</v>
      </c>
      <c r="U198" t="str" cm="1">
        <f t="array" ref="U198">Határozat(D198)</f>
        <v/>
      </c>
      <c r="AC198" t="str">
        <f>IFERROR(INDEX(diakadat!$U$2:$U$50,MATCH(D198,diakadat!$J$2:$J$50),1),"")</f>
        <v/>
      </c>
      <c r="AD198" t="str">
        <f>IFERROR(INDEX(diakadat!$V$2:$V$50,MATCH(D198,diakadat!$J$2:$J$50),1),"")</f>
        <v/>
      </c>
      <c r="AE198" t="str">
        <f>IFERROR(INDEX(diakadat!$W$2:$W$50,MATCH(D198,diakadat!$J$2:$J$50),1),"")</f>
        <v/>
      </c>
      <c r="AF198">
        <v>1149</v>
      </c>
      <c r="AG198" t="s">
        <v>912</v>
      </c>
      <c r="AH198" t="s">
        <v>1375</v>
      </c>
      <c r="AI198" t="str">
        <f>IFERROR(INDEX(diakadat!$X$2:$X$50,MATCH(D198,diakadat!$J$2:$J$50),1),"")</f>
        <v/>
      </c>
      <c r="AK198">
        <f t="shared" si="3"/>
        <v>329</v>
      </c>
      <c r="AL198" t="str" cm="1">
        <f t="array" ref="AL198">ElsoBetuNagy(R198)</f>
        <v/>
      </c>
      <c r="AO198" t="str" cm="1">
        <f t="array" ref="AO198">DatumSzovegge5(AN198)</f>
        <v>1899.</v>
      </c>
      <c r="AP198" t="str" cm="1">
        <f t="array" ref="AP198">DatumSzovegge3(AN198)</f>
        <v>december</v>
      </c>
      <c r="AQ198" t="str" cm="1">
        <f t="array" ref="AQ198">DatumSzovegge4(AN198)</f>
        <v>30.</v>
      </c>
    </row>
    <row r="199" spans="4:43" x14ac:dyDescent="0.25">
      <c r="D199" t="str" cm="1">
        <f t="array" ref="D199">SzuressNev($B$1,ROW()-1)</f>
        <v/>
      </c>
      <c r="E199">
        <f>COUNTIF($D$2:D199,D199)</f>
        <v>178</v>
      </c>
      <c r="F199" t="str" cm="1">
        <f t="array" ref="F199">ElutasitasEgyOk2(D199,E199)</f>
        <v/>
      </c>
      <c r="G199" t="str">
        <f>IFERROR(INDEX(diakadat!$I$2:$I$50,MATCH(D199,diakadat!$J$2:$J$50,0),1),"")</f>
        <v/>
      </c>
      <c r="H199" t="str">
        <f>IFERROR(INDEX(diakadat!$O$2:$O$50,MATCH(D199,diakadat!$J$2:$J$50,0),1),"")</f>
        <v/>
      </c>
      <c r="I199" t="str">
        <f>IFERROR(INDEX(diakadat!#REF!,MATCH(D199,diakadat!$J$2:$J$50,0),1),"")</f>
        <v/>
      </c>
      <c r="J199" t="str">
        <f>IFERROR(INDEX(diakadat!$K$2:$K$50,MATCH(D199,diakadat!$J$2:$J$50,0),1),"")</f>
        <v/>
      </c>
      <c r="K199" t="str" cm="1">
        <f t="array" ref="K199">IFERROR(DatumSzovegge2(INDEX(diakadat!$L$2:$L$50,MATCH(D199,diakadat!$J$2:$J$50,0),1)),"")</f>
        <v/>
      </c>
      <c r="L199" t="str" cm="1">
        <f t="array" ref="L199">IFERROR(DatumSzovegge5(INDEX(diakadat!$L$2:$L$50,MATCH(D199,diakadat!$J$2:$J$50,0),1)),"")</f>
        <v/>
      </c>
      <c r="M199" t="str" cm="1">
        <f t="array" ref="M199">IFERROR(DatumSzovegge3(INDEX(diakadat!$L$2:$L$50,MATCH(D199,diakadat!$J$2:$J$50,0),1)),"")</f>
        <v/>
      </c>
      <c r="N199" t="str" cm="1">
        <f t="array" ref="N199">IFERROR(DatumSzovegge4(INDEX(diakadat!$L$2:$L$50,MATCH(D199,diakadat!$J$2:$J$50,0),1)),"")</f>
        <v/>
      </c>
      <c r="O199" t="str">
        <f>IFERROR(INDEX(diakadat!$R$2:$R$50,MATCH(D199,diakadat!$J$2:$J$50,0),1),"")</f>
        <v/>
      </c>
      <c r="P199" t="str">
        <f>IFERROR(INDEX(diakadat!$AI$2:$AI$50,MATCH(D199,diakadat!$J$2:$J$50,0),1),"")</f>
        <v/>
      </c>
      <c r="Q199" t="str">
        <f>IFERROR(INDEX('rangsor'!$C$2:$C$343,MATCH(D199,'rangsor'!$A$2:$A$343,0),1),"")</f>
        <v/>
      </c>
      <c r="T199" t="s">
        <v>831</v>
      </c>
      <c r="U199" t="str" cm="1">
        <f t="array" ref="U199">Határozat(D199)</f>
        <v/>
      </c>
      <c r="AC199" t="str">
        <f>IFERROR(INDEX(diakadat!$U$2:$U$50,MATCH(D199,diakadat!$J$2:$J$50),1),"")</f>
        <v/>
      </c>
      <c r="AD199" t="str">
        <f>IFERROR(INDEX(diakadat!$V$2:$V$50,MATCH(D199,diakadat!$J$2:$J$50),1),"")</f>
        <v/>
      </c>
      <c r="AE199" t="str">
        <f>IFERROR(INDEX(diakadat!$W$2:$W$50,MATCH(D199,diakadat!$J$2:$J$50),1),"")</f>
        <v/>
      </c>
      <c r="AI199" t="str">
        <f>IFERROR(INDEX(diakadat!$X$2:$X$50,MATCH(D199,diakadat!$J$2:$J$50),1),"")</f>
        <v/>
      </c>
      <c r="AK199">
        <f t="shared" si="3"/>
        <v>329</v>
      </c>
      <c r="AL199" t="str" cm="1">
        <f t="array" ref="AL199">ElsoBetuNagy(R199)</f>
        <v/>
      </c>
      <c r="AO199" t="str" cm="1">
        <f t="array" ref="AO199">DatumSzovegge5(AN199)</f>
        <v>1899.</v>
      </c>
      <c r="AP199" t="str" cm="1">
        <f t="array" ref="AP199">DatumSzovegge3(AN199)</f>
        <v>december</v>
      </c>
      <c r="AQ199" t="str" cm="1">
        <f t="array" ref="AQ199">DatumSzovegge4(AN199)</f>
        <v>30.</v>
      </c>
    </row>
    <row r="200" spans="4:43" x14ac:dyDescent="0.25">
      <c r="D200" t="str" cm="1">
        <f t="array" ref="D200">SzuressNev($B$1,ROW()-1)</f>
        <v/>
      </c>
      <c r="E200">
        <f>COUNTIF($D$2:D200,D200)</f>
        <v>179</v>
      </c>
      <c r="F200" t="str" cm="1">
        <f t="array" ref="F200">ElutasitasEgyOk2(D200,E200)</f>
        <v/>
      </c>
      <c r="G200" t="str">
        <f>IFERROR(INDEX(diakadat!$I$2:$I$50,MATCH(D200,diakadat!$J$2:$J$50,0),1),"")</f>
        <v/>
      </c>
      <c r="H200" t="str">
        <f>IFERROR(INDEX(diakadat!$O$2:$O$50,MATCH(D200,diakadat!$J$2:$J$50,0),1),"")</f>
        <v/>
      </c>
      <c r="I200" t="str">
        <f>IFERROR(INDEX(diakadat!#REF!,MATCH(D200,diakadat!$J$2:$J$50,0),1),"")</f>
        <v/>
      </c>
      <c r="J200" t="str">
        <f>IFERROR(INDEX(diakadat!$K$2:$K$50,MATCH(D200,diakadat!$J$2:$J$50,0),1),"")</f>
        <v/>
      </c>
      <c r="K200" t="str" cm="1">
        <f t="array" ref="K200">IFERROR(DatumSzovegge2(INDEX(diakadat!$L$2:$L$50,MATCH(D200,diakadat!$J$2:$J$50,0),1)),"")</f>
        <v/>
      </c>
      <c r="L200" t="str" cm="1">
        <f t="array" ref="L200">IFERROR(DatumSzovegge5(INDEX(diakadat!$L$2:$L$50,MATCH(D200,diakadat!$J$2:$J$50,0),1)),"")</f>
        <v/>
      </c>
      <c r="M200" t="str" cm="1">
        <f t="array" ref="M200">IFERROR(DatumSzovegge3(INDEX(diakadat!$L$2:$L$50,MATCH(D200,diakadat!$J$2:$J$50,0),1)),"")</f>
        <v/>
      </c>
      <c r="N200" t="str" cm="1">
        <f t="array" ref="N200">IFERROR(DatumSzovegge4(INDEX(diakadat!$L$2:$L$50,MATCH(D200,diakadat!$J$2:$J$50,0),1)),"")</f>
        <v/>
      </c>
      <c r="O200" t="str">
        <f>IFERROR(INDEX(diakadat!$R$2:$R$50,MATCH(D200,diakadat!$J$2:$J$50,0),1),"")</f>
        <v/>
      </c>
      <c r="P200" t="str">
        <f>IFERROR(INDEX(diakadat!$AI$2:$AI$50,MATCH(D200,diakadat!$J$2:$J$50,0),1),"")</f>
        <v/>
      </c>
      <c r="Q200" t="str">
        <f>IFERROR(INDEX('rangsor'!$C$2:$C$343,MATCH(D200,'rangsor'!$A$2:$A$343,0),1),"")</f>
        <v/>
      </c>
      <c r="T200" t="s">
        <v>831</v>
      </c>
      <c r="U200" t="str" cm="1">
        <f t="array" ref="U200">Határozat(D200)</f>
        <v/>
      </c>
      <c r="AC200" t="str">
        <f>IFERROR(INDEX(diakadat!$U$2:$U$50,MATCH(D200,diakadat!$J$2:$J$50),1),"")</f>
        <v/>
      </c>
      <c r="AD200" t="str">
        <f>IFERROR(INDEX(diakadat!$V$2:$V$50,MATCH(D200,diakadat!$J$2:$J$50),1),"")</f>
        <v/>
      </c>
      <c r="AE200" t="str">
        <f>IFERROR(INDEX(diakadat!$W$2:$W$50,MATCH(D200,diakadat!$J$2:$J$50),1),"")</f>
        <v/>
      </c>
      <c r="AI200" t="str">
        <f>IFERROR(INDEX(diakadat!$X$2:$X$50,MATCH(D200,diakadat!$J$2:$J$50),1),"")</f>
        <v/>
      </c>
      <c r="AK200">
        <f t="shared" si="3"/>
        <v>329</v>
      </c>
      <c r="AL200" t="str" cm="1">
        <f t="array" ref="AL200">ElsoBetuNagy(R200)</f>
        <v/>
      </c>
      <c r="AO200" t="str" cm="1">
        <f t="array" ref="AO200">DatumSzovegge5(AN200)</f>
        <v>1899.</v>
      </c>
      <c r="AP200" t="str" cm="1">
        <f t="array" ref="AP200">DatumSzovegge3(AN200)</f>
        <v>december</v>
      </c>
      <c r="AQ200" t="str" cm="1">
        <f t="array" ref="AQ200">DatumSzovegge4(AN200)</f>
        <v>30.</v>
      </c>
    </row>
    <row r="201" spans="4:43" x14ac:dyDescent="0.25">
      <c r="D201" t="str" cm="1">
        <f t="array" ref="D201">SzuressNev($B$1,ROW()-1)</f>
        <v/>
      </c>
      <c r="E201">
        <f>COUNTIF($D$2:D201,D201)</f>
        <v>180</v>
      </c>
      <c r="F201" t="str" cm="1">
        <f t="array" ref="F201">ElutasitasEgyOk2(D201,E201)</f>
        <v/>
      </c>
      <c r="G201" t="str">
        <f>IFERROR(INDEX(diakadat!$I$2:$I$50,MATCH(D201,diakadat!$J$2:$J$50,0),1),"")</f>
        <v/>
      </c>
      <c r="H201" t="str">
        <f>IFERROR(INDEX(diakadat!$O$2:$O$50,MATCH(D201,diakadat!$J$2:$J$50,0),1),"")</f>
        <v/>
      </c>
      <c r="I201" t="str">
        <f>IFERROR(INDEX(diakadat!#REF!,MATCH(D201,diakadat!$J$2:$J$50,0),1),"")</f>
        <v/>
      </c>
      <c r="J201" t="str">
        <f>IFERROR(INDEX(diakadat!$K$2:$K$50,MATCH(D201,diakadat!$J$2:$J$50,0),1),"")</f>
        <v/>
      </c>
      <c r="K201" t="str" cm="1">
        <f t="array" ref="K201">IFERROR(DatumSzovegge2(INDEX(diakadat!$L$2:$L$50,MATCH(D201,diakadat!$J$2:$J$50,0),1)),"")</f>
        <v/>
      </c>
      <c r="L201" t="str" cm="1">
        <f t="array" ref="L201">IFERROR(DatumSzovegge5(INDEX(diakadat!$L$2:$L$50,MATCH(D201,diakadat!$J$2:$J$50,0),1)),"")</f>
        <v/>
      </c>
      <c r="M201" t="str" cm="1">
        <f t="array" ref="M201">IFERROR(DatumSzovegge3(INDEX(diakadat!$L$2:$L$50,MATCH(D201,diakadat!$J$2:$J$50,0),1)),"")</f>
        <v/>
      </c>
      <c r="N201" t="str" cm="1">
        <f t="array" ref="N201">IFERROR(DatumSzovegge4(INDEX(diakadat!$L$2:$L$50,MATCH(D201,diakadat!$J$2:$J$50,0),1)),"")</f>
        <v/>
      </c>
      <c r="O201" t="str">
        <f>IFERROR(INDEX(diakadat!$R$2:$R$50,MATCH(D201,diakadat!$J$2:$J$50,0),1),"")</f>
        <v/>
      </c>
      <c r="P201" t="str">
        <f>IFERROR(INDEX(diakadat!$AI$2:$AI$50,MATCH(D201,diakadat!$J$2:$J$50,0),1),"")</f>
        <v/>
      </c>
      <c r="Q201" t="str">
        <f>IFERROR(INDEX('rangsor'!$C$2:$C$343,MATCH(D201,'rangsor'!$A$2:$A$343,0),1),"")</f>
        <v/>
      </c>
      <c r="T201" t="s">
        <v>831</v>
      </c>
      <c r="U201" t="str" cm="1">
        <f t="array" ref="U201">Határozat(D201)</f>
        <v/>
      </c>
      <c r="AC201" t="str">
        <f>IFERROR(INDEX(diakadat!$U$2:$U$50,MATCH(D201,diakadat!$J$2:$J$50),1),"")</f>
        <v/>
      </c>
      <c r="AD201" t="str">
        <f>IFERROR(INDEX(diakadat!$V$2:$V$50,MATCH(D201,diakadat!$J$2:$J$50),1),"")</f>
        <v/>
      </c>
      <c r="AE201" t="str">
        <f>IFERROR(INDEX(diakadat!$W$2:$W$50,MATCH(D201,diakadat!$J$2:$J$50),1),"")</f>
        <v/>
      </c>
      <c r="AI201" t="str">
        <f>IFERROR(INDEX(diakadat!$X$2:$X$50,MATCH(D201,diakadat!$J$2:$J$50),1),"")</f>
        <v/>
      </c>
      <c r="AK201">
        <f t="shared" si="3"/>
        <v>329</v>
      </c>
      <c r="AL201" t="str" cm="1">
        <f t="array" ref="AL201">ElsoBetuNagy(R201)</f>
        <v/>
      </c>
      <c r="AO201" t="str" cm="1">
        <f t="array" ref="AO201">DatumSzovegge5(AN201)</f>
        <v>1899.</v>
      </c>
      <c r="AP201" t="str" cm="1">
        <f t="array" ref="AP201">DatumSzovegge3(AN201)</f>
        <v>december</v>
      </c>
      <c r="AQ201" t="str" cm="1">
        <f t="array" ref="AQ201">DatumSzovegge4(AN201)</f>
        <v>30.</v>
      </c>
    </row>
    <row r="202" spans="4:43" x14ac:dyDescent="0.25">
      <c r="D202" t="str" cm="1">
        <f t="array" ref="D202">SzuressNev($B$1,ROW()-1)</f>
        <v/>
      </c>
      <c r="E202">
        <f>COUNTIF($D$2:D202,D202)</f>
        <v>181</v>
      </c>
      <c r="F202" t="str" cm="1">
        <f t="array" ref="F202">ElutasitasEgyOk2(D202,E202)</f>
        <v/>
      </c>
      <c r="G202" t="str">
        <f>IFERROR(INDEX(diakadat!$I$2:$I$50,MATCH(D202,diakadat!$J$2:$J$50,0),1),"")</f>
        <v/>
      </c>
      <c r="H202" t="str">
        <f>IFERROR(INDEX(diakadat!$O$2:$O$50,MATCH(D202,diakadat!$J$2:$J$50,0),1),"")</f>
        <v/>
      </c>
      <c r="I202" t="str">
        <f>IFERROR(INDEX(diakadat!#REF!,MATCH(D202,diakadat!$J$2:$J$50,0),1),"")</f>
        <v/>
      </c>
      <c r="J202" t="str">
        <f>IFERROR(INDEX(diakadat!$K$2:$K$50,MATCH(D202,diakadat!$J$2:$J$50,0),1),"")</f>
        <v/>
      </c>
      <c r="K202" t="str" cm="1">
        <f t="array" ref="K202">IFERROR(DatumSzovegge2(INDEX(diakadat!$L$2:$L$50,MATCH(D202,diakadat!$J$2:$J$50,0),1)),"")</f>
        <v/>
      </c>
      <c r="L202" t="str" cm="1">
        <f t="array" ref="L202">IFERROR(DatumSzovegge5(INDEX(diakadat!$L$2:$L$50,MATCH(D202,diakadat!$J$2:$J$50,0),1)),"")</f>
        <v/>
      </c>
      <c r="M202" t="str" cm="1">
        <f t="array" ref="M202">IFERROR(DatumSzovegge3(INDEX(diakadat!$L$2:$L$50,MATCH(D202,diakadat!$J$2:$J$50,0),1)),"")</f>
        <v/>
      </c>
      <c r="N202" t="str" cm="1">
        <f t="array" ref="N202">IFERROR(DatumSzovegge4(INDEX(diakadat!$L$2:$L$50,MATCH(D202,diakadat!$J$2:$J$50,0),1)),"")</f>
        <v/>
      </c>
      <c r="O202" t="str">
        <f>IFERROR(INDEX(diakadat!$R$2:$R$50,MATCH(D202,diakadat!$J$2:$J$50,0),1),"")</f>
        <v/>
      </c>
      <c r="P202" t="str">
        <f>IFERROR(INDEX(diakadat!$AI$2:$AI$50,MATCH(D202,diakadat!$J$2:$J$50,0),1),"")</f>
        <v/>
      </c>
      <c r="Q202" t="str">
        <f>IFERROR(INDEX('rangsor'!$C$2:$C$343,MATCH(D202,'rangsor'!$A$2:$A$343,0),1),"")</f>
        <v/>
      </c>
      <c r="T202" t="s">
        <v>831</v>
      </c>
      <c r="U202" t="str" cm="1">
        <f t="array" ref="U202">Határozat(D202)</f>
        <v/>
      </c>
      <c r="AC202" t="str">
        <f>IFERROR(INDEX(diakadat!$U$2:$U$50,MATCH(D202,diakadat!$J$2:$J$50),1),"")</f>
        <v/>
      </c>
      <c r="AD202" t="str">
        <f>IFERROR(INDEX(diakadat!$V$2:$V$50,MATCH(D202,diakadat!$J$2:$J$50),1),"")</f>
        <v/>
      </c>
      <c r="AE202" t="str">
        <f>IFERROR(INDEX(diakadat!$W$2:$W$50,MATCH(D202,diakadat!$J$2:$J$50),1),"")</f>
        <v/>
      </c>
      <c r="AI202" t="str">
        <f>IFERROR(INDEX(diakadat!$X$2:$X$50,MATCH(D202,diakadat!$J$2:$J$50),1),"")</f>
        <v/>
      </c>
      <c r="AK202">
        <f t="shared" si="3"/>
        <v>329</v>
      </c>
      <c r="AL202" t="str" cm="1">
        <f t="array" ref="AL202">ElsoBetuNagy(R202)</f>
        <v/>
      </c>
      <c r="AO202" t="str" cm="1">
        <f t="array" ref="AO202">DatumSzovegge5(AN202)</f>
        <v>1899.</v>
      </c>
      <c r="AP202" t="str" cm="1">
        <f t="array" ref="AP202">DatumSzovegge3(AN202)</f>
        <v>december</v>
      </c>
      <c r="AQ202" t="str" cm="1">
        <f t="array" ref="AQ202">DatumSzovegge4(AN202)</f>
        <v>30.</v>
      </c>
    </row>
    <row r="203" spans="4:43" x14ac:dyDescent="0.25">
      <c r="D203" t="str" cm="1">
        <f t="array" ref="D203">SzuressNev($B$1,ROW()-1)</f>
        <v/>
      </c>
      <c r="E203">
        <f>COUNTIF($D$2:D203,D203)</f>
        <v>182</v>
      </c>
      <c r="F203" t="str" cm="1">
        <f t="array" ref="F203">ElutasitasEgyOk2(D203,E203)</f>
        <v/>
      </c>
      <c r="G203" t="str">
        <f>IFERROR(INDEX(diakadat!$I$2:$I$50,MATCH(D203,diakadat!$J$2:$J$50,0),1),"")</f>
        <v/>
      </c>
      <c r="H203" t="str">
        <f>IFERROR(INDEX(diakadat!$O$2:$O$50,MATCH(D203,diakadat!$J$2:$J$50,0),1),"")</f>
        <v/>
      </c>
      <c r="I203" t="str">
        <f>IFERROR(INDEX(diakadat!#REF!,MATCH(D203,diakadat!$J$2:$J$50,0),1),"")</f>
        <v/>
      </c>
      <c r="J203" t="str">
        <f>IFERROR(INDEX(diakadat!$K$2:$K$50,MATCH(D203,diakadat!$J$2:$J$50,0),1),"")</f>
        <v/>
      </c>
      <c r="K203" t="str" cm="1">
        <f t="array" ref="K203">IFERROR(DatumSzovegge2(INDEX(diakadat!$L$2:$L$50,MATCH(D203,diakadat!$J$2:$J$50,0),1)),"")</f>
        <v/>
      </c>
      <c r="L203" t="str" cm="1">
        <f t="array" ref="L203">IFERROR(DatumSzovegge5(INDEX(diakadat!$L$2:$L$50,MATCH(D203,diakadat!$J$2:$J$50,0),1)),"")</f>
        <v/>
      </c>
      <c r="M203" t="str" cm="1">
        <f t="array" ref="M203">IFERROR(DatumSzovegge3(INDEX(diakadat!$L$2:$L$50,MATCH(D203,diakadat!$J$2:$J$50,0),1)),"")</f>
        <v/>
      </c>
      <c r="N203" t="str" cm="1">
        <f t="array" ref="N203">IFERROR(DatumSzovegge4(INDEX(diakadat!$L$2:$L$50,MATCH(D203,diakadat!$J$2:$J$50,0),1)),"")</f>
        <v/>
      </c>
      <c r="O203" t="str">
        <f>IFERROR(INDEX(diakadat!$R$2:$R$50,MATCH(D203,diakadat!$J$2:$J$50,0),1),"")</f>
        <v/>
      </c>
      <c r="P203" t="str">
        <f>IFERROR(INDEX(diakadat!$AI$2:$AI$50,MATCH(D203,diakadat!$J$2:$J$50,0),1),"")</f>
        <v/>
      </c>
      <c r="Q203" t="str">
        <f>IFERROR(INDEX('rangsor'!$C$2:$C$343,MATCH(D203,'rangsor'!$A$2:$A$343,0),1),"")</f>
        <v/>
      </c>
      <c r="T203" t="s">
        <v>831</v>
      </c>
      <c r="U203" t="str" cm="1">
        <f t="array" ref="U203">Határozat(D203)</f>
        <v/>
      </c>
      <c r="AC203" t="str">
        <f>IFERROR(INDEX(diakadat!$U$2:$U$50,MATCH(D203,diakadat!$J$2:$J$50),1),"")</f>
        <v/>
      </c>
      <c r="AD203" t="str">
        <f>IFERROR(INDEX(diakadat!$V$2:$V$50,MATCH(D203,diakadat!$J$2:$J$50),1),"")</f>
        <v/>
      </c>
      <c r="AE203" t="str">
        <f>IFERROR(INDEX(diakadat!$W$2:$W$50,MATCH(D203,diakadat!$J$2:$J$50),1),"")</f>
        <v/>
      </c>
      <c r="AI203" t="str">
        <f>IFERROR(INDEX(diakadat!$X$2:$X$50,MATCH(D203,diakadat!$J$2:$J$50),1),"")</f>
        <v/>
      </c>
      <c r="AK203">
        <f t="shared" si="3"/>
        <v>329</v>
      </c>
      <c r="AL203" t="str" cm="1">
        <f t="array" ref="AL203">ElsoBetuNagy(R203)</f>
        <v/>
      </c>
      <c r="AO203" t="str" cm="1">
        <f t="array" ref="AO203">DatumSzovegge5(AN203)</f>
        <v>1899.</v>
      </c>
      <c r="AP203" t="str" cm="1">
        <f t="array" ref="AP203">DatumSzovegge3(AN203)</f>
        <v>december</v>
      </c>
      <c r="AQ203" t="str" cm="1">
        <f t="array" ref="AQ203">DatumSzovegge4(AN203)</f>
        <v>30.</v>
      </c>
    </row>
    <row r="204" spans="4:43" x14ac:dyDescent="0.25">
      <c r="D204" t="str" cm="1">
        <f t="array" ref="D204">SzuressNev($B$1,ROW()-1)</f>
        <v/>
      </c>
      <c r="E204">
        <f>COUNTIF($D$2:D204,D204)</f>
        <v>183</v>
      </c>
      <c r="F204" t="str" cm="1">
        <f t="array" ref="F204">ElutasitasEgyOk2(D204,E204)</f>
        <v/>
      </c>
      <c r="G204" t="str">
        <f>IFERROR(INDEX(diakadat!$I$2:$I$50,MATCH(D204,diakadat!$J$2:$J$50,0),1),"")</f>
        <v/>
      </c>
      <c r="H204" t="str">
        <f>IFERROR(INDEX(diakadat!$O$2:$O$50,MATCH(D204,diakadat!$J$2:$J$50,0),1),"")</f>
        <v/>
      </c>
      <c r="I204" t="str">
        <f>IFERROR(INDEX(diakadat!#REF!,MATCH(D204,diakadat!$J$2:$J$50,0),1),"")</f>
        <v/>
      </c>
      <c r="J204" t="str">
        <f>IFERROR(INDEX(diakadat!$K$2:$K$50,MATCH(D204,diakadat!$J$2:$J$50,0),1),"")</f>
        <v/>
      </c>
      <c r="K204" t="str" cm="1">
        <f t="array" ref="K204">IFERROR(DatumSzovegge2(INDEX(diakadat!$L$2:$L$50,MATCH(D204,diakadat!$J$2:$J$50,0),1)),"")</f>
        <v/>
      </c>
      <c r="L204" t="str" cm="1">
        <f t="array" ref="L204">IFERROR(DatumSzovegge5(INDEX(diakadat!$L$2:$L$50,MATCH(D204,diakadat!$J$2:$J$50,0),1)),"")</f>
        <v/>
      </c>
      <c r="M204" t="str" cm="1">
        <f t="array" ref="M204">IFERROR(DatumSzovegge3(INDEX(diakadat!$L$2:$L$50,MATCH(D204,diakadat!$J$2:$J$50,0),1)),"")</f>
        <v/>
      </c>
      <c r="N204" t="str" cm="1">
        <f t="array" ref="N204">IFERROR(DatumSzovegge4(INDEX(diakadat!$L$2:$L$50,MATCH(D204,diakadat!$J$2:$J$50,0),1)),"")</f>
        <v/>
      </c>
      <c r="O204" t="str">
        <f>IFERROR(INDEX(diakadat!$R$2:$R$50,MATCH(D204,diakadat!$J$2:$J$50,0),1),"")</f>
        <v/>
      </c>
      <c r="P204" t="str">
        <f>IFERROR(INDEX(diakadat!$AI$2:$AI$50,MATCH(D204,diakadat!$J$2:$J$50,0),1),"")</f>
        <v/>
      </c>
      <c r="Q204" t="str">
        <f>IFERROR(INDEX('rangsor'!$C$2:$C$343,MATCH(D204,'rangsor'!$A$2:$A$343,0),1),"")</f>
        <v/>
      </c>
      <c r="T204" t="s">
        <v>831</v>
      </c>
      <c r="U204" t="str" cm="1">
        <f t="array" ref="U204">Határozat(D204)</f>
        <v/>
      </c>
      <c r="AC204" t="str">
        <f>IFERROR(INDEX(diakadat!$U$2:$U$50,MATCH(D204,diakadat!$J$2:$J$50),1),"")</f>
        <v/>
      </c>
      <c r="AD204" t="str">
        <f>IFERROR(INDEX(diakadat!$V$2:$V$50,MATCH(D204,diakadat!$J$2:$J$50),1),"")</f>
        <v/>
      </c>
      <c r="AE204" t="str">
        <f>IFERROR(INDEX(diakadat!$W$2:$W$50,MATCH(D204,diakadat!$J$2:$J$50),1),"")</f>
        <v/>
      </c>
      <c r="AI204" t="str">
        <f>IFERROR(INDEX(diakadat!$X$2:$X$50,MATCH(D204,diakadat!$J$2:$J$50),1),"")</f>
        <v/>
      </c>
      <c r="AK204">
        <f t="shared" si="3"/>
        <v>329</v>
      </c>
      <c r="AL204" t="str" cm="1">
        <f t="array" ref="AL204">ElsoBetuNagy(R204)</f>
        <v/>
      </c>
      <c r="AO204" t="str" cm="1">
        <f t="array" ref="AO204">DatumSzovegge5(AN204)</f>
        <v>1899.</v>
      </c>
      <c r="AP204" t="str" cm="1">
        <f t="array" ref="AP204">DatumSzovegge3(AN204)</f>
        <v>december</v>
      </c>
      <c r="AQ204" t="str" cm="1">
        <f t="array" ref="AQ204">DatumSzovegge4(AN204)</f>
        <v>30.</v>
      </c>
    </row>
    <row r="205" spans="4:43" x14ac:dyDescent="0.25">
      <c r="D205" t="str" cm="1">
        <f t="array" ref="D205">SzuressNev($B$1,ROW()-1)</f>
        <v/>
      </c>
      <c r="E205">
        <f>COUNTIF($D$2:D205,D205)</f>
        <v>184</v>
      </c>
      <c r="F205" t="str" cm="1">
        <f t="array" ref="F205">ElutasitasEgyOk2(D205,E205)</f>
        <v/>
      </c>
      <c r="G205" t="str">
        <f>IFERROR(INDEX(diakadat!$I$2:$I$50,MATCH(D205,diakadat!$J$2:$J$50,0),1),"")</f>
        <v/>
      </c>
      <c r="H205" t="str">
        <f>IFERROR(INDEX(diakadat!$O$2:$O$50,MATCH(D205,diakadat!$J$2:$J$50,0),1),"")</f>
        <v/>
      </c>
      <c r="I205" t="str">
        <f>IFERROR(INDEX(diakadat!#REF!,MATCH(D205,diakadat!$J$2:$J$50,0),1),"")</f>
        <v/>
      </c>
      <c r="J205" t="str">
        <f>IFERROR(INDEX(diakadat!$K$2:$K$50,MATCH(D205,diakadat!$J$2:$J$50,0),1),"")</f>
        <v/>
      </c>
      <c r="K205" t="str" cm="1">
        <f t="array" ref="K205">IFERROR(DatumSzovegge2(INDEX(diakadat!$L$2:$L$50,MATCH(D205,diakadat!$J$2:$J$50,0),1)),"")</f>
        <v/>
      </c>
      <c r="L205" t="str" cm="1">
        <f t="array" ref="L205">IFERROR(DatumSzovegge5(INDEX(diakadat!$L$2:$L$50,MATCH(D205,diakadat!$J$2:$J$50,0),1)),"")</f>
        <v/>
      </c>
      <c r="M205" t="str" cm="1">
        <f t="array" ref="M205">IFERROR(DatumSzovegge3(INDEX(diakadat!$L$2:$L$50,MATCH(D205,diakadat!$J$2:$J$50,0),1)),"")</f>
        <v/>
      </c>
      <c r="N205" t="str" cm="1">
        <f t="array" ref="N205">IFERROR(DatumSzovegge4(INDEX(diakadat!$L$2:$L$50,MATCH(D205,diakadat!$J$2:$J$50,0),1)),"")</f>
        <v/>
      </c>
      <c r="O205" t="str">
        <f>IFERROR(INDEX(diakadat!$R$2:$R$50,MATCH(D205,diakadat!$J$2:$J$50,0),1),"")</f>
        <v/>
      </c>
      <c r="P205" t="str">
        <f>IFERROR(INDEX(diakadat!$AI$2:$AI$50,MATCH(D205,diakadat!$J$2:$J$50,0),1),"")</f>
        <v/>
      </c>
      <c r="Q205" t="str">
        <f>IFERROR(INDEX('rangsor'!$C$2:$C$343,MATCH(D205,'rangsor'!$A$2:$A$343,0),1),"")</f>
        <v/>
      </c>
      <c r="T205" t="s">
        <v>831</v>
      </c>
      <c r="U205" t="str" cm="1">
        <f t="array" ref="U205">Határozat(D205)</f>
        <v/>
      </c>
      <c r="AC205" t="str">
        <f>IFERROR(INDEX(diakadat!$U$2:$U$50,MATCH(D205,diakadat!$J$2:$J$50),1),"")</f>
        <v/>
      </c>
      <c r="AD205" t="str">
        <f>IFERROR(INDEX(diakadat!$V$2:$V$50,MATCH(D205,diakadat!$J$2:$J$50),1),"")</f>
        <v/>
      </c>
      <c r="AE205" t="str">
        <f>IFERROR(INDEX(diakadat!$W$2:$W$50,MATCH(D205,diakadat!$J$2:$J$50),1),"")</f>
        <v/>
      </c>
      <c r="AI205" t="str">
        <f>IFERROR(INDEX(diakadat!$X$2:$X$50,MATCH(D205,diakadat!$J$2:$J$50),1),"")</f>
        <v/>
      </c>
      <c r="AK205">
        <f t="shared" si="3"/>
        <v>329</v>
      </c>
      <c r="AL205" t="str" cm="1">
        <f t="array" ref="AL205">ElsoBetuNagy(R205)</f>
        <v/>
      </c>
      <c r="AO205" t="str" cm="1">
        <f t="array" ref="AO205">DatumSzovegge5(AN205)</f>
        <v>1899.</v>
      </c>
      <c r="AP205" t="str" cm="1">
        <f t="array" ref="AP205">DatumSzovegge3(AN205)</f>
        <v>december</v>
      </c>
      <c r="AQ205" t="str" cm="1">
        <f t="array" ref="AQ205">DatumSzovegge4(AN205)</f>
        <v>30.</v>
      </c>
    </row>
    <row r="206" spans="4:43" x14ac:dyDescent="0.25">
      <c r="D206" t="str" cm="1">
        <f t="array" ref="D206">SzuressNev($B$1,ROW()-1)</f>
        <v/>
      </c>
      <c r="E206">
        <f>COUNTIF($D$2:D206,D206)</f>
        <v>185</v>
      </c>
      <c r="F206" t="str" cm="1">
        <f t="array" ref="F206">ElutasitasEgyOk2(D206,E206)</f>
        <v/>
      </c>
      <c r="G206" t="str">
        <f>IFERROR(INDEX(diakadat!$I$2:$I$50,MATCH(D206,diakadat!$J$2:$J$50,0),1),"")</f>
        <v/>
      </c>
      <c r="H206" t="str">
        <f>IFERROR(INDEX(diakadat!$O$2:$O$50,MATCH(D206,diakadat!$J$2:$J$50,0),1),"")</f>
        <v/>
      </c>
      <c r="I206" t="str">
        <f>IFERROR(INDEX(diakadat!#REF!,MATCH(D206,diakadat!$J$2:$J$50,0),1),"")</f>
        <v/>
      </c>
      <c r="J206" t="str">
        <f>IFERROR(INDEX(diakadat!$K$2:$K$50,MATCH(D206,diakadat!$J$2:$J$50,0),1),"")</f>
        <v/>
      </c>
      <c r="K206" t="str" cm="1">
        <f t="array" ref="K206">IFERROR(DatumSzovegge2(INDEX(diakadat!$L$2:$L$50,MATCH(D206,diakadat!$J$2:$J$50,0),1)),"")</f>
        <v/>
      </c>
      <c r="L206" t="str" cm="1">
        <f t="array" ref="L206">IFERROR(DatumSzovegge5(INDEX(diakadat!$L$2:$L$50,MATCH(D206,diakadat!$J$2:$J$50,0),1)),"")</f>
        <v/>
      </c>
      <c r="M206" t="str" cm="1">
        <f t="array" ref="M206">IFERROR(DatumSzovegge3(INDEX(diakadat!$L$2:$L$50,MATCH(D206,diakadat!$J$2:$J$50,0),1)),"")</f>
        <v/>
      </c>
      <c r="N206" t="str" cm="1">
        <f t="array" ref="N206">IFERROR(DatumSzovegge4(INDEX(diakadat!$L$2:$L$50,MATCH(D206,diakadat!$J$2:$J$50,0),1)),"")</f>
        <v/>
      </c>
      <c r="O206" t="str">
        <f>IFERROR(INDEX(diakadat!$R$2:$R$50,MATCH(D206,diakadat!$J$2:$J$50,0),1),"")</f>
        <v/>
      </c>
      <c r="P206" t="str">
        <f>IFERROR(INDEX(diakadat!$AI$2:$AI$50,MATCH(D206,diakadat!$J$2:$J$50,0),1),"")</f>
        <v/>
      </c>
      <c r="Q206" t="str">
        <f>IFERROR(INDEX('rangsor'!$C$2:$C$343,MATCH(D206,'rangsor'!$A$2:$A$343,0),1),"")</f>
        <v/>
      </c>
      <c r="T206" t="s">
        <v>831</v>
      </c>
      <c r="U206" t="str" cm="1">
        <f t="array" ref="U206">Határozat(D206)</f>
        <v/>
      </c>
      <c r="AC206" t="str">
        <f>IFERROR(INDEX(diakadat!$U$2:$U$50,MATCH(D206,diakadat!$J$2:$J$50),1),"")</f>
        <v/>
      </c>
      <c r="AD206" t="str">
        <f>IFERROR(INDEX(diakadat!$V$2:$V$50,MATCH(D206,diakadat!$J$2:$J$50),1),"")</f>
        <v/>
      </c>
      <c r="AE206" t="str">
        <f>IFERROR(INDEX(diakadat!$W$2:$W$50,MATCH(D206,diakadat!$J$2:$J$50),1),"")</f>
        <v/>
      </c>
      <c r="AI206" t="str">
        <f>IFERROR(INDEX(diakadat!$X$2:$X$50,MATCH(D206,diakadat!$J$2:$J$50),1),"")</f>
        <v/>
      </c>
      <c r="AK206">
        <f t="shared" si="3"/>
        <v>329</v>
      </c>
      <c r="AL206" t="str" cm="1">
        <f t="array" ref="AL206">ElsoBetuNagy(R206)</f>
        <v/>
      </c>
      <c r="AO206" t="str" cm="1">
        <f t="array" ref="AO206">DatumSzovegge5(AN206)</f>
        <v>1899.</v>
      </c>
      <c r="AP206" t="str" cm="1">
        <f t="array" ref="AP206">DatumSzovegge3(AN206)</f>
        <v>december</v>
      </c>
      <c r="AQ206" t="str" cm="1">
        <f t="array" ref="AQ206">DatumSzovegge4(AN206)</f>
        <v>30.</v>
      </c>
    </row>
    <row r="207" spans="4:43" x14ac:dyDescent="0.25">
      <c r="D207" t="str" cm="1">
        <f t="array" ref="D207">SzuressNev($B$1,ROW()-1)</f>
        <v/>
      </c>
      <c r="E207">
        <f>COUNTIF($D$2:D207,D207)</f>
        <v>186</v>
      </c>
      <c r="F207" t="str" cm="1">
        <f t="array" ref="F207">ElutasitasEgyOk2(D207,E207)</f>
        <v/>
      </c>
      <c r="G207" t="str">
        <f>IFERROR(INDEX(diakadat!$I$2:$I$50,MATCH(D207,diakadat!$J$2:$J$50,0),1),"")</f>
        <v/>
      </c>
      <c r="H207" t="str">
        <f>IFERROR(INDEX(diakadat!$O$2:$O$50,MATCH(D207,diakadat!$J$2:$J$50,0),1),"")</f>
        <v/>
      </c>
      <c r="I207" t="str">
        <f>IFERROR(INDEX(diakadat!#REF!,MATCH(D207,diakadat!$J$2:$J$50,0),1),"")</f>
        <v/>
      </c>
      <c r="J207" t="str">
        <f>IFERROR(INDEX(diakadat!$K$2:$K$50,MATCH(D207,diakadat!$J$2:$J$50,0),1),"")</f>
        <v/>
      </c>
      <c r="K207" t="str" cm="1">
        <f t="array" ref="K207">IFERROR(DatumSzovegge2(INDEX(diakadat!$L$2:$L$50,MATCH(D207,diakadat!$J$2:$J$50,0),1)),"")</f>
        <v/>
      </c>
      <c r="L207" t="str" cm="1">
        <f t="array" ref="L207">IFERROR(DatumSzovegge5(INDEX(diakadat!$L$2:$L$50,MATCH(D207,diakadat!$J$2:$J$50,0),1)),"")</f>
        <v/>
      </c>
      <c r="M207" t="str" cm="1">
        <f t="array" ref="M207">IFERROR(DatumSzovegge3(INDEX(diakadat!$L$2:$L$50,MATCH(D207,diakadat!$J$2:$J$50,0),1)),"")</f>
        <v/>
      </c>
      <c r="N207" t="str" cm="1">
        <f t="array" ref="N207">IFERROR(DatumSzovegge4(INDEX(diakadat!$L$2:$L$50,MATCH(D207,diakadat!$J$2:$J$50,0),1)),"")</f>
        <v/>
      </c>
      <c r="O207" t="str">
        <f>IFERROR(INDEX(diakadat!$R$2:$R$50,MATCH(D207,diakadat!$J$2:$J$50,0),1),"")</f>
        <v/>
      </c>
      <c r="P207" t="str">
        <f>IFERROR(INDEX(diakadat!$AI$2:$AI$50,MATCH(D207,diakadat!$J$2:$J$50,0),1),"")</f>
        <v/>
      </c>
      <c r="Q207" t="str">
        <f>IFERROR(INDEX('rangsor'!$C$2:$C$343,MATCH(D207,'rangsor'!$A$2:$A$343,0),1),"")</f>
        <v/>
      </c>
      <c r="T207" t="s">
        <v>831</v>
      </c>
      <c r="U207" t="str" cm="1">
        <f t="array" ref="U207">Határozat(D207)</f>
        <v/>
      </c>
      <c r="AC207" t="str">
        <f>IFERROR(INDEX(diakadat!$U$2:$U$50,MATCH(D207,diakadat!$J$2:$J$50),1),"")</f>
        <v/>
      </c>
      <c r="AD207" t="str">
        <f>IFERROR(INDEX(diakadat!$V$2:$V$50,MATCH(D207,diakadat!$J$2:$J$50),1),"")</f>
        <v/>
      </c>
      <c r="AE207" t="str">
        <f>IFERROR(INDEX(diakadat!$W$2:$W$50,MATCH(D207,diakadat!$J$2:$J$50),1),"")</f>
        <v/>
      </c>
      <c r="AI207" t="str">
        <f>IFERROR(INDEX(diakadat!$X$2:$X$50,MATCH(D207,diakadat!$J$2:$J$50),1),"")</f>
        <v/>
      </c>
      <c r="AK207">
        <f t="shared" si="3"/>
        <v>329</v>
      </c>
      <c r="AL207" t="str" cm="1">
        <f t="array" ref="AL207">ElsoBetuNagy(R207)</f>
        <v/>
      </c>
      <c r="AO207" t="str" cm="1">
        <f t="array" ref="AO207">DatumSzovegge5(AN207)</f>
        <v>1899.</v>
      </c>
      <c r="AP207" t="str" cm="1">
        <f t="array" ref="AP207">DatumSzovegge3(AN207)</f>
        <v>december</v>
      </c>
      <c r="AQ207" t="str" cm="1">
        <f t="array" ref="AQ207">DatumSzovegge4(AN207)</f>
        <v>30.</v>
      </c>
    </row>
    <row r="208" spans="4:43" x14ac:dyDescent="0.25">
      <c r="D208" t="str" cm="1">
        <f t="array" ref="D208">SzuressNev($B$1,ROW()-1)</f>
        <v/>
      </c>
      <c r="E208">
        <f>COUNTIF($D$2:D208,D208)</f>
        <v>187</v>
      </c>
      <c r="F208" t="str" cm="1">
        <f t="array" ref="F208">ElutasitasEgyOk2(D208,E208)</f>
        <v/>
      </c>
      <c r="G208" t="str">
        <f>IFERROR(INDEX(diakadat!$I$2:$I$50,MATCH(D208,diakadat!$J$2:$J$50,0),1),"")</f>
        <v/>
      </c>
      <c r="H208" t="str">
        <f>IFERROR(INDEX(diakadat!$O$2:$O$50,MATCH(D208,diakadat!$J$2:$J$50,0),1),"")</f>
        <v/>
      </c>
      <c r="I208" t="str">
        <f>IFERROR(INDEX(diakadat!#REF!,MATCH(D208,diakadat!$J$2:$J$50,0),1),"")</f>
        <v/>
      </c>
      <c r="J208" t="str">
        <f>IFERROR(INDEX(diakadat!$K$2:$K$50,MATCH(D208,diakadat!$J$2:$J$50,0),1),"")</f>
        <v/>
      </c>
      <c r="K208" t="str" cm="1">
        <f t="array" ref="K208">IFERROR(DatumSzovegge2(INDEX(diakadat!$L$2:$L$50,MATCH(D208,diakadat!$J$2:$J$50,0),1)),"")</f>
        <v/>
      </c>
      <c r="L208" t="str" cm="1">
        <f t="array" ref="L208">IFERROR(DatumSzovegge5(INDEX(diakadat!$L$2:$L$50,MATCH(D208,diakadat!$J$2:$J$50,0),1)),"")</f>
        <v/>
      </c>
      <c r="M208" t="str" cm="1">
        <f t="array" ref="M208">IFERROR(DatumSzovegge3(INDEX(diakadat!$L$2:$L$50,MATCH(D208,diakadat!$J$2:$J$50,0),1)),"")</f>
        <v/>
      </c>
      <c r="N208" t="str" cm="1">
        <f t="array" ref="N208">IFERROR(DatumSzovegge4(INDEX(diakadat!$L$2:$L$50,MATCH(D208,diakadat!$J$2:$J$50,0),1)),"")</f>
        <v/>
      </c>
      <c r="O208" t="str">
        <f>IFERROR(INDEX(diakadat!$R$2:$R$50,MATCH(D208,diakadat!$J$2:$J$50,0),1),"")</f>
        <v/>
      </c>
      <c r="P208" t="str">
        <f>IFERROR(INDEX(diakadat!$AI$2:$AI$50,MATCH(D208,diakadat!$J$2:$J$50,0),1),"")</f>
        <v/>
      </c>
      <c r="Q208" t="str">
        <f>IFERROR(INDEX('rangsor'!$C$2:$C$343,MATCH(D208,'rangsor'!$A$2:$A$343,0),1),"")</f>
        <v/>
      </c>
      <c r="T208" t="s">
        <v>831</v>
      </c>
      <c r="U208" t="str" cm="1">
        <f t="array" ref="U208">Határozat(D208)</f>
        <v/>
      </c>
      <c r="AC208" t="str">
        <f>IFERROR(INDEX(diakadat!$U$2:$U$50,MATCH(D208,diakadat!$J$2:$J$50),1),"")</f>
        <v/>
      </c>
      <c r="AD208" t="str">
        <f>IFERROR(INDEX(diakadat!$V$2:$V$50,MATCH(D208,diakadat!$J$2:$J$50),1),"")</f>
        <v/>
      </c>
      <c r="AE208" t="str">
        <f>IFERROR(INDEX(diakadat!$W$2:$W$50,MATCH(D208,diakadat!$J$2:$J$50),1),"")</f>
        <v/>
      </c>
      <c r="AI208" t="str">
        <f>IFERROR(INDEX(diakadat!$X$2:$X$50,MATCH(D208,diakadat!$J$2:$J$50),1),"")</f>
        <v/>
      </c>
      <c r="AK208">
        <f t="shared" si="3"/>
        <v>329</v>
      </c>
      <c r="AL208" t="str" cm="1">
        <f t="array" ref="AL208">ElsoBetuNagy(R208)</f>
        <v/>
      </c>
      <c r="AO208" t="str" cm="1">
        <f t="array" ref="AO208">DatumSzovegge5(AN208)</f>
        <v>1899.</v>
      </c>
      <c r="AP208" t="str" cm="1">
        <f t="array" ref="AP208">DatumSzovegge3(AN208)</f>
        <v>december</v>
      </c>
      <c r="AQ208" t="str" cm="1">
        <f t="array" ref="AQ208">DatumSzovegge4(AN208)</f>
        <v>30.</v>
      </c>
    </row>
    <row r="209" spans="4:43" x14ac:dyDescent="0.25">
      <c r="D209" t="str" cm="1">
        <f t="array" ref="D209">SzuressNev($B$1,ROW()-1)</f>
        <v/>
      </c>
      <c r="E209">
        <f>COUNTIF($D$2:D209,D209)</f>
        <v>188</v>
      </c>
      <c r="F209" t="str" cm="1">
        <f t="array" ref="F209">ElutasitasEgyOk2(D209,E209)</f>
        <v/>
      </c>
      <c r="G209" t="str">
        <f>IFERROR(INDEX(diakadat!$I$2:$I$50,MATCH(D209,diakadat!$J$2:$J$50,0),1),"")</f>
        <v/>
      </c>
      <c r="H209" t="str">
        <f>IFERROR(INDEX(diakadat!$O$2:$O$50,MATCH(D209,diakadat!$J$2:$J$50,0),1),"")</f>
        <v/>
      </c>
      <c r="I209" t="str">
        <f>IFERROR(INDEX(diakadat!#REF!,MATCH(D209,diakadat!$J$2:$J$50,0),1),"")</f>
        <v/>
      </c>
      <c r="J209" t="str">
        <f>IFERROR(INDEX(diakadat!$K$2:$K$50,MATCH(D209,diakadat!$J$2:$J$50,0),1),"")</f>
        <v/>
      </c>
      <c r="K209" t="str" cm="1">
        <f t="array" ref="K209">IFERROR(DatumSzovegge2(INDEX(diakadat!$L$2:$L$50,MATCH(D209,diakadat!$J$2:$J$50,0),1)),"")</f>
        <v/>
      </c>
      <c r="L209" t="str" cm="1">
        <f t="array" ref="L209">IFERROR(DatumSzovegge5(INDEX(diakadat!$L$2:$L$50,MATCH(D209,diakadat!$J$2:$J$50,0),1)),"")</f>
        <v/>
      </c>
      <c r="M209" t="str" cm="1">
        <f t="array" ref="M209">IFERROR(DatumSzovegge3(INDEX(diakadat!$L$2:$L$50,MATCH(D209,diakadat!$J$2:$J$50,0),1)),"")</f>
        <v/>
      </c>
      <c r="N209" t="str" cm="1">
        <f t="array" ref="N209">IFERROR(DatumSzovegge4(INDEX(diakadat!$L$2:$L$50,MATCH(D209,diakadat!$J$2:$J$50,0),1)),"")</f>
        <v/>
      </c>
      <c r="O209" t="str">
        <f>IFERROR(INDEX(diakadat!$R$2:$R$50,MATCH(D209,diakadat!$J$2:$J$50,0),1),"")</f>
        <v/>
      </c>
      <c r="P209" t="str">
        <f>IFERROR(INDEX(diakadat!$AI$2:$AI$50,MATCH(D209,diakadat!$J$2:$J$50,0),1),"")</f>
        <v/>
      </c>
      <c r="Q209" t="str">
        <f>IFERROR(INDEX('rangsor'!$C$2:$C$343,MATCH(D209,'rangsor'!$A$2:$A$343,0),1),"")</f>
        <v/>
      </c>
      <c r="T209" t="s">
        <v>831</v>
      </c>
      <c r="U209" t="str" cm="1">
        <f t="array" ref="U209">Határozat(D209)</f>
        <v/>
      </c>
      <c r="AC209" t="str">
        <f>IFERROR(INDEX(diakadat!$U$2:$U$50,MATCH(D209,diakadat!$J$2:$J$50),1),"")</f>
        <v/>
      </c>
      <c r="AD209" t="str">
        <f>IFERROR(INDEX(diakadat!$V$2:$V$50,MATCH(D209,diakadat!$J$2:$J$50),1),"")</f>
        <v/>
      </c>
      <c r="AE209" t="str">
        <f>IFERROR(INDEX(diakadat!$W$2:$W$50,MATCH(D209,diakadat!$J$2:$J$50),1),"")</f>
        <v/>
      </c>
      <c r="AI209" t="str">
        <f>IFERROR(INDEX(diakadat!$X$2:$X$50,MATCH(D209,diakadat!$J$2:$J$50),1),"")</f>
        <v/>
      </c>
      <c r="AK209">
        <f t="shared" si="3"/>
        <v>329</v>
      </c>
      <c r="AL209" t="str" cm="1">
        <f t="array" ref="AL209">ElsoBetuNagy(R209)</f>
        <v/>
      </c>
      <c r="AO209" t="str" cm="1">
        <f t="array" ref="AO209">DatumSzovegge5(AN209)</f>
        <v>1899.</v>
      </c>
      <c r="AP209" t="str" cm="1">
        <f t="array" ref="AP209">DatumSzovegge3(AN209)</f>
        <v>december</v>
      </c>
      <c r="AQ209" t="str" cm="1">
        <f t="array" ref="AQ209">DatumSzovegge4(AN209)</f>
        <v>30.</v>
      </c>
    </row>
    <row r="210" spans="4:43" x14ac:dyDescent="0.25">
      <c r="D210" t="str" cm="1">
        <f t="array" ref="D210">SzuressNev($B$1,ROW()-1)</f>
        <v/>
      </c>
      <c r="E210">
        <f>COUNTIF($D$2:D210,D210)</f>
        <v>189</v>
      </c>
      <c r="F210" t="str" cm="1">
        <f t="array" ref="F210">ElutasitasEgyOk2(D210,E210)</f>
        <v/>
      </c>
      <c r="G210" t="str">
        <f>IFERROR(INDEX(diakadat!$I$2:$I$50,MATCH(D210,diakadat!$J$2:$J$50,0),1),"")</f>
        <v/>
      </c>
      <c r="H210" t="str">
        <f>IFERROR(INDEX(diakadat!$O$2:$O$50,MATCH(D210,diakadat!$J$2:$J$50,0),1),"")</f>
        <v/>
      </c>
      <c r="I210" t="str">
        <f>IFERROR(INDEX(diakadat!#REF!,MATCH(D210,diakadat!$J$2:$J$50,0),1),"")</f>
        <v/>
      </c>
      <c r="J210" t="str">
        <f>IFERROR(INDEX(diakadat!$K$2:$K$50,MATCH(D210,diakadat!$J$2:$J$50,0),1),"")</f>
        <v/>
      </c>
      <c r="K210" t="str" cm="1">
        <f t="array" ref="K210">IFERROR(DatumSzovegge2(INDEX(diakadat!$L$2:$L$50,MATCH(D210,diakadat!$J$2:$J$50,0),1)),"")</f>
        <v/>
      </c>
      <c r="L210" t="str" cm="1">
        <f t="array" ref="L210">IFERROR(DatumSzovegge5(INDEX(diakadat!$L$2:$L$50,MATCH(D210,diakadat!$J$2:$J$50,0),1)),"")</f>
        <v/>
      </c>
      <c r="M210" t="str" cm="1">
        <f t="array" ref="M210">IFERROR(DatumSzovegge3(INDEX(diakadat!$L$2:$L$50,MATCH(D210,diakadat!$J$2:$J$50,0),1)),"")</f>
        <v/>
      </c>
      <c r="N210" t="str" cm="1">
        <f t="array" ref="N210">IFERROR(DatumSzovegge4(INDEX(diakadat!$L$2:$L$50,MATCH(D210,diakadat!$J$2:$J$50,0),1)),"")</f>
        <v/>
      </c>
      <c r="O210" t="str">
        <f>IFERROR(INDEX(diakadat!$R$2:$R$50,MATCH(D210,diakadat!$J$2:$J$50,0),1),"")</f>
        <v/>
      </c>
      <c r="P210" t="str">
        <f>IFERROR(INDEX(diakadat!$AI$2:$AI$50,MATCH(D210,diakadat!$J$2:$J$50,0),1),"")</f>
        <v/>
      </c>
      <c r="Q210" t="str">
        <f>IFERROR(INDEX('rangsor'!$C$2:$C$343,MATCH(D210,'rangsor'!$A$2:$A$343,0),1),"")</f>
        <v/>
      </c>
      <c r="T210" t="s">
        <v>831</v>
      </c>
      <c r="U210" t="str" cm="1">
        <f t="array" ref="U210">Határozat(D210)</f>
        <v/>
      </c>
      <c r="AC210" t="str">
        <f>IFERROR(INDEX(diakadat!$U$2:$U$50,MATCH(D210,diakadat!$J$2:$J$50),1),"")</f>
        <v/>
      </c>
      <c r="AD210" t="str">
        <f>IFERROR(INDEX(diakadat!$V$2:$V$50,MATCH(D210,diakadat!$J$2:$J$50),1),"")</f>
        <v/>
      </c>
      <c r="AE210" t="str">
        <f>IFERROR(INDEX(diakadat!$W$2:$W$50,MATCH(D210,diakadat!$J$2:$J$50),1),"")</f>
        <v/>
      </c>
      <c r="AI210" t="str">
        <f>IFERROR(INDEX(diakadat!$X$2:$X$50,MATCH(D210,diakadat!$J$2:$J$50),1),"")</f>
        <v/>
      </c>
      <c r="AK210">
        <f t="shared" si="3"/>
        <v>329</v>
      </c>
      <c r="AL210" t="str" cm="1">
        <f t="array" ref="AL210">ElsoBetuNagy(R210)</f>
        <v/>
      </c>
      <c r="AO210" t="str" cm="1">
        <f t="array" ref="AO210">DatumSzovegge5(AN210)</f>
        <v>1899.</v>
      </c>
      <c r="AP210" t="str" cm="1">
        <f t="array" ref="AP210">DatumSzovegge3(AN210)</f>
        <v>december</v>
      </c>
      <c r="AQ210" t="str" cm="1">
        <f t="array" ref="AQ210">DatumSzovegge4(AN210)</f>
        <v>30.</v>
      </c>
    </row>
    <row r="211" spans="4:43" x14ac:dyDescent="0.25">
      <c r="D211" t="str" cm="1">
        <f t="array" ref="D211">SzuressNev($B$1,ROW()-1)</f>
        <v/>
      </c>
      <c r="E211">
        <f>COUNTIF($D$2:D211,D211)</f>
        <v>190</v>
      </c>
      <c r="F211" t="str" cm="1">
        <f t="array" ref="F211">ElutasitasEgyOk2(D211,E211)</f>
        <v/>
      </c>
      <c r="G211" t="str">
        <f>IFERROR(INDEX(diakadat!$I$2:$I$50,MATCH(D211,diakadat!$J$2:$J$50,0),1),"")</f>
        <v/>
      </c>
      <c r="H211" t="str">
        <f>IFERROR(INDEX(diakadat!$O$2:$O$50,MATCH(D211,diakadat!$J$2:$J$50,0),1),"")</f>
        <v/>
      </c>
      <c r="I211" t="str">
        <f>IFERROR(INDEX(diakadat!#REF!,MATCH(D211,diakadat!$J$2:$J$50,0),1),"")</f>
        <v/>
      </c>
      <c r="J211" t="str">
        <f>IFERROR(INDEX(diakadat!$K$2:$K$50,MATCH(D211,diakadat!$J$2:$J$50,0),1),"")</f>
        <v/>
      </c>
      <c r="K211" t="str" cm="1">
        <f t="array" ref="K211">IFERROR(DatumSzovegge2(INDEX(diakadat!$L$2:$L$50,MATCH(D211,diakadat!$J$2:$J$50,0),1)),"")</f>
        <v/>
      </c>
      <c r="L211" t="str" cm="1">
        <f t="array" ref="L211">IFERROR(DatumSzovegge5(INDEX(diakadat!$L$2:$L$50,MATCH(D211,diakadat!$J$2:$J$50,0),1)),"")</f>
        <v/>
      </c>
      <c r="M211" t="str" cm="1">
        <f t="array" ref="M211">IFERROR(DatumSzovegge3(INDEX(diakadat!$L$2:$L$50,MATCH(D211,diakadat!$J$2:$J$50,0),1)),"")</f>
        <v/>
      </c>
      <c r="N211" t="str" cm="1">
        <f t="array" ref="N211">IFERROR(DatumSzovegge4(INDEX(diakadat!$L$2:$L$50,MATCH(D211,diakadat!$J$2:$J$50,0),1)),"")</f>
        <v/>
      </c>
      <c r="O211" t="str">
        <f>IFERROR(INDEX(diakadat!$R$2:$R$50,MATCH(D211,diakadat!$J$2:$J$50,0),1),"")</f>
        <v/>
      </c>
      <c r="P211" t="str">
        <f>IFERROR(INDEX(diakadat!$AI$2:$AI$50,MATCH(D211,diakadat!$J$2:$J$50,0),1),"")</f>
        <v/>
      </c>
      <c r="Q211" t="str">
        <f>IFERROR(INDEX('rangsor'!$C$2:$C$343,MATCH(D211,'rangsor'!$A$2:$A$343,0),1),"")</f>
        <v/>
      </c>
      <c r="T211" t="s">
        <v>831</v>
      </c>
      <c r="U211" t="str" cm="1">
        <f t="array" ref="U211">Határozat(D211)</f>
        <v/>
      </c>
      <c r="AC211" t="str">
        <f>IFERROR(INDEX(diakadat!$U$2:$U$50,MATCH(D211,diakadat!$J$2:$J$50),1),"")</f>
        <v/>
      </c>
      <c r="AD211" t="str">
        <f>IFERROR(INDEX(diakadat!$V$2:$V$50,MATCH(D211,diakadat!$J$2:$J$50),1),"")</f>
        <v/>
      </c>
      <c r="AE211" t="str">
        <f>IFERROR(INDEX(diakadat!$W$2:$W$50,MATCH(D211,diakadat!$J$2:$J$50),1),"")</f>
        <v/>
      </c>
      <c r="AI211" t="str">
        <f>IFERROR(INDEX(diakadat!$X$2:$X$50,MATCH(D211,diakadat!$J$2:$J$50),1),"")</f>
        <v/>
      </c>
      <c r="AK211">
        <f t="shared" si="3"/>
        <v>329</v>
      </c>
      <c r="AL211" t="str" cm="1">
        <f t="array" ref="AL211">ElsoBetuNagy(R211)</f>
        <v/>
      </c>
      <c r="AO211" t="str" cm="1">
        <f t="array" ref="AO211">DatumSzovegge5(AN211)</f>
        <v>1899.</v>
      </c>
      <c r="AP211" t="str" cm="1">
        <f t="array" ref="AP211">DatumSzovegge3(AN211)</f>
        <v>december</v>
      </c>
      <c r="AQ211" t="str" cm="1">
        <f t="array" ref="AQ211">DatumSzovegge4(AN211)</f>
        <v>30.</v>
      </c>
    </row>
    <row r="212" spans="4:43" x14ac:dyDescent="0.25">
      <c r="D212" t="str" cm="1">
        <f t="array" ref="D212">SzuressNev($B$1,ROW()-1)</f>
        <v/>
      </c>
      <c r="E212">
        <f>COUNTIF($D$2:D212,D212)</f>
        <v>191</v>
      </c>
      <c r="F212" t="str" cm="1">
        <f t="array" ref="F212">ElutasitasEgyOk2(D212,E212)</f>
        <v/>
      </c>
      <c r="G212" t="str">
        <f>IFERROR(INDEX(diakadat!$I$2:$I$50,MATCH(D212,diakadat!$J$2:$J$50,0),1),"")</f>
        <v/>
      </c>
      <c r="H212" t="str">
        <f>IFERROR(INDEX(diakadat!$O$2:$O$50,MATCH(D212,diakadat!$J$2:$J$50,0),1),"")</f>
        <v/>
      </c>
      <c r="I212" t="str">
        <f>IFERROR(INDEX(diakadat!#REF!,MATCH(D212,diakadat!$J$2:$J$50,0),1),"")</f>
        <v/>
      </c>
      <c r="J212" t="str">
        <f>IFERROR(INDEX(diakadat!$K$2:$K$50,MATCH(D212,diakadat!$J$2:$J$50,0),1),"")</f>
        <v/>
      </c>
      <c r="K212" t="str" cm="1">
        <f t="array" ref="K212">IFERROR(DatumSzovegge2(INDEX(diakadat!$L$2:$L$50,MATCH(D212,diakadat!$J$2:$J$50,0),1)),"")</f>
        <v/>
      </c>
      <c r="L212" t="str" cm="1">
        <f t="array" ref="L212">IFERROR(DatumSzovegge5(INDEX(diakadat!$L$2:$L$50,MATCH(D212,diakadat!$J$2:$J$50,0),1)),"")</f>
        <v/>
      </c>
      <c r="M212" t="str" cm="1">
        <f t="array" ref="M212">IFERROR(DatumSzovegge3(INDEX(diakadat!$L$2:$L$50,MATCH(D212,diakadat!$J$2:$J$50,0),1)),"")</f>
        <v/>
      </c>
      <c r="N212" t="str" cm="1">
        <f t="array" ref="N212">IFERROR(DatumSzovegge4(INDEX(diakadat!$L$2:$L$50,MATCH(D212,diakadat!$J$2:$J$50,0),1)),"")</f>
        <v/>
      </c>
      <c r="O212" t="str">
        <f>IFERROR(INDEX(diakadat!$R$2:$R$50,MATCH(D212,diakadat!$J$2:$J$50,0),1),"")</f>
        <v/>
      </c>
      <c r="P212" t="str">
        <f>IFERROR(INDEX(diakadat!$AI$2:$AI$50,MATCH(D212,diakadat!$J$2:$J$50,0),1),"")</f>
        <v/>
      </c>
      <c r="Q212" t="str">
        <f>IFERROR(INDEX('rangsor'!$C$2:$C$343,MATCH(D212,'rangsor'!$A$2:$A$343,0),1),"")</f>
        <v/>
      </c>
      <c r="T212" t="s">
        <v>831</v>
      </c>
      <c r="U212" t="str" cm="1">
        <f t="array" ref="U212">Határozat(D212)</f>
        <v/>
      </c>
      <c r="AC212" t="str">
        <f>IFERROR(INDEX(diakadat!$U$2:$U$50,MATCH(D212,diakadat!$J$2:$J$50),1),"")</f>
        <v/>
      </c>
      <c r="AD212" t="str">
        <f>IFERROR(INDEX(diakadat!$V$2:$V$50,MATCH(D212,diakadat!$J$2:$J$50),1),"")</f>
        <v/>
      </c>
      <c r="AE212" t="str">
        <f>IFERROR(INDEX(diakadat!$W$2:$W$50,MATCH(D212,diakadat!$J$2:$J$50),1),"")</f>
        <v/>
      </c>
      <c r="AI212" t="str">
        <f>IFERROR(INDEX(diakadat!$X$2:$X$50,MATCH(D212,diakadat!$J$2:$J$50),1),"")</f>
        <v/>
      </c>
      <c r="AK212">
        <f t="shared" si="3"/>
        <v>329</v>
      </c>
      <c r="AL212" t="str" cm="1">
        <f t="array" ref="AL212">ElsoBetuNagy(R212)</f>
        <v/>
      </c>
      <c r="AO212" t="str" cm="1">
        <f t="array" ref="AO212">DatumSzovegge5(AN212)</f>
        <v>1899.</v>
      </c>
      <c r="AP212" t="str" cm="1">
        <f t="array" ref="AP212">DatumSzovegge3(AN212)</f>
        <v>december</v>
      </c>
      <c r="AQ212" t="str" cm="1">
        <f t="array" ref="AQ212">DatumSzovegge4(AN212)</f>
        <v>30.</v>
      </c>
    </row>
    <row r="213" spans="4:43" x14ac:dyDescent="0.25">
      <c r="D213" t="str" cm="1">
        <f t="array" ref="D213">SzuressNev($B$1,ROW()-1)</f>
        <v/>
      </c>
      <c r="E213">
        <f>COUNTIF($D$2:D213,D213)</f>
        <v>192</v>
      </c>
      <c r="F213" t="str" cm="1">
        <f t="array" ref="F213">ElutasitasEgyOk2(D213,E213)</f>
        <v/>
      </c>
      <c r="G213" t="str">
        <f>IFERROR(INDEX(diakadat!$I$2:$I$50,MATCH(D213,diakadat!$J$2:$J$50,0),1),"")</f>
        <v/>
      </c>
      <c r="H213" t="str">
        <f>IFERROR(INDEX(diakadat!$O$2:$O$50,MATCH(D213,diakadat!$J$2:$J$50,0),1),"")</f>
        <v/>
      </c>
      <c r="I213" t="str">
        <f>IFERROR(INDEX(diakadat!#REF!,MATCH(D213,diakadat!$J$2:$J$50,0),1),"")</f>
        <v/>
      </c>
      <c r="J213" t="str">
        <f>IFERROR(INDEX(diakadat!$K$2:$K$50,MATCH(D213,diakadat!$J$2:$J$50,0),1),"")</f>
        <v/>
      </c>
      <c r="K213" t="str" cm="1">
        <f t="array" ref="K213">IFERROR(DatumSzovegge2(INDEX(diakadat!$L$2:$L$50,MATCH(D213,diakadat!$J$2:$J$50,0),1)),"")</f>
        <v/>
      </c>
      <c r="L213" t="str" cm="1">
        <f t="array" ref="L213">IFERROR(DatumSzovegge5(INDEX(diakadat!$L$2:$L$50,MATCH(D213,diakadat!$J$2:$J$50,0),1)),"")</f>
        <v/>
      </c>
      <c r="M213" t="str" cm="1">
        <f t="array" ref="M213">IFERROR(DatumSzovegge3(INDEX(diakadat!$L$2:$L$50,MATCH(D213,diakadat!$J$2:$J$50,0),1)),"")</f>
        <v/>
      </c>
      <c r="N213" t="str" cm="1">
        <f t="array" ref="N213">IFERROR(DatumSzovegge4(INDEX(diakadat!$L$2:$L$50,MATCH(D213,diakadat!$J$2:$J$50,0),1)),"")</f>
        <v/>
      </c>
      <c r="O213" t="str">
        <f>IFERROR(INDEX(diakadat!$R$2:$R$50,MATCH(D213,diakadat!$J$2:$J$50,0),1),"")</f>
        <v/>
      </c>
      <c r="P213" t="str">
        <f>IFERROR(INDEX(diakadat!$AI$2:$AI$50,MATCH(D213,diakadat!$J$2:$J$50,0),1),"")</f>
        <v/>
      </c>
      <c r="Q213" t="str">
        <f>IFERROR(INDEX('rangsor'!$C$2:$C$343,MATCH(D213,'rangsor'!$A$2:$A$343,0),1),"")</f>
        <v/>
      </c>
      <c r="T213" t="s">
        <v>831</v>
      </c>
      <c r="U213" t="str" cm="1">
        <f t="array" ref="U213">Határozat(D213)</f>
        <v/>
      </c>
      <c r="AC213" t="str">
        <f>IFERROR(INDEX(diakadat!$U$2:$U$50,MATCH(D213,diakadat!$J$2:$J$50),1),"")</f>
        <v/>
      </c>
      <c r="AD213" t="str">
        <f>IFERROR(INDEX(diakadat!$V$2:$V$50,MATCH(D213,diakadat!$J$2:$J$50),1),"")</f>
        <v/>
      </c>
      <c r="AE213" t="str">
        <f>IFERROR(INDEX(diakadat!$W$2:$W$50,MATCH(D213,diakadat!$J$2:$J$50),1),"")</f>
        <v/>
      </c>
      <c r="AI213" t="str">
        <f>IFERROR(INDEX(diakadat!$X$2:$X$50,MATCH(D213,diakadat!$J$2:$J$50),1),"")</f>
        <v/>
      </c>
      <c r="AK213">
        <f t="shared" si="3"/>
        <v>329</v>
      </c>
      <c r="AL213" t="str" cm="1">
        <f t="array" ref="AL213">ElsoBetuNagy(R213)</f>
        <v/>
      </c>
      <c r="AO213" t="str" cm="1">
        <f t="array" ref="AO213">DatumSzovegge5(AN213)</f>
        <v>1899.</v>
      </c>
      <c r="AP213" t="str" cm="1">
        <f t="array" ref="AP213">DatumSzovegge3(AN213)</f>
        <v>december</v>
      </c>
      <c r="AQ213" t="str" cm="1">
        <f t="array" ref="AQ213">DatumSzovegge4(AN213)</f>
        <v>30.</v>
      </c>
    </row>
    <row r="214" spans="4:43" x14ac:dyDescent="0.25">
      <c r="D214" t="str" cm="1">
        <f t="array" ref="D214">SzuressNev($B$1,ROW()-1)</f>
        <v/>
      </c>
      <c r="E214">
        <f>COUNTIF($D$2:D214,D214)</f>
        <v>193</v>
      </c>
      <c r="F214" t="str" cm="1">
        <f t="array" ref="F214">ElutasitasEgyOk2(D214,E214)</f>
        <v/>
      </c>
      <c r="G214" t="str">
        <f>IFERROR(INDEX(diakadat!$I$2:$I$50,MATCH(D214,diakadat!$J$2:$J$50,0),1),"")</f>
        <v/>
      </c>
      <c r="H214" t="str">
        <f>IFERROR(INDEX(diakadat!$O$2:$O$50,MATCH(D214,diakadat!$J$2:$J$50,0),1),"")</f>
        <v/>
      </c>
      <c r="I214" t="str">
        <f>IFERROR(INDEX(diakadat!#REF!,MATCH(D214,diakadat!$J$2:$J$50,0),1),"")</f>
        <v/>
      </c>
      <c r="J214" t="str">
        <f>IFERROR(INDEX(diakadat!$K$2:$K$50,MATCH(D214,diakadat!$J$2:$J$50,0),1),"")</f>
        <v/>
      </c>
      <c r="K214" t="str" cm="1">
        <f t="array" ref="K214">IFERROR(DatumSzovegge2(INDEX(diakadat!$L$2:$L$50,MATCH(D214,diakadat!$J$2:$J$50,0),1)),"")</f>
        <v/>
      </c>
      <c r="L214" t="str" cm="1">
        <f t="array" ref="L214">IFERROR(DatumSzovegge5(INDEX(diakadat!$L$2:$L$50,MATCH(D214,diakadat!$J$2:$J$50,0),1)),"")</f>
        <v/>
      </c>
      <c r="M214" t="str" cm="1">
        <f t="array" ref="M214">IFERROR(DatumSzovegge3(INDEX(diakadat!$L$2:$L$50,MATCH(D214,diakadat!$J$2:$J$50,0),1)),"")</f>
        <v/>
      </c>
      <c r="N214" t="str" cm="1">
        <f t="array" ref="N214">IFERROR(DatumSzovegge4(INDEX(diakadat!$L$2:$L$50,MATCH(D214,diakadat!$J$2:$J$50,0),1)),"")</f>
        <v/>
      </c>
      <c r="O214" t="str">
        <f>IFERROR(INDEX(diakadat!$R$2:$R$50,MATCH(D214,diakadat!$J$2:$J$50,0),1),"")</f>
        <v/>
      </c>
      <c r="P214" t="str">
        <f>IFERROR(INDEX(diakadat!$AI$2:$AI$50,MATCH(D214,diakadat!$J$2:$J$50,0),1),"")</f>
        <v/>
      </c>
      <c r="Q214" t="str">
        <f>IFERROR(INDEX('rangsor'!$C$2:$C$343,MATCH(D214,'rangsor'!$A$2:$A$343,0),1),"")</f>
        <v/>
      </c>
      <c r="T214" t="s">
        <v>831</v>
      </c>
      <c r="U214" t="str" cm="1">
        <f t="array" ref="U214">Határozat(D214)</f>
        <v/>
      </c>
      <c r="AC214" t="str">
        <f>IFERROR(INDEX(diakadat!$U$2:$U$50,MATCH(D214,diakadat!$J$2:$J$50),1),"")</f>
        <v/>
      </c>
      <c r="AD214" t="str">
        <f>IFERROR(INDEX(diakadat!$V$2:$V$50,MATCH(D214,diakadat!$J$2:$J$50),1),"")</f>
        <v/>
      </c>
      <c r="AE214" t="str">
        <f>IFERROR(INDEX(diakadat!$W$2:$W$50,MATCH(D214,diakadat!$J$2:$J$50),1),"")</f>
        <v/>
      </c>
      <c r="AI214" t="str">
        <f>IFERROR(INDEX(diakadat!$X$2:$X$50,MATCH(D214,diakadat!$J$2:$J$50),1),"")</f>
        <v/>
      </c>
      <c r="AK214">
        <f t="shared" si="3"/>
        <v>329</v>
      </c>
      <c r="AL214" t="str" cm="1">
        <f t="array" ref="AL214">ElsoBetuNagy(R214)</f>
        <v/>
      </c>
      <c r="AO214" t="str" cm="1">
        <f t="array" ref="AO214">DatumSzovegge5(AN214)</f>
        <v>1899.</v>
      </c>
      <c r="AP214" t="str" cm="1">
        <f t="array" ref="AP214">DatumSzovegge3(AN214)</f>
        <v>december</v>
      </c>
      <c r="AQ214" t="str" cm="1">
        <f t="array" ref="AQ214">DatumSzovegge4(AN214)</f>
        <v>30.</v>
      </c>
    </row>
    <row r="215" spans="4:43" x14ac:dyDescent="0.25">
      <c r="D215" t="str" cm="1">
        <f t="array" ref="D215">SzuressNev($B$1,ROW()-1)</f>
        <v/>
      </c>
      <c r="E215">
        <f>COUNTIF($D$2:D215,D215)</f>
        <v>194</v>
      </c>
      <c r="F215" t="str" cm="1">
        <f t="array" ref="F215">ElutasitasEgyOk2(D215,E215)</f>
        <v/>
      </c>
      <c r="G215" t="str">
        <f>IFERROR(INDEX(diakadat!$I$2:$I$50,MATCH(D215,diakadat!$J$2:$J$50,0),1),"")</f>
        <v/>
      </c>
      <c r="H215" t="str">
        <f>IFERROR(INDEX(diakadat!$O$2:$O$50,MATCH(D215,diakadat!$J$2:$J$50,0),1),"")</f>
        <v/>
      </c>
      <c r="I215" t="str">
        <f>IFERROR(INDEX(diakadat!#REF!,MATCH(D215,diakadat!$J$2:$J$50,0),1),"")</f>
        <v/>
      </c>
      <c r="J215" t="str">
        <f>IFERROR(INDEX(diakadat!$K$2:$K$50,MATCH(D215,diakadat!$J$2:$J$50,0),1),"")</f>
        <v/>
      </c>
      <c r="K215" t="str" cm="1">
        <f t="array" ref="K215">IFERROR(DatumSzovegge2(INDEX(diakadat!$L$2:$L$50,MATCH(D215,diakadat!$J$2:$J$50,0),1)),"")</f>
        <v/>
      </c>
      <c r="L215" t="str" cm="1">
        <f t="array" ref="L215">IFERROR(DatumSzovegge5(INDEX(diakadat!$L$2:$L$50,MATCH(D215,diakadat!$J$2:$J$50,0),1)),"")</f>
        <v/>
      </c>
      <c r="M215" t="str" cm="1">
        <f t="array" ref="M215">IFERROR(DatumSzovegge3(INDEX(diakadat!$L$2:$L$50,MATCH(D215,diakadat!$J$2:$J$50,0),1)),"")</f>
        <v/>
      </c>
      <c r="N215" t="str" cm="1">
        <f t="array" ref="N215">IFERROR(DatumSzovegge4(INDEX(diakadat!$L$2:$L$50,MATCH(D215,diakadat!$J$2:$J$50,0),1)),"")</f>
        <v/>
      </c>
      <c r="O215" t="str">
        <f>IFERROR(INDEX(diakadat!$R$2:$R$50,MATCH(D215,diakadat!$J$2:$J$50,0),1),"")</f>
        <v/>
      </c>
      <c r="P215" t="str">
        <f>IFERROR(INDEX(diakadat!$AI$2:$AI$50,MATCH(D215,diakadat!$J$2:$J$50,0),1),"")</f>
        <v/>
      </c>
      <c r="Q215" t="str">
        <f>IFERROR(INDEX('rangsor'!$C$2:$C$343,MATCH(D215,'rangsor'!$A$2:$A$343,0),1),"")</f>
        <v/>
      </c>
      <c r="T215" t="s">
        <v>831</v>
      </c>
      <c r="U215" t="str" cm="1">
        <f t="array" ref="U215">Határozat(D215)</f>
        <v/>
      </c>
      <c r="AC215" t="str">
        <f>IFERROR(INDEX(diakadat!$U$2:$U$50,MATCH(D215,diakadat!$J$2:$J$50),1),"")</f>
        <v/>
      </c>
      <c r="AD215" t="str">
        <f>IFERROR(INDEX(diakadat!$V$2:$V$50,MATCH(D215,diakadat!$J$2:$J$50),1),"")</f>
        <v/>
      </c>
      <c r="AE215" t="str">
        <f>IFERROR(INDEX(diakadat!$W$2:$W$50,MATCH(D215,diakadat!$J$2:$J$50),1),"")</f>
        <v/>
      </c>
      <c r="AI215" t="str">
        <f>IFERROR(INDEX(diakadat!$X$2:$X$50,MATCH(D215,diakadat!$J$2:$J$50),1),"")</f>
        <v/>
      </c>
      <c r="AK215">
        <f t="shared" si="3"/>
        <v>329</v>
      </c>
      <c r="AL215" t="str" cm="1">
        <f t="array" ref="AL215">ElsoBetuNagy(R215)</f>
        <v/>
      </c>
      <c r="AO215" t="str" cm="1">
        <f t="array" ref="AO215">DatumSzovegge5(AN215)</f>
        <v>1899.</v>
      </c>
      <c r="AP215" t="str" cm="1">
        <f t="array" ref="AP215">DatumSzovegge3(AN215)</f>
        <v>december</v>
      </c>
      <c r="AQ215" t="str" cm="1">
        <f t="array" ref="AQ215">DatumSzovegge4(AN215)</f>
        <v>30.</v>
      </c>
    </row>
    <row r="216" spans="4:43" x14ac:dyDescent="0.25">
      <c r="D216" t="str" cm="1">
        <f t="array" ref="D216">SzuressNev($B$1,ROW()-1)</f>
        <v/>
      </c>
      <c r="E216">
        <f>COUNTIF($D$2:D216,D216)</f>
        <v>195</v>
      </c>
      <c r="F216" t="str" cm="1">
        <f t="array" ref="F216">ElutasitasEgyOk2(D216,E216)</f>
        <v/>
      </c>
      <c r="G216" t="str">
        <f>IFERROR(INDEX(diakadat!$I$2:$I$50,MATCH(D216,diakadat!$J$2:$J$50,0),1),"")</f>
        <v/>
      </c>
      <c r="H216" t="str">
        <f>IFERROR(INDEX(diakadat!$O$2:$O$50,MATCH(D216,diakadat!$J$2:$J$50,0),1),"")</f>
        <v/>
      </c>
      <c r="I216" t="str">
        <f>IFERROR(INDEX(diakadat!#REF!,MATCH(D216,diakadat!$J$2:$J$50,0),1),"")</f>
        <v/>
      </c>
      <c r="J216" t="str">
        <f>IFERROR(INDEX(diakadat!$K$2:$K$50,MATCH(D216,diakadat!$J$2:$J$50,0),1),"")</f>
        <v/>
      </c>
      <c r="K216" t="str" cm="1">
        <f t="array" ref="K216">IFERROR(DatumSzovegge2(INDEX(diakadat!$L$2:$L$50,MATCH(D216,diakadat!$J$2:$J$50,0),1)),"")</f>
        <v/>
      </c>
      <c r="L216" t="str" cm="1">
        <f t="array" ref="L216">IFERROR(DatumSzovegge5(INDEX(diakadat!$L$2:$L$50,MATCH(D216,diakadat!$J$2:$J$50,0),1)),"")</f>
        <v/>
      </c>
      <c r="M216" t="str" cm="1">
        <f t="array" ref="M216">IFERROR(DatumSzovegge3(INDEX(diakadat!$L$2:$L$50,MATCH(D216,diakadat!$J$2:$J$50,0),1)),"")</f>
        <v/>
      </c>
      <c r="N216" t="str" cm="1">
        <f t="array" ref="N216">IFERROR(DatumSzovegge4(INDEX(diakadat!$L$2:$L$50,MATCH(D216,diakadat!$J$2:$J$50,0),1)),"")</f>
        <v/>
      </c>
      <c r="O216" t="str">
        <f>IFERROR(INDEX(diakadat!$R$2:$R$50,MATCH(D216,diakadat!$J$2:$J$50,0),1),"")</f>
        <v/>
      </c>
      <c r="P216" t="str">
        <f>IFERROR(INDEX(diakadat!$AI$2:$AI$50,MATCH(D216,diakadat!$J$2:$J$50,0),1),"")</f>
        <v/>
      </c>
      <c r="Q216" t="str">
        <f>IFERROR(INDEX('rangsor'!$C$2:$C$343,MATCH(D216,'rangsor'!$A$2:$A$343,0),1),"")</f>
        <v/>
      </c>
      <c r="T216" t="s">
        <v>831</v>
      </c>
      <c r="U216" t="str" cm="1">
        <f t="array" ref="U216">Határozat(D216)</f>
        <v/>
      </c>
      <c r="AC216" t="str">
        <f>IFERROR(INDEX(diakadat!$U$2:$U$50,MATCH(D216,diakadat!$J$2:$J$50),1),"")</f>
        <v/>
      </c>
      <c r="AD216" t="str">
        <f>IFERROR(INDEX(diakadat!$V$2:$V$50,MATCH(D216,diakadat!$J$2:$J$50),1),"")</f>
        <v/>
      </c>
      <c r="AE216" t="str">
        <f>IFERROR(INDEX(diakadat!$W$2:$W$50,MATCH(D216,diakadat!$J$2:$J$50),1),"")</f>
        <v/>
      </c>
      <c r="AI216" t="str">
        <f>IFERROR(INDEX(diakadat!$X$2:$X$50,MATCH(D216,diakadat!$J$2:$J$50),1),"")</f>
        <v/>
      </c>
      <c r="AK216">
        <f t="shared" si="3"/>
        <v>329</v>
      </c>
      <c r="AL216" t="str" cm="1">
        <f t="array" ref="AL216">ElsoBetuNagy(R216)</f>
        <v/>
      </c>
      <c r="AO216" t="str" cm="1">
        <f t="array" ref="AO216">DatumSzovegge5(AN216)</f>
        <v>1899.</v>
      </c>
      <c r="AP216" t="str" cm="1">
        <f t="array" ref="AP216">DatumSzovegge3(AN216)</f>
        <v>december</v>
      </c>
      <c r="AQ216" t="str" cm="1">
        <f t="array" ref="AQ216">DatumSzovegge4(AN216)</f>
        <v>30.</v>
      </c>
    </row>
    <row r="217" spans="4:43" x14ac:dyDescent="0.25">
      <c r="D217" t="str" cm="1">
        <f t="array" ref="D217">SzuressNev($B$1,ROW()-1)</f>
        <v/>
      </c>
      <c r="E217">
        <f>COUNTIF($D$2:D217,D217)</f>
        <v>196</v>
      </c>
      <c r="F217" t="str" cm="1">
        <f t="array" ref="F217">ElutasitasEgyOk2(D217,E217)</f>
        <v/>
      </c>
      <c r="G217" t="str">
        <f>IFERROR(INDEX(diakadat!$I$2:$I$50,MATCH(D217,diakadat!$J$2:$J$50,0),1),"")</f>
        <v/>
      </c>
      <c r="H217" t="str">
        <f>IFERROR(INDEX(diakadat!$O$2:$O$50,MATCH(D217,diakadat!$J$2:$J$50,0),1),"")</f>
        <v/>
      </c>
      <c r="I217" t="str">
        <f>IFERROR(INDEX(diakadat!#REF!,MATCH(D217,diakadat!$J$2:$J$50,0),1),"")</f>
        <v/>
      </c>
      <c r="J217" t="str">
        <f>IFERROR(INDEX(diakadat!$K$2:$K$50,MATCH(D217,diakadat!$J$2:$J$50,0),1),"")</f>
        <v/>
      </c>
      <c r="K217" t="str" cm="1">
        <f t="array" ref="K217">IFERROR(DatumSzovegge2(INDEX(diakadat!$L$2:$L$50,MATCH(D217,diakadat!$J$2:$J$50,0),1)),"")</f>
        <v/>
      </c>
      <c r="L217" t="str" cm="1">
        <f t="array" ref="L217">IFERROR(DatumSzovegge5(INDEX(diakadat!$L$2:$L$50,MATCH(D217,diakadat!$J$2:$J$50,0),1)),"")</f>
        <v/>
      </c>
      <c r="M217" t="str" cm="1">
        <f t="array" ref="M217">IFERROR(DatumSzovegge3(INDEX(diakadat!$L$2:$L$50,MATCH(D217,diakadat!$J$2:$J$50,0),1)),"")</f>
        <v/>
      </c>
      <c r="N217" t="str" cm="1">
        <f t="array" ref="N217">IFERROR(DatumSzovegge4(INDEX(diakadat!$L$2:$L$50,MATCH(D217,diakadat!$J$2:$J$50,0),1)),"")</f>
        <v/>
      </c>
      <c r="O217" t="str">
        <f>IFERROR(INDEX(diakadat!$R$2:$R$50,MATCH(D217,diakadat!$J$2:$J$50,0),1),"")</f>
        <v/>
      </c>
      <c r="P217" t="str">
        <f>IFERROR(INDEX(diakadat!$AI$2:$AI$50,MATCH(D217,diakadat!$J$2:$J$50,0),1),"")</f>
        <v/>
      </c>
      <c r="Q217" t="str">
        <f>IFERROR(INDEX('rangsor'!$C$2:$C$343,MATCH(D217,'rangsor'!$A$2:$A$343,0),1),"")</f>
        <v/>
      </c>
      <c r="T217" t="s">
        <v>831</v>
      </c>
      <c r="U217" t="str" cm="1">
        <f t="array" ref="U217">Határozat(D217)</f>
        <v/>
      </c>
      <c r="AC217" t="str">
        <f>IFERROR(INDEX(diakadat!$U$2:$U$50,MATCH(D217,diakadat!$J$2:$J$50),1),"")</f>
        <v/>
      </c>
      <c r="AD217" t="str">
        <f>IFERROR(INDEX(diakadat!$V$2:$V$50,MATCH(D217,diakadat!$J$2:$J$50),1),"")</f>
        <v/>
      </c>
      <c r="AE217" t="str">
        <f>IFERROR(INDEX(diakadat!$W$2:$W$50,MATCH(D217,diakadat!$J$2:$J$50),1),"")</f>
        <v/>
      </c>
      <c r="AI217" t="str">
        <f>IFERROR(INDEX(diakadat!$X$2:$X$50,MATCH(D217,diakadat!$J$2:$J$50),1),"")</f>
        <v/>
      </c>
      <c r="AK217">
        <f t="shared" si="3"/>
        <v>329</v>
      </c>
      <c r="AL217" t="str" cm="1">
        <f t="array" ref="AL217">ElsoBetuNagy(R217)</f>
        <v/>
      </c>
      <c r="AO217" t="str" cm="1">
        <f t="array" ref="AO217">DatumSzovegge5(AN217)</f>
        <v>1899.</v>
      </c>
      <c r="AP217" t="str" cm="1">
        <f t="array" ref="AP217">DatumSzovegge3(AN217)</f>
        <v>december</v>
      </c>
      <c r="AQ217" t="str" cm="1">
        <f t="array" ref="AQ217">DatumSzovegge4(AN217)</f>
        <v>30.</v>
      </c>
    </row>
    <row r="218" spans="4:43" x14ac:dyDescent="0.25">
      <c r="D218" t="str" cm="1">
        <f t="array" ref="D218">SzuressNev($B$1,ROW()-1)</f>
        <v/>
      </c>
      <c r="E218">
        <f>COUNTIF($D$2:D218,D218)</f>
        <v>197</v>
      </c>
      <c r="F218" t="str" cm="1">
        <f t="array" ref="F218">ElutasitasEgyOk2(D218,E218)</f>
        <v/>
      </c>
      <c r="G218" t="str">
        <f>IFERROR(INDEX(diakadat!$I$2:$I$50,MATCH(D218,diakadat!$J$2:$J$50,0),1),"")</f>
        <v/>
      </c>
      <c r="H218" t="str">
        <f>IFERROR(INDEX(diakadat!$O$2:$O$50,MATCH(D218,diakadat!$J$2:$J$50,0),1),"")</f>
        <v/>
      </c>
      <c r="I218" t="str">
        <f>IFERROR(INDEX(diakadat!#REF!,MATCH(D218,diakadat!$J$2:$J$50,0),1),"")</f>
        <v/>
      </c>
      <c r="J218" t="str">
        <f>IFERROR(INDEX(diakadat!$K$2:$K$50,MATCH(D218,diakadat!$J$2:$J$50,0),1),"")</f>
        <v/>
      </c>
      <c r="K218" t="str" cm="1">
        <f t="array" ref="K218">IFERROR(DatumSzovegge2(INDEX(diakadat!$L$2:$L$50,MATCH(D218,diakadat!$J$2:$J$50,0),1)),"")</f>
        <v/>
      </c>
      <c r="L218" t="str" cm="1">
        <f t="array" ref="L218">IFERROR(DatumSzovegge5(INDEX(diakadat!$L$2:$L$50,MATCH(D218,diakadat!$J$2:$J$50,0),1)),"")</f>
        <v/>
      </c>
      <c r="M218" t="str" cm="1">
        <f t="array" ref="M218">IFERROR(DatumSzovegge3(INDEX(diakadat!$L$2:$L$50,MATCH(D218,diakadat!$J$2:$J$50,0),1)),"")</f>
        <v/>
      </c>
      <c r="N218" t="str" cm="1">
        <f t="array" ref="N218">IFERROR(DatumSzovegge4(INDEX(diakadat!$L$2:$L$50,MATCH(D218,diakadat!$J$2:$J$50,0),1)),"")</f>
        <v/>
      </c>
      <c r="O218" t="str">
        <f>IFERROR(INDEX(diakadat!$R$2:$R$50,MATCH(D218,diakadat!$J$2:$J$50,0),1),"")</f>
        <v/>
      </c>
      <c r="P218" t="str">
        <f>IFERROR(INDEX(diakadat!$AI$2:$AI$50,MATCH(D218,diakadat!$J$2:$J$50,0),1),"")</f>
        <v/>
      </c>
      <c r="Q218" t="str">
        <f>IFERROR(INDEX('rangsor'!$C$2:$C$343,MATCH(D218,'rangsor'!$A$2:$A$343,0),1),"")</f>
        <v/>
      </c>
      <c r="T218" t="s">
        <v>831</v>
      </c>
      <c r="U218" t="str" cm="1">
        <f t="array" ref="U218">Határozat(D218)</f>
        <v/>
      </c>
      <c r="AC218" t="str">
        <f>IFERROR(INDEX(diakadat!$U$2:$U$50,MATCH(D218,diakadat!$J$2:$J$50),1),"")</f>
        <v/>
      </c>
      <c r="AD218" t="str">
        <f>IFERROR(INDEX(diakadat!$V$2:$V$50,MATCH(D218,diakadat!$J$2:$J$50),1),"")</f>
        <v/>
      </c>
      <c r="AE218" t="str">
        <f>IFERROR(INDEX(diakadat!$W$2:$W$50,MATCH(D218,diakadat!$J$2:$J$50),1),"")</f>
        <v/>
      </c>
      <c r="AI218" t="str">
        <f>IFERROR(INDEX(diakadat!$X$2:$X$50,MATCH(D218,diakadat!$J$2:$J$50),1),"")</f>
        <v/>
      </c>
      <c r="AK218">
        <f t="shared" si="3"/>
        <v>329</v>
      </c>
      <c r="AL218" t="str" cm="1">
        <f t="array" ref="AL218">ElsoBetuNagy(R218)</f>
        <v/>
      </c>
      <c r="AO218" t="str" cm="1">
        <f t="array" ref="AO218">DatumSzovegge5(AN218)</f>
        <v>1899.</v>
      </c>
      <c r="AP218" t="str" cm="1">
        <f t="array" ref="AP218">DatumSzovegge3(AN218)</f>
        <v>december</v>
      </c>
      <c r="AQ218" t="str" cm="1">
        <f t="array" ref="AQ218">DatumSzovegge4(AN218)</f>
        <v>30.</v>
      </c>
    </row>
    <row r="219" spans="4:43" x14ac:dyDescent="0.25">
      <c r="D219" t="str" cm="1">
        <f t="array" ref="D219">SzuressNev($B$1,ROW()-1)</f>
        <v/>
      </c>
      <c r="E219">
        <f>COUNTIF($D$2:D219,D219)</f>
        <v>198</v>
      </c>
      <c r="F219" t="str" cm="1">
        <f t="array" ref="F219">ElutasitasEgyOk2(D219,E219)</f>
        <v/>
      </c>
      <c r="G219" t="str">
        <f>IFERROR(INDEX(diakadat!$I$2:$I$50,MATCH(D219,diakadat!$J$2:$J$50,0),1),"")</f>
        <v/>
      </c>
      <c r="H219" t="str">
        <f>IFERROR(INDEX(diakadat!$O$2:$O$50,MATCH(D219,diakadat!$J$2:$J$50,0),1),"")</f>
        <v/>
      </c>
      <c r="I219" t="str">
        <f>IFERROR(INDEX(diakadat!#REF!,MATCH(D219,diakadat!$J$2:$J$50,0),1),"")</f>
        <v/>
      </c>
      <c r="J219" t="str">
        <f>IFERROR(INDEX(diakadat!$K$2:$K$50,MATCH(D219,diakadat!$J$2:$J$50,0),1),"")</f>
        <v/>
      </c>
      <c r="K219" t="str" cm="1">
        <f t="array" ref="K219">IFERROR(DatumSzovegge2(INDEX(diakadat!$L$2:$L$50,MATCH(D219,diakadat!$J$2:$J$50,0),1)),"")</f>
        <v/>
      </c>
      <c r="L219" t="str" cm="1">
        <f t="array" ref="L219">IFERROR(DatumSzovegge5(INDEX(diakadat!$L$2:$L$50,MATCH(D219,diakadat!$J$2:$J$50,0),1)),"")</f>
        <v/>
      </c>
      <c r="M219" t="str" cm="1">
        <f t="array" ref="M219">IFERROR(DatumSzovegge3(INDEX(diakadat!$L$2:$L$50,MATCH(D219,diakadat!$J$2:$J$50,0),1)),"")</f>
        <v/>
      </c>
      <c r="N219" t="str" cm="1">
        <f t="array" ref="N219">IFERROR(DatumSzovegge4(INDEX(diakadat!$L$2:$L$50,MATCH(D219,diakadat!$J$2:$J$50,0),1)),"")</f>
        <v/>
      </c>
      <c r="O219" t="str">
        <f>IFERROR(INDEX(diakadat!$R$2:$R$50,MATCH(D219,diakadat!$J$2:$J$50,0),1),"")</f>
        <v/>
      </c>
      <c r="P219" t="str">
        <f>IFERROR(INDEX(diakadat!$AI$2:$AI$50,MATCH(D219,diakadat!$J$2:$J$50,0),1),"")</f>
        <v/>
      </c>
      <c r="Q219" t="str">
        <f>IFERROR(INDEX('rangsor'!$C$2:$C$343,MATCH(D219,'rangsor'!$A$2:$A$343,0),1),"")</f>
        <v/>
      </c>
      <c r="T219" t="s">
        <v>831</v>
      </c>
      <c r="U219" t="str" cm="1">
        <f t="array" ref="U219">Határozat(D219)</f>
        <v/>
      </c>
      <c r="AC219" t="str">
        <f>IFERROR(INDEX(diakadat!$U$2:$U$50,MATCH(D219,diakadat!$J$2:$J$50),1),"")</f>
        <v/>
      </c>
      <c r="AD219" t="str">
        <f>IFERROR(INDEX(diakadat!$V$2:$V$50,MATCH(D219,diakadat!$J$2:$J$50),1),"")</f>
        <v/>
      </c>
      <c r="AE219" t="str">
        <f>IFERROR(INDEX(diakadat!$W$2:$W$50,MATCH(D219,diakadat!$J$2:$J$50),1),"")</f>
        <v/>
      </c>
      <c r="AI219" t="str">
        <f>IFERROR(INDEX(diakadat!$X$2:$X$50,MATCH(D219,diakadat!$J$2:$J$50),1),"")</f>
        <v/>
      </c>
      <c r="AK219">
        <f t="shared" si="3"/>
        <v>329</v>
      </c>
      <c r="AL219" t="str" cm="1">
        <f t="array" ref="AL219">ElsoBetuNagy(R219)</f>
        <v/>
      </c>
      <c r="AO219" t="str" cm="1">
        <f t="array" ref="AO219">DatumSzovegge5(AN219)</f>
        <v>1899.</v>
      </c>
      <c r="AP219" t="str" cm="1">
        <f t="array" ref="AP219">DatumSzovegge3(AN219)</f>
        <v>december</v>
      </c>
      <c r="AQ219" t="str" cm="1">
        <f t="array" ref="AQ219">DatumSzovegge4(AN219)</f>
        <v>30.</v>
      </c>
    </row>
    <row r="220" spans="4:43" x14ac:dyDescent="0.25">
      <c r="D220" t="str" cm="1">
        <f t="array" ref="D220">SzuressNev($B$1,ROW()-1)</f>
        <v/>
      </c>
      <c r="E220">
        <f>COUNTIF($D$2:D220,D220)</f>
        <v>199</v>
      </c>
      <c r="F220" t="str" cm="1">
        <f t="array" ref="F220">ElutasitasEgyOk2(D220,E220)</f>
        <v/>
      </c>
      <c r="G220" t="str">
        <f>IFERROR(INDEX(diakadat!$I$2:$I$50,MATCH(D220,diakadat!$J$2:$J$50,0),1),"")</f>
        <v/>
      </c>
      <c r="H220" t="str">
        <f>IFERROR(INDEX(diakadat!$O$2:$O$50,MATCH(D220,diakadat!$J$2:$J$50,0),1),"")</f>
        <v/>
      </c>
      <c r="I220" t="str">
        <f>IFERROR(INDEX(diakadat!#REF!,MATCH(D220,diakadat!$J$2:$J$50,0),1),"")</f>
        <v/>
      </c>
      <c r="J220" t="str">
        <f>IFERROR(INDEX(diakadat!$K$2:$K$50,MATCH(D220,diakadat!$J$2:$J$50,0),1),"")</f>
        <v/>
      </c>
      <c r="K220" t="str" cm="1">
        <f t="array" ref="K220">IFERROR(DatumSzovegge2(INDEX(diakadat!$L$2:$L$50,MATCH(D220,diakadat!$J$2:$J$50,0),1)),"")</f>
        <v/>
      </c>
      <c r="L220" t="str" cm="1">
        <f t="array" ref="L220">IFERROR(DatumSzovegge5(INDEX(diakadat!$L$2:$L$50,MATCH(D220,diakadat!$J$2:$J$50,0),1)),"")</f>
        <v/>
      </c>
      <c r="M220" t="str" cm="1">
        <f t="array" ref="M220">IFERROR(DatumSzovegge3(INDEX(diakadat!$L$2:$L$50,MATCH(D220,diakadat!$J$2:$J$50,0),1)),"")</f>
        <v/>
      </c>
      <c r="N220" t="str" cm="1">
        <f t="array" ref="N220">IFERROR(DatumSzovegge4(INDEX(diakadat!$L$2:$L$50,MATCH(D220,diakadat!$J$2:$J$50,0),1)),"")</f>
        <v/>
      </c>
      <c r="O220" t="str">
        <f>IFERROR(INDEX(diakadat!$R$2:$R$50,MATCH(D220,diakadat!$J$2:$J$50,0),1),"")</f>
        <v/>
      </c>
      <c r="P220" t="str">
        <f>IFERROR(INDEX(diakadat!$AI$2:$AI$50,MATCH(D220,diakadat!$J$2:$J$50,0),1),"")</f>
        <v/>
      </c>
      <c r="Q220" t="str">
        <f>IFERROR(INDEX('rangsor'!$C$2:$C$343,MATCH(D220,'rangsor'!$A$2:$A$343,0),1),"")</f>
        <v/>
      </c>
      <c r="T220" t="s">
        <v>831</v>
      </c>
      <c r="U220" t="str" cm="1">
        <f t="array" ref="U220">Határozat(D220)</f>
        <v/>
      </c>
      <c r="AC220" t="str">
        <f>IFERROR(INDEX(diakadat!$U$2:$U$50,MATCH(D220,diakadat!$J$2:$J$50),1),"")</f>
        <v/>
      </c>
      <c r="AD220" t="str">
        <f>IFERROR(INDEX(diakadat!$V$2:$V$50,MATCH(D220,diakadat!$J$2:$J$50),1),"")</f>
        <v/>
      </c>
      <c r="AE220" t="str">
        <f>IFERROR(INDEX(diakadat!$W$2:$W$50,MATCH(D220,diakadat!$J$2:$J$50),1),"")</f>
        <v/>
      </c>
      <c r="AI220" t="str">
        <f>IFERROR(INDEX(diakadat!$X$2:$X$50,MATCH(D220,diakadat!$J$2:$J$50),1),"")</f>
        <v/>
      </c>
      <c r="AK220">
        <f t="shared" si="3"/>
        <v>329</v>
      </c>
      <c r="AL220" t="str" cm="1">
        <f t="array" ref="AL220">ElsoBetuNagy(R220)</f>
        <v/>
      </c>
      <c r="AO220" t="str" cm="1">
        <f t="array" ref="AO220">DatumSzovegge5(AN220)</f>
        <v>1899.</v>
      </c>
      <c r="AP220" t="str" cm="1">
        <f t="array" ref="AP220">DatumSzovegge3(AN220)</f>
        <v>december</v>
      </c>
      <c r="AQ220" t="str" cm="1">
        <f t="array" ref="AQ220">DatumSzovegge4(AN220)</f>
        <v>30.</v>
      </c>
    </row>
    <row r="221" spans="4:43" x14ac:dyDescent="0.25">
      <c r="D221" t="str" cm="1">
        <f t="array" ref="D221">SzuressNev($B$1,ROW()-1)</f>
        <v/>
      </c>
      <c r="E221">
        <f>COUNTIF($D$2:D221,D221)</f>
        <v>200</v>
      </c>
      <c r="F221" t="str" cm="1">
        <f t="array" ref="F221">ElutasitasEgyOk2(D221,E221)</f>
        <v/>
      </c>
      <c r="G221" t="str">
        <f>IFERROR(INDEX(diakadat!$I$2:$I$50,MATCH(D221,diakadat!$J$2:$J$50,0),1),"")</f>
        <v/>
      </c>
      <c r="H221" t="str">
        <f>IFERROR(INDEX(diakadat!$O$2:$O$50,MATCH(D221,diakadat!$J$2:$J$50,0),1),"")</f>
        <v/>
      </c>
      <c r="I221" t="str">
        <f>IFERROR(INDEX(diakadat!#REF!,MATCH(D221,diakadat!$J$2:$J$50,0),1),"")</f>
        <v/>
      </c>
      <c r="J221" t="str">
        <f>IFERROR(INDEX(diakadat!$K$2:$K$50,MATCH(D221,diakadat!$J$2:$J$50,0),1),"")</f>
        <v/>
      </c>
      <c r="K221" t="str" cm="1">
        <f t="array" ref="K221">IFERROR(DatumSzovegge2(INDEX(diakadat!$L$2:$L$50,MATCH(D221,diakadat!$J$2:$J$50,0),1)),"")</f>
        <v/>
      </c>
      <c r="L221" t="str" cm="1">
        <f t="array" ref="L221">IFERROR(DatumSzovegge5(INDEX(diakadat!$L$2:$L$50,MATCH(D221,diakadat!$J$2:$J$50,0),1)),"")</f>
        <v/>
      </c>
      <c r="M221" t="str" cm="1">
        <f t="array" ref="M221">IFERROR(DatumSzovegge3(INDEX(diakadat!$L$2:$L$50,MATCH(D221,diakadat!$J$2:$J$50,0),1)),"")</f>
        <v/>
      </c>
      <c r="N221" t="str" cm="1">
        <f t="array" ref="N221">IFERROR(DatumSzovegge4(INDEX(diakadat!$L$2:$L$50,MATCH(D221,diakadat!$J$2:$J$50,0),1)),"")</f>
        <v/>
      </c>
      <c r="O221" t="str">
        <f>IFERROR(INDEX(diakadat!$R$2:$R$50,MATCH(D221,diakadat!$J$2:$J$50,0),1),"")</f>
        <v/>
      </c>
      <c r="P221" t="str">
        <f>IFERROR(INDEX(diakadat!$AI$2:$AI$50,MATCH(D221,diakadat!$J$2:$J$50,0),1),"")</f>
        <v/>
      </c>
      <c r="Q221" t="str">
        <f>IFERROR(INDEX('rangsor'!$C$2:$C$343,MATCH(D221,'rangsor'!$A$2:$A$343,0),1),"")</f>
        <v/>
      </c>
      <c r="T221" t="s">
        <v>831</v>
      </c>
      <c r="U221" t="str" cm="1">
        <f t="array" ref="U221">Határozat(D221)</f>
        <v/>
      </c>
      <c r="AC221" t="str">
        <f>IFERROR(INDEX(diakadat!$U$2:$U$50,MATCH(D221,diakadat!$J$2:$J$50),1),"")</f>
        <v/>
      </c>
      <c r="AD221" t="str">
        <f>IFERROR(INDEX(diakadat!$V$2:$V$50,MATCH(D221,diakadat!$J$2:$J$50),1),"")</f>
        <v/>
      </c>
      <c r="AE221" t="str">
        <f>IFERROR(INDEX(diakadat!$W$2:$W$50,MATCH(D221,diakadat!$J$2:$J$50),1),"")</f>
        <v/>
      </c>
      <c r="AI221" t="str">
        <f>IFERROR(INDEX(diakadat!$X$2:$X$50,MATCH(D221,diakadat!$J$2:$J$50),1),"")</f>
        <v/>
      </c>
      <c r="AK221">
        <f t="shared" si="3"/>
        <v>329</v>
      </c>
      <c r="AL221" t="str" cm="1">
        <f t="array" ref="AL221">ElsoBetuNagy(R221)</f>
        <v/>
      </c>
      <c r="AO221" t="str" cm="1">
        <f t="array" ref="AO221">DatumSzovegge5(AN221)</f>
        <v>1899.</v>
      </c>
      <c r="AP221" t="str" cm="1">
        <f t="array" ref="AP221">DatumSzovegge3(AN221)</f>
        <v>december</v>
      </c>
      <c r="AQ221" t="str" cm="1">
        <f t="array" ref="AQ221">DatumSzovegge4(AN221)</f>
        <v>30.</v>
      </c>
    </row>
    <row r="222" spans="4:43" x14ac:dyDescent="0.25">
      <c r="D222" t="str" cm="1">
        <f t="array" ref="D222">SzuressNev($B$1,ROW()-1)</f>
        <v/>
      </c>
      <c r="E222">
        <f>COUNTIF($D$2:D222,D222)</f>
        <v>201</v>
      </c>
      <c r="F222" t="str" cm="1">
        <f t="array" ref="F222">ElutasitasEgyOk2(D222,E222)</f>
        <v/>
      </c>
      <c r="G222" t="str">
        <f>IFERROR(INDEX(diakadat!$I$2:$I$50,MATCH(D222,diakadat!$J$2:$J$50,0),1),"")</f>
        <v/>
      </c>
      <c r="H222" t="str">
        <f>IFERROR(INDEX(diakadat!$O$2:$O$50,MATCH(D222,diakadat!$J$2:$J$50,0),1),"")</f>
        <v/>
      </c>
      <c r="I222" t="str">
        <f>IFERROR(INDEX(diakadat!#REF!,MATCH(D222,diakadat!$J$2:$J$50,0),1),"")</f>
        <v/>
      </c>
      <c r="J222" t="str">
        <f>IFERROR(INDEX(diakadat!$K$2:$K$50,MATCH(D222,diakadat!$J$2:$J$50,0),1),"")</f>
        <v/>
      </c>
      <c r="K222" t="str" cm="1">
        <f t="array" ref="K222">IFERROR(DatumSzovegge2(INDEX(diakadat!$L$2:$L$50,MATCH(D222,diakadat!$J$2:$J$50,0),1)),"")</f>
        <v/>
      </c>
      <c r="L222" t="str" cm="1">
        <f t="array" ref="L222">IFERROR(DatumSzovegge5(INDEX(diakadat!$L$2:$L$50,MATCH(D222,diakadat!$J$2:$J$50,0),1)),"")</f>
        <v/>
      </c>
      <c r="M222" t="str" cm="1">
        <f t="array" ref="M222">IFERROR(DatumSzovegge3(INDEX(diakadat!$L$2:$L$50,MATCH(D222,diakadat!$J$2:$J$50,0),1)),"")</f>
        <v/>
      </c>
      <c r="N222" t="str" cm="1">
        <f t="array" ref="N222">IFERROR(DatumSzovegge4(INDEX(diakadat!$L$2:$L$50,MATCH(D222,diakadat!$J$2:$J$50,0),1)),"")</f>
        <v/>
      </c>
      <c r="O222" t="str">
        <f>IFERROR(INDEX(diakadat!$R$2:$R$50,MATCH(D222,diakadat!$J$2:$J$50,0),1),"")</f>
        <v/>
      </c>
      <c r="P222" t="str">
        <f>IFERROR(INDEX(diakadat!$AI$2:$AI$50,MATCH(D222,diakadat!$J$2:$J$50,0),1),"")</f>
        <v/>
      </c>
      <c r="Q222" t="str">
        <f>IFERROR(INDEX('rangsor'!$C$2:$C$343,MATCH(D222,'rangsor'!$A$2:$A$343,0),1),"")</f>
        <v/>
      </c>
      <c r="T222" t="s">
        <v>831</v>
      </c>
      <c r="U222" t="str" cm="1">
        <f t="array" ref="U222">Határozat(D222)</f>
        <v/>
      </c>
      <c r="AC222" t="str">
        <f>IFERROR(INDEX(diakadat!$U$2:$U$50,MATCH(D222,diakadat!$J$2:$J$50),1),"")</f>
        <v/>
      </c>
      <c r="AD222" t="str">
        <f>IFERROR(INDEX(diakadat!$V$2:$V$50,MATCH(D222,diakadat!$J$2:$J$50),1),"")</f>
        <v/>
      </c>
      <c r="AE222" t="str">
        <f>IFERROR(INDEX(diakadat!$W$2:$W$50,MATCH(D222,diakadat!$J$2:$J$50),1),"")</f>
        <v/>
      </c>
      <c r="AI222" t="str">
        <f>IFERROR(INDEX(diakadat!$X$2:$X$50,MATCH(D222,diakadat!$J$2:$J$50),1),"")</f>
        <v/>
      </c>
      <c r="AK222">
        <f t="shared" si="3"/>
        <v>329</v>
      </c>
      <c r="AL222" t="str" cm="1">
        <f t="array" ref="AL222">ElsoBetuNagy(R222)</f>
        <v/>
      </c>
      <c r="AO222" t="str" cm="1">
        <f t="array" ref="AO222">DatumSzovegge5(AN222)</f>
        <v>1899.</v>
      </c>
      <c r="AP222" t="str" cm="1">
        <f t="array" ref="AP222">DatumSzovegge3(AN222)</f>
        <v>december</v>
      </c>
      <c r="AQ222" t="str" cm="1">
        <f t="array" ref="AQ222">DatumSzovegge4(AN222)</f>
        <v>30.</v>
      </c>
    </row>
    <row r="223" spans="4:43" x14ac:dyDescent="0.25">
      <c r="D223" t="str" cm="1">
        <f t="array" ref="D223">SzuressNev($B$1,ROW()-1)</f>
        <v/>
      </c>
      <c r="E223">
        <f>COUNTIF($D$2:D223,D223)</f>
        <v>202</v>
      </c>
      <c r="F223" t="str" cm="1">
        <f t="array" ref="F223">ElutasitasEgyOk2(D223,E223)</f>
        <v/>
      </c>
      <c r="G223" t="str">
        <f>IFERROR(INDEX(diakadat!$I$2:$I$50,MATCH(D223,diakadat!$J$2:$J$50,0),1),"")</f>
        <v/>
      </c>
      <c r="H223" t="str">
        <f>IFERROR(INDEX(diakadat!$O$2:$O$50,MATCH(D223,diakadat!$J$2:$J$50,0),1),"")</f>
        <v/>
      </c>
      <c r="I223" t="str">
        <f>IFERROR(INDEX(diakadat!#REF!,MATCH(D223,diakadat!$J$2:$J$50,0),1),"")</f>
        <v/>
      </c>
      <c r="J223" t="str">
        <f>IFERROR(INDEX(diakadat!$K$2:$K$50,MATCH(D223,diakadat!$J$2:$J$50,0),1),"")</f>
        <v/>
      </c>
      <c r="K223" t="str" cm="1">
        <f t="array" ref="K223">IFERROR(DatumSzovegge2(INDEX(diakadat!$L$2:$L$50,MATCH(D223,diakadat!$J$2:$J$50,0),1)),"")</f>
        <v/>
      </c>
      <c r="L223" t="str" cm="1">
        <f t="array" ref="L223">IFERROR(DatumSzovegge5(INDEX(diakadat!$L$2:$L$50,MATCH(D223,diakadat!$J$2:$J$50,0),1)),"")</f>
        <v/>
      </c>
      <c r="M223" t="str" cm="1">
        <f t="array" ref="M223">IFERROR(DatumSzovegge3(INDEX(diakadat!$L$2:$L$50,MATCH(D223,diakadat!$J$2:$J$50,0),1)),"")</f>
        <v/>
      </c>
      <c r="N223" t="str" cm="1">
        <f t="array" ref="N223">IFERROR(DatumSzovegge4(INDEX(diakadat!$L$2:$L$50,MATCH(D223,diakadat!$J$2:$J$50,0),1)),"")</f>
        <v/>
      </c>
      <c r="O223" t="str">
        <f>IFERROR(INDEX(diakadat!$R$2:$R$50,MATCH(D223,diakadat!$J$2:$J$50,0),1),"")</f>
        <v/>
      </c>
      <c r="P223" t="str">
        <f>IFERROR(INDEX(diakadat!$AI$2:$AI$50,MATCH(D223,diakadat!$J$2:$J$50,0),1),"")</f>
        <v/>
      </c>
      <c r="Q223" t="str">
        <f>IFERROR(INDEX('rangsor'!$C$2:$C$343,MATCH(D223,'rangsor'!$A$2:$A$343,0),1),"")</f>
        <v/>
      </c>
      <c r="T223" t="s">
        <v>831</v>
      </c>
      <c r="U223" t="str" cm="1">
        <f t="array" ref="U223">Határozat(D223)</f>
        <v/>
      </c>
      <c r="AC223" t="str">
        <f>IFERROR(INDEX(diakadat!$U$2:$U$50,MATCH(D223,diakadat!$J$2:$J$50),1),"")</f>
        <v/>
      </c>
      <c r="AD223" t="str">
        <f>IFERROR(INDEX(diakadat!$V$2:$V$50,MATCH(D223,diakadat!$J$2:$J$50),1),"")</f>
        <v/>
      </c>
      <c r="AE223" t="str">
        <f>IFERROR(INDEX(diakadat!$W$2:$W$50,MATCH(D223,diakadat!$J$2:$J$50),1),"")</f>
        <v/>
      </c>
      <c r="AI223" t="str">
        <f>IFERROR(INDEX(diakadat!$X$2:$X$50,MATCH(D223,diakadat!$J$2:$J$50),1),"")</f>
        <v/>
      </c>
      <c r="AK223">
        <f t="shared" si="3"/>
        <v>329</v>
      </c>
      <c r="AL223" t="str" cm="1">
        <f t="array" ref="AL223">ElsoBetuNagy(R223)</f>
        <v/>
      </c>
      <c r="AO223" t="str" cm="1">
        <f t="array" ref="AO223">DatumSzovegge5(AN223)</f>
        <v>1899.</v>
      </c>
      <c r="AP223" t="str" cm="1">
        <f t="array" ref="AP223">DatumSzovegge3(AN223)</f>
        <v>december</v>
      </c>
      <c r="AQ223" t="str" cm="1">
        <f t="array" ref="AQ223">DatumSzovegge4(AN223)</f>
        <v>30.</v>
      </c>
    </row>
    <row r="224" spans="4:43" x14ac:dyDescent="0.25">
      <c r="D224" t="str" cm="1">
        <f t="array" ref="D224">SzuressNev($B$1,ROW()-1)</f>
        <v/>
      </c>
      <c r="E224">
        <f>COUNTIF($D$2:D224,D224)</f>
        <v>203</v>
      </c>
      <c r="F224" t="str" cm="1">
        <f t="array" ref="F224">ElutasitasEgyOk2(D224,E224)</f>
        <v/>
      </c>
      <c r="G224" t="str">
        <f>IFERROR(INDEX(diakadat!$I$2:$I$50,MATCH(D224,diakadat!$J$2:$J$50,0),1),"")</f>
        <v/>
      </c>
      <c r="H224" t="str">
        <f>IFERROR(INDEX(diakadat!$O$2:$O$50,MATCH(D224,diakadat!$J$2:$J$50,0),1),"")</f>
        <v/>
      </c>
      <c r="I224" t="str">
        <f>IFERROR(INDEX(diakadat!#REF!,MATCH(D224,diakadat!$J$2:$J$50,0),1),"")</f>
        <v/>
      </c>
      <c r="J224" t="str">
        <f>IFERROR(INDEX(diakadat!$K$2:$K$50,MATCH(D224,diakadat!$J$2:$J$50,0),1),"")</f>
        <v/>
      </c>
      <c r="K224" t="str" cm="1">
        <f t="array" ref="K224">IFERROR(DatumSzovegge2(INDEX(diakadat!$L$2:$L$50,MATCH(D224,diakadat!$J$2:$J$50,0),1)),"")</f>
        <v/>
      </c>
      <c r="L224" t="str" cm="1">
        <f t="array" ref="L224">IFERROR(DatumSzovegge5(INDEX(diakadat!$L$2:$L$50,MATCH(D224,diakadat!$J$2:$J$50,0),1)),"")</f>
        <v/>
      </c>
      <c r="M224" t="str" cm="1">
        <f t="array" ref="M224">IFERROR(DatumSzovegge3(INDEX(diakadat!$L$2:$L$50,MATCH(D224,diakadat!$J$2:$J$50,0),1)),"")</f>
        <v/>
      </c>
      <c r="N224" t="str" cm="1">
        <f t="array" ref="N224">IFERROR(DatumSzovegge4(INDEX(diakadat!$L$2:$L$50,MATCH(D224,diakadat!$J$2:$J$50,0),1)),"")</f>
        <v/>
      </c>
      <c r="O224" t="str">
        <f>IFERROR(INDEX(diakadat!$R$2:$R$50,MATCH(D224,diakadat!$J$2:$J$50,0),1),"")</f>
        <v/>
      </c>
      <c r="P224" t="str">
        <f>IFERROR(INDEX(diakadat!$AI$2:$AI$50,MATCH(D224,diakadat!$J$2:$J$50,0),1),"")</f>
        <v/>
      </c>
      <c r="Q224" t="str">
        <f>IFERROR(INDEX('rangsor'!$C$2:$C$343,MATCH(D224,'rangsor'!$A$2:$A$343,0),1),"")</f>
        <v/>
      </c>
      <c r="T224" t="s">
        <v>831</v>
      </c>
      <c r="U224" t="str" cm="1">
        <f t="array" ref="U224">Határozat(D224)</f>
        <v/>
      </c>
      <c r="AC224" t="str">
        <f>IFERROR(INDEX(diakadat!$U$2:$U$50,MATCH(D224,diakadat!$J$2:$J$50),1),"")</f>
        <v/>
      </c>
      <c r="AD224" t="str">
        <f>IFERROR(INDEX(diakadat!$V$2:$V$50,MATCH(D224,diakadat!$J$2:$J$50),1),"")</f>
        <v/>
      </c>
      <c r="AE224" t="str">
        <f>IFERROR(INDEX(diakadat!$W$2:$W$50,MATCH(D224,diakadat!$J$2:$J$50),1),"")</f>
        <v/>
      </c>
      <c r="AI224" t="str">
        <f>IFERROR(INDEX(diakadat!$X$2:$X$50,MATCH(D224,diakadat!$J$2:$J$50),1),"")</f>
        <v/>
      </c>
      <c r="AK224">
        <f t="shared" si="3"/>
        <v>329</v>
      </c>
      <c r="AL224" t="str" cm="1">
        <f t="array" ref="AL224">ElsoBetuNagy(R224)</f>
        <v/>
      </c>
      <c r="AO224" t="str" cm="1">
        <f t="array" ref="AO224">DatumSzovegge5(AN224)</f>
        <v>1899.</v>
      </c>
      <c r="AP224" t="str" cm="1">
        <f t="array" ref="AP224">DatumSzovegge3(AN224)</f>
        <v>december</v>
      </c>
      <c r="AQ224" t="str" cm="1">
        <f t="array" ref="AQ224">DatumSzovegge4(AN224)</f>
        <v>30.</v>
      </c>
    </row>
    <row r="225" spans="4:43" x14ac:dyDescent="0.25">
      <c r="D225" t="str" cm="1">
        <f t="array" ref="D225">SzuressNev($B$1,ROW()-1)</f>
        <v/>
      </c>
      <c r="E225">
        <f>COUNTIF($D$2:D225,D225)</f>
        <v>204</v>
      </c>
      <c r="F225" t="str" cm="1">
        <f t="array" ref="F225">ElutasitasEgyOk2(D225,E225)</f>
        <v/>
      </c>
      <c r="G225" t="str">
        <f>IFERROR(INDEX(diakadat!$I$2:$I$50,MATCH(D225,diakadat!$J$2:$J$50,0),1),"")</f>
        <v/>
      </c>
      <c r="H225" t="str">
        <f>IFERROR(INDEX(diakadat!$O$2:$O$50,MATCH(D225,diakadat!$J$2:$J$50,0),1),"")</f>
        <v/>
      </c>
      <c r="I225" t="str">
        <f>IFERROR(INDEX(diakadat!#REF!,MATCH(D225,diakadat!$J$2:$J$50,0),1),"")</f>
        <v/>
      </c>
      <c r="J225" t="str">
        <f>IFERROR(INDEX(diakadat!$K$2:$K$50,MATCH(D225,diakadat!$J$2:$J$50,0),1),"")</f>
        <v/>
      </c>
      <c r="K225" t="str" cm="1">
        <f t="array" ref="K225">IFERROR(DatumSzovegge2(INDEX(diakadat!$L$2:$L$50,MATCH(D225,diakadat!$J$2:$J$50,0),1)),"")</f>
        <v/>
      </c>
      <c r="L225" t="str" cm="1">
        <f t="array" ref="L225">IFERROR(DatumSzovegge5(INDEX(diakadat!$L$2:$L$50,MATCH(D225,diakadat!$J$2:$J$50,0),1)),"")</f>
        <v/>
      </c>
      <c r="M225" t="str" cm="1">
        <f t="array" ref="M225">IFERROR(DatumSzovegge3(INDEX(diakadat!$L$2:$L$50,MATCH(D225,diakadat!$J$2:$J$50,0),1)),"")</f>
        <v/>
      </c>
      <c r="N225" t="str" cm="1">
        <f t="array" ref="N225">IFERROR(DatumSzovegge4(INDEX(diakadat!$L$2:$L$50,MATCH(D225,diakadat!$J$2:$J$50,0),1)),"")</f>
        <v/>
      </c>
      <c r="O225" t="str">
        <f>IFERROR(INDEX(diakadat!$R$2:$R$50,MATCH(D225,diakadat!$J$2:$J$50,0),1),"")</f>
        <v/>
      </c>
      <c r="P225" t="str">
        <f>IFERROR(INDEX(diakadat!$AI$2:$AI$50,MATCH(D225,diakadat!$J$2:$J$50,0),1),"")</f>
        <v/>
      </c>
      <c r="Q225" t="str">
        <f>IFERROR(INDEX('rangsor'!$C$2:$C$343,MATCH(D225,'rangsor'!$A$2:$A$343,0),1),"")</f>
        <v/>
      </c>
      <c r="T225" t="s">
        <v>831</v>
      </c>
      <c r="U225" t="str" cm="1">
        <f t="array" ref="U225">Határozat(D225)</f>
        <v/>
      </c>
      <c r="AC225" t="str">
        <f>IFERROR(INDEX(diakadat!$U$2:$U$50,MATCH(D225,diakadat!$J$2:$J$50),1),"")</f>
        <v/>
      </c>
      <c r="AD225" t="str">
        <f>IFERROR(INDEX(diakadat!$V$2:$V$50,MATCH(D225,diakadat!$J$2:$J$50),1),"")</f>
        <v/>
      </c>
      <c r="AE225" t="str">
        <f>IFERROR(INDEX(diakadat!$W$2:$W$50,MATCH(D225,diakadat!$J$2:$J$50),1),"")</f>
        <v/>
      </c>
      <c r="AI225" t="str">
        <f>IFERROR(INDEX(diakadat!$X$2:$X$50,MATCH(D225,diakadat!$J$2:$J$50),1),"")</f>
        <v/>
      </c>
      <c r="AK225">
        <f t="shared" si="3"/>
        <v>329</v>
      </c>
      <c r="AL225" t="str" cm="1">
        <f t="array" ref="AL225">ElsoBetuNagy(R225)</f>
        <v/>
      </c>
      <c r="AO225" t="str" cm="1">
        <f t="array" ref="AO225">DatumSzovegge5(AN225)</f>
        <v>1899.</v>
      </c>
      <c r="AP225" t="str" cm="1">
        <f t="array" ref="AP225">DatumSzovegge3(AN225)</f>
        <v>december</v>
      </c>
      <c r="AQ225" t="str" cm="1">
        <f t="array" ref="AQ225">DatumSzovegge4(AN225)</f>
        <v>30.</v>
      </c>
    </row>
    <row r="226" spans="4:43" x14ac:dyDescent="0.25">
      <c r="D226" t="str" cm="1">
        <f t="array" ref="D226">SzuressNev($B$1,ROW()-1)</f>
        <v/>
      </c>
      <c r="E226">
        <f>COUNTIF($D$2:D226,D226)</f>
        <v>205</v>
      </c>
      <c r="F226" t="str" cm="1">
        <f t="array" ref="F226">ElutasitasEgyOk2(D226,E226)</f>
        <v/>
      </c>
      <c r="G226" t="str">
        <f>IFERROR(INDEX(diakadat!$I$2:$I$50,MATCH(D226,diakadat!$J$2:$J$50,0),1),"")</f>
        <v/>
      </c>
      <c r="H226" t="str">
        <f>IFERROR(INDEX(diakadat!$O$2:$O$50,MATCH(D226,diakadat!$J$2:$J$50,0),1),"")</f>
        <v/>
      </c>
      <c r="I226" t="str">
        <f>IFERROR(INDEX(diakadat!#REF!,MATCH(D226,diakadat!$J$2:$J$50,0),1),"")</f>
        <v/>
      </c>
      <c r="J226" t="str">
        <f>IFERROR(INDEX(diakadat!$K$2:$K$50,MATCH(D226,diakadat!$J$2:$J$50,0),1),"")</f>
        <v/>
      </c>
      <c r="K226" t="str" cm="1">
        <f t="array" ref="K226">IFERROR(DatumSzovegge2(INDEX(diakadat!$L$2:$L$50,MATCH(D226,diakadat!$J$2:$J$50,0),1)),"")</f>
        <v/>
      </c>
      <c r="L226" t="str" cm="1">
        <f t="array" ref="L226">IFERROR(DatumSzovegge5(INDEX(diakadat!$L$2:$L$50,MATCH(D226,diakadat!$J$2:$J$50,0),1)),"")</f>
        <v/>
      </c>
      <c r="M226" t="str" cm="1">
        <f t="array" ref="M226">IFERROR(DatumSzovegge3(INDEX(diakadat!$L$2:$L$50,MATCH(D226,diakadat!$J$2:$J$50,0),1)),"")</f>
        <v/>
      </c>
      <c r="N226" t="str" cm="1">
        <f t="array" ref="N226">IFERROR(DatumSzovegge4(INDEX(diakadat!$L$2:$L$50,MATCH(D226,diakadat!$J$2:$J$50,0),1)),"")</f>
        <v/>
      </c>
      <c r="O226" t="str">
        <f>IFERROR(INDEX(diakadat!$R$2:$R$50,MATCH(D226,diakadat!$J$2:$J$50,0),1),"")</f>
        <v/>
      </c>
      <c r="P226" t="str">
        <f>IFERROR(INDEX(diakadat!$AI$2:$AI$50,MATCH(D226,diakadat!$J$2:$J$50,0),1),"")</f>
        <v/>
      </c>
      <c r="Q226" t="str">
        <f>IFERROR(INDEX('rangsor'!$C$2:$C$343,MATCH(D226,'rangsor'!$A$2:$A$343,0),1),"")</f>
        <v/>
      </c>
      <c r="T226" t="s">
        <v>831</v>
      </c>
      <c r="U226" t="str" cm="1">
        <f t="array" ref="U226">Határozat(D226)</f>
        <v/>
      </c>
      <c r="AC226" t="str">
        <f>IFERROR(INDEX(diakadat!$U$2:$U$50,MATCH(D226,diakadat!$J$2:$J$50),1),"")</f>
        <v/>
      </c>
      <c r="AD226" t="str">
        <f>IFERROR(INDEX(diakadat!$V$2:$V$50,MATCH(D226,diakadat!$J$2:$J$50),1),"")</f>
        <v/>
      </c>
      <c r="AE226" t="str">
        <f>IFERROR(INDEX(diakadat!$W$2:$W$50,MATCH(D226,diakadat!$J$2:$J$50),1),"")</f>
        <v/>
      </c>
      <c r="AI226" t="str">
        <f>IFERROR(INDEX(diakadat!$X$2:$X$50,MATCH(D226,diakadat!$J$2:$J$50),1),"")</f>
        <v/>
      </c>
      <c r="AK226">
        <f t="shared" si="3"/>
        <v>329</v>
      </c>
      <c r="AL226" t="str" cm="1">
        <f t="array" ref="AL226">ElsoBetuNagy(R226)</f>
        <v/>
      </c>
      <c r="AO226" t="str" cm="1">
        <f t="array" ref="AO226">DatumSzovegge5(AN226)</f>
        <v>1899.</v>
      </c>
      <c r="AP226" t="str" cm="1">
        <f t="array" ref="AP226">DatumSzovegge3(AN226)</f>
        <v>december</v>
      </c>
      <c r="AQ226" t="str" cm="1">
        <f t="array" ref="AQ226">DatumSzovegge4(AN226)</f>
        <v>30.</v>
      </c>
    </row>
    <row r="227" spans="4:43" x14ac:dyDescent="0.25">
      <c r="D227" t="str" cm="1">
        <f t="array" ref="D227">SzuressNev($B$1,ROW()-1)</f>
        <v/>
      </c>
      <c r="E227">
        <f>COUNTIF($D$2:D227,D227)</f>
        <v>206</v>
      </c>
      <c r="F227" t="str" cm="1">
        <f t="array" ref="F227">ElutasitasEgyOk2(D227,E227)</f>
        <v/>
      </c>
      <c r="G227" t="str">
        <f>IFERROR(INDEX(diakadat!$I$2:$I$50,MATCH(D227,diakadat!$J$2:$J$50,0),1),"")</f>
        <v/>
      </c>
      <c r="H227" t="str">
        <f>IFERROR(INDEX(diakadat!$O$2:$O$50,MATCH(D227,diakadat!$J$2:$J$50,0),1),"")</f>
        <v/>
      </c>
      <c r="I227" t="str">
        <f>IFERROR(INDEX(diakadat!#REF!,MATCH(D227,diakadat!$J$2:$J$50,0),1),"")</f>
        <v/>
      </c>
      <c r="J227" t="str">
        <f>IFERROR(INDEX(diakadat!$K$2:$K$50,MATCH(D227,diakadat!$J$2:$J$50,0),1),"")</f>
        <v/>
      </c>
      <c r="K227" t="str" cm="1">
        <f t="array" ref="K227">IFERROR(DatumSzovegge2(INDEX(diakadat!$L$2:$L$50,MATCH(D227,diakadat!$J$2:$J$50,0),1)),"")</f>
        <v/>
      </c>
      <c r="L227" t="str" cm="1">
        <f t="array" ref="L227">IFERROR(DatumSzovegge5(INDEX(diakadat!$L$2:$L$50,MATCH(D227,diakadat!$J$2:$J$50,0),1)),"")</f>
        <v/>
      </c>
      <c r="M227" t="str" cm="1">
        <f t="array" ref="M227">IFERROR(DatumSzovegge3(INDEX(diakadat!$L$2:$L$50,MATCH(D227,diakadat!$J$2:$J$50,0),1)),"")</f>
        <v/>
      </c>
      <c r="N227" t="str" cm="1">
        <f t="array" ref="N227">IFERROR(DatumSzovegge4(INDEX(diakadat!$L$2:$L$50,MATCH(D227,diakadat!$J$2:$J$50,0),1)),"")</f>
        <v/>
      </c>
      <c r="O227" t="str">
        <f>IFERROR(INDEX(diakadat!$R$2:$R$50,MATCH(D227,diakadat!$J$2:$J$50,0),1),"")</f>
        <v/>
      </c>
      <c r="P227" t="str">
        <f>IFERROR(INDEX(diakadat!$AI$2:$AI$50,MATCH(D227,diakadat!$J$2:$J$50,0),1),"")</f>
        <v/>
      </c>
      <c r="Q227" t="str">
        <f>IFERROR(INDEX('rangsor'!$C$2:$C$343,MATCH(D227,'rangsor'!$A$2:$A$343,0),1),"")</f>
        <v/>
      </c>
      <c r="T227" t="s">
        <v>831</v>
      </c>
      <c r="U227" t="str" cm="1">
        <f t="array" ref="U227">Határozat(D227)</f>
        <v/>
      </c>
      <c r="AC227" t="str">
        <f>IFERROR(INDEX(diakadat!$U$2:$U$50,MATCH(D227,diakadat!$J$2:$J$50),1),"")</f>
        <v/>
      </c>
      <c r="AD227" t="str">
        <f>IFERROR(INDEX(diakadat!$V$2:$V$50,MATCH(D227,diakadat!$J$2:$J$50),1),"")</f>
        <v/>
      </c>
      <c r="AE227" t="str">
        <f>IFERROR(INDEX(diakadat!$W$2:$W$50,MATCH(D227,diakadat!$J$2:$J$50),1),"")</f>
        <v/>
      </c>
      <c r="AI227" t="str">
        <f>IFERROR(INDEX(diakadat!$X$2:$X$50,MATCH(D227,diakadat!$J$2:$J$50),1),"")</f>
        <v/>
      </c>
      <c r="AK227">
        <f t="shared" si="3"/>
        <v>329</v>
      </c>
      <c r="AL227" t="str" cm="1">
        <f t="array" ref="AL227">ElsoBetuNagy(R227)</f>
        <v/>
      </c>
      <c r="AO227" t="str" cm="1">
        <f t="array" ref="AO227">DatumSzovegge5(AN227)</f>
        <v>1899.</v>
      </c>
      <c r="AP227" t="str" cm="1">
        <f t="array" ref="AP227">DatumSzovegge3(AN227)</f>
        <v>december</v>
      </c>
      <c r="AQ227" t="str" cm="1">
        <f t="array" ref="AQ227">DatumSzovegge4(AN227)</f>
        <v>30.</v>
      </c>
    </row>
    <row r="228" spans="4:43" x14ac:dyDescent="0.25">
      <c r="D228" t="str" cm="1">
        <f t="array" ref="D228">SzuressNev($B$1,ROW()-1)</f>
        <v/>
      </c>
      <c r="E228">
        <f>COUNTIF($D$2:D228,D228)</f>
        <v>207</v>
      </c>
      <c r="F228" t="str" cm="1">
        <f t="array" ref="F228">ElutasitasEgyOk2(D228,E228)</f>
        <v/>
      </c>
      <c r="G228" t="str">
        <f>IFERROR(INDEX(diakadat!$I$2:$I$50,MATCH(D228,diakadat!$J$2:$J$50,0),1),"")</f>
        <v/>
      </c>
      <c r="H228" t="str">
        <f>IFERROR(INDEX(diakadat!$O$2:$O$50,MATCH(D228,diakadat!$J$2:$J$50,0),1),"")</f>
        <v/>
      </c>
      <c r="I228" t="str">
        <f>IFERROR(INDEX(diakadat!#REF!,MATCH(D228,diakadat!$J$2:$J$50,0),1),"")</f>
        <v/>
      </c>
      <c r="J228" t="str">
        <f>IFERROR(INDEX(diakadat!$K$2:$K$50,MATCH(D228,diakadat!$J$2:$J$50,0),1),"")</f>
        <v/>
      </c>
      <c r="K228" t="str" cm="1">
        <f t="array" ref="K228">IFERROR(DatumSzovegge2(INDEX(diakadat!$L$2:$L$50,MATCH(D228,diakadat!$J$2:$J$50,0),1)),"")</f>
        <v/>
      </c>
      <c r="L228" t="str" cm="1">
        <f t="array" ref="L228">IFERROR(DatumSzovegge5(INDEX(diakadat!$L$2:$L$50,MATCH(D228,diakadat!$J$2:$J$50,0),1)),"")</f>
        <v/>
      </c>
      <c r="M228" t="str" cm="1">
        <f t="array" ref="M228">IFERROR(DatumSzovegge3(INDEX(diakadat!$L$2:$L$50,MATCH(D228,diakadat!$J$2:$J$50,0),1)),"")</f>
        <v/>
      </c>
      <c r="N228" t="str" cm="1">
        <f t="array" ref="N228">IFERROR(DatumSzovegge4(INDEX(diakadat!$L$2:$L$50,MATCH(D228,diakadat!$J$2:$J$50,0),1)),"")</f>
        <v/>
      </c>
      <c r="O228" t="str">
        <f>IFERROR(INDEX(diakadat!$R$2:$R$50,MATCH(D228,diakadat!$J$2:$J$50,0),1),"")</f>
        <v/>
      </c>
      <c r="P228" t="str">
        <f>IFERROR(INDEX(diakadat!$AI$2:$AI$50,MATCH(D228,diakadat!$J$2:$J$50,0),1),"")</f>
        <v/>
      </c>
      <c r="Q228" t="str">
        <f>IFERROR(INDEX('rangsor'!$C$2:$C$343,MATCH(D228,'rangsor'!$A$2:$A$343,0),1),"")</f>
        <v/>
      </c>
      <c r="T228" t="s">
        <v>831</v>
      </c>
      <c r="U228" t="str" cm="1">
        <f t="array" ref="U228">Határozat(D228)</f>
        <v/>
      </c>
      <c r="AC228" t="str">
        <f>IFERROR(INDEX(diakadat!$U$2:$U$50,MATCH(D228,diakadat!$J$2:$J$50),1),"")</f>
        <v/>
      </c>
      <c r="AD228" t="str">
        <f>IFERROR(INDEX(diakadat!$V$2:$V$50,MATCH(D228,diakadat!$J$2:$J$50),1),"")</f>
        <v/>
      </c>
      <c r="AE228" t="str">
        <f>IFERROR(INDEX(diakadat!$W$2:$W$50,MATCH(D228,diakadat!$J$2:$J$50),1),"")</f>
        <v/>
      </c>
      <c r="AI228" t="str">
        <f>IFERROR(INDEX(diakadat!$X$2:$X$50,MATCH(D228,diakadat!$J$2:$J$50),1),"")</f>
        <v/>
      </c>
      <c r="AK228">
        <f t="shared" si="3"/>
        <v>329</v>
      </c>
      <c r="AL228" t="str" cm="1">
        <f t="array" ref="AL228">ElsoBetuNagy(R228)</f>
        <v/>
      </c>
      <c r="AO228" t="str" cm="1">
        <f t="array" ref="AO228">DatumSzovegge5(AN228)</f>
        <v>1899.</v>
      </c>
      <c r="AP228" t="str" cm="1">
        <f t="array" ref="AP228">DatumSzovegge3(AN228)</f>
        <v>december</v>
      </c>
      <c r="AQ228" t="str" cm="1">
        <f t="array" ref="AQ228">DatumSzovegge4(AN228)</f>
        <v>30.</v>
      </c>
    </row>
    <row r="229" spans="4:43" x14ac:dyDescent="0.25">
      <c r="D229" t="str" cm="1">
        <f t="array" ref="D229">SzuressNev($B$1,ROW()-1)</f>
        <v/>
      </c>
      <c r="E229">
        <f>COUNTIF($D$2:D229,D229)</f>
        <v>208</v>
      </c>
      <c r="F229" t="str" cm="1">
        <f t="array" ref="F229">ElutasitasEgyOk2(D229,E229)</f>
        <v/>
      </c>
      <c r="G229" t="str">
        <f>IFERROR(INDEX(diakadat!$I$2:$I$50,MATCH(D229,diakadat!$J$2:$J$50,0),1),"")</f>
        <v/>
      </c>
      <c r="H229" t="str">
        <f>IFERROR(INDEX(diakadat!$O$2:$O$50,MATCH(D229,diakadat!$J$2:$J$50,0),1),"")</f>
        <v/>
      </c>
      <c r="I229" t="str">
        <f>IFERROR(INDEX(diakadat!#REF!,MATCH(D229,diakadat!$J$2:$J$50,0),1),"")</f>
        <v/>
      </c>
      <c r="J229" t="str">
        <f>IFERROR(INDEX(diakadat!$K$2:$K$50,MATCH(D229,diakadat!$J$2:$J$50,0),1),"")</f>
        <v/>
      </c>
      <c r="K229" t="str" cm="1">
        <f t="array" ref="K229">IFERROR(DatumSzovegge2(INDEX(diakadat!$L$2:$L$50,MATCH(D229,diakadat!$J$2:$J$50,0),1)),"")</f>
        <v/>
      </c>
      <c r="L229" t="str" cm="1">
        <f t="array" ref="L229">IFERROR(DatumSzovegge5(INDEX(diakadat!$L$2:$L$50,MATCH(D229,diakadat!$J$2:$J$50,0),1)),"")</f>
        <v/>
      </c>
      <c r="M229" t="str" cm="1">
        <f t="array" ref="M229">IFERROR(DatumSzovegge3(INDEX(diakadat!$L$2:$L$50,MATCH(D229,diakadat!$J$2:$J$50,0),1)),"")</f>
        <v/>
      </c>
      <c r="N229" t="str" cm="1">
        <f t="array" ref="N229">IFERROR(DatumSzovegge4(INDEX(diakadat!$L$2:$L$50,MATCH(D229,diakadat!$J$2:$J$50,0),1)),"")</f>
        <v/>
      </c>
      <c r="O229" t="str">
        <f>IFERROR(INDEX(diakadat!$R$2:$R$50,MATCH(D229,diakadat!$J$2:$J$50,0),1),"")</f>
        <v/>
      </c>
      <c r="P229" t="str">
        <f>IFERROR(INDEX(diakadat!$AI$2:$AI$50,MATCH(D229,diakadat!$J$2:$J$50,0),1),"")</f>
        <v/>
      </c>
      <c r="Q229" t="str">
        <f>IFERROR(INDEX('rangsor'!$C$2:$C$343,MATCH(D229,'rangsor'!$A$2:$A$343,0),1),"")</f>
        <v/>
      </c>
      <c r="T229" t="s">
        <v>831</v>
      </c>
      <c r="U229" t="str" cm="1">
        <f t="array" ref="U229">Határozat(D229)</f>
        <v/>
      </c>
      <c r="AC229" t="str">
        <f>IFERROR(INDEX(diakadat!$U$2:$U$50,MATCH(D229,diakadat!$J$2:$J$50),1),"")</f>
        <v/>
      </c>
      <c r="AD229" t="str">
        <f>IFERROR(INDEX(diakadat!$V$2:$V$50,MATCH(D229,diakadat!$J$2:$J$50),1),"")</f>
        <v/>
      </c>
      <c r="AE229" t="str">
        <f>IFERROR(INDEX(diakadat!$W$2:$W$50,MATCH(D229,diakadat!$J$2:$J$50),1),"")</f>
        <v/>
      </c>
      <c r="AI229" t="str">
        <f>IFERROR(INDEX(diakadat!$X$2:$X$50,MATCH(D229,diakadat!$J$2:$J$50),1),"")</f>
        <v/>
      </c>
      <c r="AK229">
        <f t="shared" si="3"/>
        <v>329</v>
      </c>
      <c r="AL229" t="str" cm="1">
        <f t="array" ref="AL229">ElsoBetuNagy(R229)</f>
        <v/>
      </c>
      <c r="AO229" t="str" cm="1">
        <f t="array" ref="AO229">DatumSzovegge5(AN229)</f>
        <v>1899.</v>
      </c>
      <c r="AP229" t="str" cm="1">
        <f t="array" ref="AP229">DatumSzovegge3(AN229)</f>
        <v>december</v>
      </c>
      <c r="AQ229" t="str" cm="1">
        <f t="array" ref="AQ229">DatumSzovegge4(AN229)</f>
        <v>30.</v>
      </c>
    </row>
    <row r="230" spans="4:43" x14ac:dyDescent="0.25">
      <c r="D230" t="str" cm="1">
        <f t="array" ref="D230">SzuressNev($B$1,ROW()-1)</f>
        <v/>
      </c>
      <c r="E230">
        <f>COUNTIF($D$2:D230,D230)</f>
        <v>209</v>
      </c>
      <c r="F230" t="str" cm="1">
        <f t="array" ref="F230">ElutasitasEgyOk2(D230,E230)</f>
        <v/>
      </c>
      <c r="G230" t="str">
        <f>IFERROR(INDEX(diakadat!$I$2:$I$50,MATCH(D230,diakadat!$J$2:$J$50,0),1),"")</f>
        <v/>
      </c>
      <c r="H230" t="str">
        <f>IFERROR(INDEX(diakadat!$O$2:$O$50,MATCH(D230,diakadat!$J$2:$J$50,0),1),"")</f>
        <v/>
      </c>
      <c r="I230" t="str">
        <f>IFERROR(INDEX(diakadat!#REF!,MATCH(D230,diakadat!$J$2:$J$50,0),1),"")</f>
        <v/>
      </c>
      <c r="J230" t="str">
        <f>IFERROR(INDEX(diakadat!$K$2:$K$50,MATCH(D230,diakadat!$J$2:$J$50,0),1),"")</f>
        <v/>
      </c>
      <c r="K230" t="str" cm="1">
        <f t="array" ref="K230">IFERROR(DatumSzovegge2(INDEX(diakadat!$L$2:$L$50,MATCH(D230,diakadat!$J$2:$J$50,0),1)),"")</f>
        <v/>
      </c>
      <c r="L230" t="str" cm="1">
        <f t="array" ref="L230">IFERROR(DatumSzovegge5(INDEX(diakadat!$L$2:$L$50,MATCH(D230,diakadat!$J$2:$J$50,0),1)),"")</f>
        <v/>
      </c>
      <c r="M230" t="str" cm="1">
        <f t="array" ref="M230">IFERROR(DatumSzovegge3(INDEX(diakadat!$L$2:$L$50,MATCH(D230,diakadat!$J$2:$J$50,0),1)),"")</f>
        <v/>
      </c>
      <c r="N230" t="str" cm="1">
        <f t="array" ref="N230">IFERROR(DatumSzovegge4(INDEX(diakadat!$L$2:$L$50,MATCH(D230,diakadat!$J$2:$J$50,0),1)),"")</f>
        <v/>
      </c>
      <c r="O230" t="str">
        <f>IFERROR(INDEX(diakadat!$R$2:$R$50,MATCH(D230,diakadat!$J$2:$J$50,0),1),"")</f>
        <v/>
      </c>
      <c r="P230" t="str">
        <f>IFERROR(INDEX(diakadat!$AI$2:$AI$50,MATCH(D230,diakadat!$J$2:$J$50,0),1),"")</f>
        <v/>
      </c>
      <c r="Q230" t="str">
        <f>IFERROR(INDEX('rangsor'!$C$2:$C$343,MATCH(D230,'rangsor'!$A$2:$A$343,0),1),"")</f>
        <v/>
      </c>
      <c r="T230" t="s">
        <v>831</v>
      </c>
      <c r="U230" t="str" cm="1">
        <f t="array" ref="U230">Határozat(D230)</f>
        <v/>
      </c>
      <c r="AC230" t="str">
        <f>IFERROR(INDEX(diakadat!$U$2:$U$50,MATCH(D230,diakadat!$J$2:$J$50),1),"")</f>
        <v/>
      </c>
      <c r="AD230" t="str">
        <f>IFERROR(INDEX(diakadat!$V$2:$V$50,MATCH(D230,diakadat!$J$2:$J$50),1),"")</f>
        <v/>
      </c>
      <c r="AE230" t="str">
        <f>IFERROR(INDEX(diakadat!$W$2:$W$50,MATCH(D230,diakadat!$J$2:$J$50),1),"")</f>
        <v/>
      </c>
      <c r="AI230" t="str">
        <f>IFERROR(INDEX(diakadat!$X$2:$X$50,MATCH(D230,diakadat!$J$2:$J$50),1),"")</f>
        <v/>
      </c>
      <c r="AK230">
        <f t="shared" si="3"/>
        <v>329</v>
      </c>
      <c r="AL230" t="str" cm="1">
        <f t="array" ref="AL230">ElsoBetuNagy(R230)</f>
        <v/>
      </c>
      <c r="AO230" t="str" cm="1">
        <f t="array" ref="AO230">DatumSzovegge5(AN230)</f>
        <v>1899.</v>
      </c>
      <c r="AP230" t="str" cm="1">
        <f t="array" ref="AP230">DatumSzovegge3(AN230)</f>
        <v>december</v>
      </c>
      <c r="AQ230" t="str" cm="1">
        <f t="array" ref="AQ230">DatumSzovegge4(AN230)</f>
        <v>30.</v>
      </c>
    </row>
    <row r="231" spans="4:43" x14ac:dyDescent="0.25">
      <c r="D231" t="str" cm="1">
        <f t="array" ref="D231">SzuressNev($B$1,ROW()-1)</f>
        <v/>
      </c>
      <c r="E231">
        <f>COUNTIF($D$2:D231,D231)</f>
        <v>210</v>
      </c>
      <c r="F231" t="str" cm="1">
        <f t="array" ref="F231">ElutasitasEgyOk2(D231,E231)</f>
        <v/>
      </c>
      <c r="G231" t="str">
        <f>IFERROR(INDEX(diakadat!$I$2:$I$50,MATCH(D231,diakadat!$J$2:$J$50,0),1),"")</f>
        <v/>
      </c>
      <c r="H231" t="str">
        <f>IFERROR(INDEX(diakadat!$O$2:$O$50,MATCH(D231,diakadat!$J$2:$J$50,0),1),"")</f>
        <v/>
      </c>
      <c r="I231" t="str">
        <f>IFERROR(INDEX(diakadat!#REF!,MATCH(D231,diakadat!$J$2:$J$50,0),1),"")</f>
        <v/>
      </c>
      <c r="J231" t="str">
        <f>IFERROR(INDEX(diakadat!$K$2:$K$50,MATCH(D231,diakadat!$J$2:$J$50,0),1),"")</f>
        <v/>
      </c>
      <c r="K231" t="str" cm="1">
        <f t="array" ref="K231">IFERROR(DatumSzovegge2(INDEX(diakadat!$L$2:$L$50,MATCH(D231,diakadat!$J$2:$J$50,0),1)),"")</f>
        <v/>
      </c>
      <c r="L231" t="str" cm="1">
        <f t="array" ref="L231">IFERROR(DatumSzovegge5(INDEX(diakadat!$L$2:$L$50,MATCH(D231,diakadat!$J$2:$J$50,0),1)),"")</f>
        <v/>
      </c>
      <c r="M231" t="str" cm="1">
        <f t="array" ref="M231">IFERROR(DatumSzovegge3(INDEX(diakadat!$L$2:$L$50,MATCH(D231,diakadat!$J$2:$J$50,0),1)),"")</f>
        <v/>
      </c>
      <c r="N231" t="str" cm="1">
        <f t="array" ref="N231">IFERROR(DatumSzovegge4(INDEX(diakadat!$L$2:$L$50,MATCH(D231,diakadat!$J$2:$J$50,0),1)),"")</f>
        <v/>
      </c>
      <c r="O231" t="str">
        <f>IFERROR(INDEX(diakadat!$R$2:$R$50,MATCH(D231,diakadat!$J$2:$J$50,0),1),"")</f>
        <v/>
      </c>
      <c r="P231" t="str">
        <f>IFERROR(INDEX(diakadat!$AI$2:$AI$50,MATCH(D231,diakadat!$J$2:$J$50,0),1),"")</f>
        <v/>
      </c>
      <c r="Q231" t="str">
        <f>IFERROR(INDEX('rangsor'!$C$2:$C$343,MATCH(D231,'rangsor'!$A$2:$A$343,0),1),"")</f>
        <v/>
      </c>
      <c r="T231" t="s">
        <v>831</v>
      </c>
      <c r="U231" t="str" cm="1">
        <f t="array" ref="U231">Határozat(D231)</f>
        <v/>
      </c>
      <c r="AC231" t="str">
        <f>IFERROR(INDEX(diakadat!$U$2:$U$50,MATCH(D231,diakadat!$J$2:$J$50),1),"")</f>
        <v/>
      </c>
      <c r="AD231" t="str">
        <f>IFERROR(INDEX(diakadat!$V$2:$V$50,MATCH(D231,diakadat!$J$2:$J$50),1),"")</f>
        <v/>
      </c>
      <c r="AE231" t="str">
        <f>IFERROR(INDEX(diakadat!$W$2:$W$50,MATCH(D231,diakadat!$J$2:$J$50),1),"")</f>
        <v/>
      </c>
      <c r="AI231" t="str">
        <f>IFERROR(INDEX(diakadat!$X$2:$X$50,MATCH(D231,diakadat!$J$2:$J$50),1),"")</f>
        <v/>
      </c>
      <c r="AK231">
        <f t="shared" si="3"/>
        <v>329</v>
      </c>
      <c r="AL231" t="str" cm="1">
        <f t="array" ref="AL231">ElsoBetuNagy(R231)</f>
        <v/>
      </c>
      <c r="AO231" t="str" cm="1">
        <f t="array" ref="AO231">DatumSzovegge5(AN231)</f>
        <v>1899.</v>
      </c>
      <c r="AP231" t="str" cm="1">
        <f t="array" ref="AP231">DatumSzovegge3(AN231)</f>
        <v>december</v>
      </c>
      <c r="AQ231" t="str" cm="1">
        <f t="array" ref="AQ231">DatumSzovegge4(AN231)</f>
        <v>30.</v>
      </c>
    </row>
    <row r="232" spans="4:43" x14ac:dyDescent="0.25">
      <c r="D232" t="str" cm="1">
        <f t="array" ref="D232">SzuressNev($B$1,ROW()-1)</f>
        <v/>
      </c>
      <c r="E232">
        <f>COUNTIF($D$2:D232,D232)</f>
        <v>211</v>
      </c>
      <c r="F232" t="str" cm="1">
        <f t="array" ref="F232">ElutasitasEgyOk2(D232,E232)</f>
        <v/>
      </c>
      <c r="G232" t="str">
        <f>IFERROR(INDEX(diakadat!$I$2:$I$50,MATCH(D232,diakadat!$J$2:$J$50,0),1),"")</f>
        <v/>
      </c>
      <c r="H232" t="str">
        <f>IFERROR(INDEX(diakadat!$O$2:$O$50,MATCH(D232,diakadat!$J$2:$J$50,0),1),"")</f>
        <v/>
      </c>
      <c r="I232" t="str">
        <f>IFERROR(INDEX(diakadat!#REF!,MATCH(D232,diakadat!$J$2:$J$50,0),1),"")</f>
        <v/>
      </c>
      <c r="J232" t="str">
        <f>IFERROR(INDEX(diakadat!$K$2:$K$50,MATCH(D232,diakadat!$J$2:$J$50,0),1),"")</f>
        <v/>
      </c>
      <c r="K232" t="str" cm="1">
        <f t="array" ref="K232">IFERROR(DatumSzovegge2(INDEX(diakadat!$L$2:$L$50,MATCH(D232,diakadat!$J$2:$J$50,0),1)),"")</f>
        <v/>
      </c>
      <c r="L232" t="str" cm="1">
        <f t="array" ref="L232">IFERROR(DatumSzovegge5(INDEX(diakadat!$L$2:$L$50,MATCH(D232,diakadat!$J$2:$J$50,0),1)),"")</f>
        <v/>
      </c>
      <c r="M232" t="str" cm="1">
        <f t="array" ref="M232">IFERROR(DatumSzovegge3(INDEX(diakadat!$L$2:$L$50,MATCH(D232,diakadat!$J$2:$J$50,0),1)),"")</f>
        <v/>
      </c>
      <c r="N232" t="str" cm="1">
        <f t="array" ref="N232">IFERROR(DatumSzovegge4(INDEX(diakadat!$L$2:$L$50,MATCH(D232,diakadat!$J$2:$J$50,0),1)),"")</f>
        <v/>
      </c>
      <c r="O232" t="str">
        <f>IFERROR(INDEX(diakadat!$R$2:$R$50,MATCH(D232,diakadat!$J$2:$J$50,0),1),"")</f>
        <v/>
      </c>
      <c r="P232" t="str">
        <f>IFERROR(INDEX(diakadat!$AI$2:$AI$50,MATCH(D232,diakadat!$J$2:$J$50,0),1),"")</f>
        <v/>
      </c>
      <c r="Q232" t="str">
        <f>IFERROR(INDEX('rangsor'!$C$2:$C$343,MATCH(D232,'rangsor'!$A$2:$A$343,0),1),"")</f>
        <v/>
      </c>
      <c r="T232" t="s">
        <v>831</v>
      </c>
      <c r="U232" t="str" cm="1">
        <f t="array" ref="U232">Határozat(D232)</f>
        <v/>
      </c>
      <c r="AC232" t="str">
        <f>IFERROR(INDEX(diakadat!$U$2:$U$50,MATCH(D232,diakadat!$J$2:$J$50),1),"")</f>
        <v/>
      </c>
      <c r="AD232" t="str">
        <f>IFERROR(INDEX(diakadat!$V$2:$V$50,MATCH(D232,diakadat!$J$2:$J$50),1),"")</f>
        <v/>
      </c>
      <c r="AE232" t="str">
        <f>IFERROR(INDEX(diakadat!$W$2:$W$50,MATCH(D232,diakadat!$J$2:$J$50),1),"")</f>
        <v/>
      </c>
      <c r="AI232" t="str">
        <f>IFERROR(INDEX(diakadat!$X$2:$X$50,MATCH(D232,diakadat!$J$2:$J$50),1),"")</f>
        <v/>
      </c>
      <c r="AK232">
        <f t="shared" si="3"/>
        <v>329</v>
      </c>
      <c r="AL232" t="str" cm="1">
        <f t="array" ref="AL232">ElsoBetuNagy(R232)</f>
        <v/>
      </c>
      <c r="AO232" t="str" cm="1">
        <f t="array" ref="AO232">DatumSzovegge5(AN232)</f>
        <v>1899.</v>
      </c>
      <c r="AP232" t="str" cm="1">
        <f t="array" ref="AP232">DatumSzovegge3(AN232)</f>
        <v>december</v>
      </c>
      <c r="AQ232" t="str" cm="1">
        <f t="array" ref="AQ232">DatumSzovegge4(AN232)</f>
        <v>30.</v>
      </c>
    </row>
    <row r="233" spans="4:43" x14ac:dyDescent="0.25">
      <c r="D233" t="str" cm="1">
        <f t="array" ref="D233">SzuressNev($B$1,ROW()-1)</f>
        <v/>
      </c>
      <c r="E233">
        <f>COUNTIF($D$2:D233,D233)</f>
        <v>212</v>
      </c>
      <c r="F233" t="str" cm="1">
        <f t="array" ref="F233">ElutasitasEgyOk2(D233,E233)</f>
        <v/>
      </c>
      <c r="G233" t="str">
        <f>IFERROR(INDEX(diakadat!$I$2:$I$50,MATCH(D233,diakadat!$J$2:$J$50,0),1),"")</f>
        <v/>
      </c>
      <c r="H233" t="str">
        <f>IFERROR(INDEX(diakadat!$O$2:$O$50,MATCH(D233,diakadat!$J$2:$J$50,0),1),"")</f>
        <v/>
      </c>
      <c r="I233" t="str">
        <f>IFERROR(INDEX(diakadat!#REF!,MATCH(D233,diakadat!$J$2:$J$50,0),1),"")</f>
        <v/>
      </c>
      <c r="J233" t="str">
        <f>IFERROR(INDEX(diakadat!$K$2:$K$50,MATCH(D233,diakadat!$J$2:$J$50,0),1),"")</f>
        <v/>
      </c>
      <c r="K233" t="str" cm="1">
        <f t="array" ref="K233">IFERROR(DatumSzovegge2(INDEX(diakadat!$L$2:$L$50,MATCH(D233,diakadat!$J$2:$J$50,0),1)),"")</f>
        <v/>
      </c>
      <c r="L233" t="str" cm="1">
        <f t="array" ref="L233">IFERROR(DatumSzovegge5(INDEX(diakadat!$L$2:$L$50,MATCH(D233,diakadat!$J$2:$J$50,0),1)),"")</f>
        <v/>
      </c>
      <c r="M233" t="str" cm="1">
        <f t="array" ref="M233">IFERROR(DatumSzovegge3(INDEX(diakadat!$L$2:$L$50,MATCH(D233,diakadat!$J$2:$J$50,0),1)),"")</f>
        <v/>
      </c>
      <c r="N233" t="str" cm="1">
        <f t="array" ref="N233">IFERROR(DatumSzovegge4(INDEX(diakadat!$L$2:$L$50,MATCH(D233,diakadat!$J$2:$J$50,0),1)),"")</f>
        <v/>
      </c>
      <c r="O233" t="str">
        <f>IFERROR(INDEX(diakadat!$R$2:$R$50,MATCH(D233,diakadat!$J$2:$J$50,0),1),"")</f>
        <v/>
      </c>
      <c r="P233" t="str">
        <f>IFERROR(INDEX(diakadat!$AI$2:$AI$50,MATCH(D233,diakadat!$J$2:$J$50,0),1),"")</f>
        <v/>
      </c>
      <c r="Q233" t="str">
        <f>IFERROR(INDEX('rangsor'!$C$2:$C$343,MATCH(D233,'rangsor'!$A$2:$A$343,0),1),"")</f>
        <v/>
      </c>
      <c r="T233" t="s">
        <v>831</v>
      </c>
      <c r="U233" t="str" cm="1">
        <f t="array" ref="U233">Határozat(D233)</f>
        <v/>
      </c>
      <c r="AC233" t="str">
        <f>IFERROR(INDEX(diakadat!$U$2:$U$50,MATCH(D233,diakadat!$J$2:$J$50),1),"")</f>
        <v/>
      </c>
      <c r="AD233" t="str">
        <f>IFERROR(INDEX(diakadat!$V$2:$V$50,MATCH(D233,diakadat!$J$2:$J$50),1),"")</f>
        <v/>
      </c>
      <c r="AE233" t="str">
        <f>IFERROR(INDEX(diakadat!$W$2:$W$50,MATCH(D233,diakadat!$J$2:$J$50),1),"")</f>
        <v/>
      </c>
      <c r="AI233" t="str">
        <f>IFERROR(INDEX(diakadat!$X$2:$X$50,MATCH(D233,diakadat!$J$2:$J$50),1),"")</f>
        <v/>
      </c>
      <c r="AK233">
        <f t="shared" si="3"/>
        <v>329</v>
      </c>
      <c r="AL233" t="str" cm="1">
        <f t="array" ref="AL233">ElsoBetuNagy(R233)</f>
        <v/>
      </c>
      <c r="AO233" t="str" cm="1">
        <f t="array" ref="AO233">DatumSzovegge5(AN233)</f>
        <v>1899.</v>
      </c>
      <c r="AP233" t="str" cm="1">
        <f t="array" ref="AP233">DatumSzovegge3(AN233)</f>
        <v>december</v>
      </c>
      <c r="AQ233" t="str" cm="1">
        <f t="array" ref="AQ233">DatumSzovegge4(AN233)</f>
        <v>30.</v>
      </c>
    </row>
    <row r="234" spans="4:43" x14ac:dyDescent="0.25">
      <c r="D234" t="str" cm="1">
        <f t="array" ref="D234">SzuressNev($B$1,ROW()-1)</f>
        <v/>
      </c>
      <c r="E234">
        <f>COUNTIF($D$2:D234,D234)</f>
        <v>213</v>
      </c>
      <c r="F234" t="str" cm="1">
        <f t="array" ref="F234">ElutasitasEgyOk2(D234,E234)</f>
        <v/>
      </c>
      <c r="G234" t="str">
        <f>IFERROR(INDEX(diakadat!$I$2:$I$50,MATCH(D234,diakadat!$J$2:$J$50,0),1),"")</f>
        <v/>
      </c>
      <c r="H234" t="str">
        <f>IFERROR(INDEX(diakadat!$O$2:$O$50,MATCH(D234,diakadat!$J$2:$J$50,0),1),"")</f>
        <v/>
      </c>
      <c r="I234" t="str">
        <f>IFERROR(INDEX(diakadat!#REF!,MATCH(D234,diakadat!$J$2:$J$50,0),1),"")</f>
        <v/>
      </c>
      <c r="J234" t="str">
        <f>IFERROR(INDEX(diakadat!$K$2:$K$50,MATCH(D234,diakadat!$J$2:$J$50,0),1),"")</f>
        <v/>
      </c>
      <c r="K234" t="str" cm="1">
        <f t="array" ref="K234">IFERROR(DatumSzovegge2(INDEX(diakadat!$L$2:$L$50,MATCH(D234,diakadat!$J$2:$J$50,0),1)),"")</f>
        <v/>
      </c>
      <c r="L234" t="str" cm="1">
        <f t="array" ref="L234">IFERROR(DatumSzovegge5(INDEX(diakadat!$L$2:$L$50,MATCH(D234,diakadat!$J$2:$J$50,0),1)),"")</f>
        <v/>
      </c>
      <c r="M234" t="str" cm="1">
        <f t="array" ref="M234">IFERROR(DatumSzovegge3(INDEX(diakadat!$L$2:$L$50,MATCH(D234,diakadat!$J$2:$J$50,0),1)),"")</f>
        <v/>
      </c>
      <c r="N234" t="str" cm="1">
        <f t="array" ref="N234">IFERROR(DatumSzovegge4(INDEX(diakadat!$L$2:$L$50,MATCH(D234,diakadat!$J$2:$J$50,0),1)),"")</f>
        <v/>
      </c>
      <c r="O234" t="str">
        <f>IFERROR(INDEX(diakadat!$R$2:$R$50,MATCH(D234,diakadat!$J$2:$J$50,0),1),"")</f>
        <v/>
      </c>
      <c r="P234" t="str">
        <f>IFERROR(INDEX(diakadat!$AI$2:$AI$50,MATCH(D234,diakadat!$J$2:$J$50,0),1),"")</f>
        <v/>
      </c>
      <c r="Q234" t="str">
        <f>IFERROR(INDEX('rangsor'!$C$2:$C$343,MATCH(D234,'rangsor'!$A$2:$A$343,0),1),"")</f>
        <v/>
      </c>
      <c r="T234" t="s">
        <v>831</v>
      </c>
      <c r="U234" t="str" cm="1">
        <f t="array" ref="U234">Határozat(D234)</f>
        <v/>
      </c>
      <c r="AC234" t="str">
        <f>IFERROR(INDEX(diakadat!$U$2:$U$50,MATCH(D234,diakadat!$J$2:$J$50),1),"")</f>
        <v/>
      </c>
      <c r="AD234" t="str">
        <f>IFERROR(INDEX(diakadat!$V$2:$V$50,MATCH(D234,diakadat!$J$2:$J$50),1),"")</f>
        <v/>
      </c>
      <c r="AE234" t="str">
        <f>IFERROR(INDEX(diakadat!$W$2:$W$50,MATCH(D234,diakadat!$J$2:$J$50),1),"")</f>
        <v/>
      </c>
      <c r="AI234" t="str">
        <f>IFERROR(INDEX(diakadat!$X$2:$X$50,MATCH(D234,diakadat!$J$2:$J$50),1),"")</f>
        <v/>
      </c>
      <c r="AK234">
        <f t="shared" si="3"/>
        <v>329</v>
      </c>
      <c r="AL234" t="str" cm="1">
        <f t="array" ref="AL234">ElsoBetuNagy(R234)</f>
        <v/>
      </c>
      <c r="AO234" t="str" cm="1">
        <f t="array" ref="AO234">DatumSzovegge5(AN234)</f>
        <v>1899.</v>
      </c>
      <c r="AP234" t="str" cm="1">
        <f t="array" ref="AP234">DatumSzovegge3(AN234)</f>
        <v>december</v>
      </c>
      <c r="AQ234" t="str" cm="1">
        <f t="array" ref="AQ234">DatumSzovegge4(AN234)</f>
        <v>30.</v>
      </c>
    </row>
    <row r="235" spans="4:43" x14ac:dyDescent="0.25">
      <c r="D235" t="str" cm="1">
        <f t="array" ref="D235">SzuressNev($B$1,ROW()-1)</f>
        <v/>
      </c>
      <c r="E235">
        <f>COUNTIF($D$2:D235,D235)</f>
        <v>214</v>
      </c>
      <c r="F235" t="str" cm="1">
        <f t="array" ref="F235">ElutasitasEgyOk2(D235,E235)</f>
        <v/>
      </c>
      <c r="G235" t="str">
        <f>IFERROR(INDEX(diakadat!$I$2:$I$50,MATCH(D235,diakadat!$J$2:$J$50,0),1),"")</f>
        <v/>
      </c>
      <c r="H235" t="str">
        <f>IFERROR(INDEX(diakadat!$O$2:$O$50,MATCH(D235,diakadat!$J$2:$J$50,0),1),"")</f>
        <v/>
      </c>
      <c r="I235" t="str">
        <f>IFERROR(INDEX(diakadat!#REF!,MATCH(D235,diakadat!$J$2:$J$50,0),1),"")</f>
        <v/>
      </c>
      <c r="J235" t="str">
        <f>IFERROR(INDEX(diakadat!$K$2:$K$50,MATCH(D235,diakadat!$J$2:$J$50,0),1),"")</f>
        <v/>
      </c>
      <c r="K235" t="str" cm="1">
        <f t="array" ref="K235">IFERROR(DatumSzovegge2(INDEX(diakadat!$L$2:$L$50,MATCH(D235,diakadat!$J$2:$J$50,0),1)),"")</f>
        <v/>
      </c>
      <c r="L235" t="str" cm="1">
        <f t="array" ref="L235">IFERROR(DatumSzovegge5(INDEX(diakadat!$L$2:$L$50,MATCH(D235,diakadat!$J$2:$J$50,0),1)),"")</f>
        <v/>
      </c>
      <c r="M235" t="str" cm="1">
        <f t="array" ref="M235">IFERROR(DatumSzovegge3(INDEX(diakadat!$L$2:$L$50,MATCH(D235,diakadat!$J$2:$J$50,0),1)),"")</f>
        <v/>
      </c>
      <c r="N235" t="str" cm="1">
        <f t="array" ref="N235">IFERROR(DatumSzovegge4(INDEX(diakadat!$L$2:$L$50,MATCH(D235,diakadat!$J$2:$J$50,0),1)),"")</f>
        <v/>
      </c>
      <c r="O235" t="str">
        <f>IFERROR(INDEX(diakadat!$R$2:$R$50,MATCH(D235,diakadat!$J$2:$J$50,0),1),"")</f>
        <v/>
      </c>
      <c r="P235" t="str">
        <f>IFERROR(INDEX(diakadat!$AI$2:$AI$50,MATCH(D235,diakadat!$J$2:$J$50,0),1),"")</f>
        <v/>
      </c>
      <c r="Q235" t="str">
        <f>IFERROR(INDEX('rangsor'!$C$2:$C$343,MATCH(D235,'rangsor'!$A$2:$A$343,0),1),"")</f>
        <v/>
      </c>
      <c r="T235" t="s">
        <v>831</v>
      </c>
      <c r="U235" t="str" cm="1">
        <f t="array" ref="U235">Határozat(D235)</f>
        <v/>
      </c>
      <c r="AC235" t="str">
        <f>IFERROR(INDEX(diakadat!$U$2:$U$50,MATCH(D235,diakadat!$J$2:$J$50),1),"")</f>
        <v/>
      </c>
      <c r="AD235" t="str">
        <f>IFERROR(INDEX(diakadat!$V$2:$V$50,MATCH(D235,diakadat!$J$2:$J$50),1),"")</f>
        <v/>
      </c>
      <c r="AE235" t="str">
        <f>IFERROR(INDEX(diakadat!$W$2:$W$50,MATCH(D235,diakadat!$J$2:$J$50),1),"")</f>
        <v/>
      </c>
      <c r="AI235" t="str">
        <f>IFERROR(INDEX(diakadat!$X$2:$X$50,MATCH(D235,diakadat!$J$2:$J$50),1),"")</f>
        <v/>
      </c>
      <c r="AK235">
        <f t="shared" si="3"/>
        <v>329</v>
      </c>
      <c r="AL235" t="str" cm="1">
        <f t="array" ref="AL235">ElsoBetuNagy(R235)</f>
        <v/>
      </c>
      <c r="AO235" t="str" cm="1">
        <f t="array" ref="AO235">DatumSzovegge5(AN235)</f>
        <v>1899.</v>
      </c>
      <c r="AP235" t="str" cm="1">
        <f t="array" ref="AP235">DatumSzovegge3(AN235)</f>
        <v>december</v>
      </c>
      <c r="AQ235" t="str" cm="1">
        <f t="array" ref="AQ235">DatumSzovegge4(AN235)</f>
        <v>30.</v>
      </c>
    </row>
    <row r="236" spans="4:43" x14ac:dyDescent="0.25">
      <c r="D236" t="str" cm="1">
        <f t="array" ref="D236">SzuressNev($B$1,ROW()-1)</f>
        <v/>
      </c>
      <c r="E236">
        <f>COUNTIF($D$2:D236,D236)</f>
        <v>215</v>
      </c>
      <c r="F236" t="str" cm="1">
        <f t="array" ref="F236">ElutasitasEgyOk2(D236,E236)</f>
        <v/>
      </c>
      <c r="G236" t="str">
        <f>IFERROR(INDEX(diakadat!$I$2:$I$50,MATCH(D236,diakadat!$J$2:$J$50,0),1),"")</f>
        <v/>
      </c>
      <c r="H236" t="str">
        <f>IFERROR(INDEX(diakadat!$O$2:$O$50,MATCH(D236,diakadat!$J$2:$J$50,0),1),"")</f>
        <v/>
      </c>
      <c r="I236" t="str">
        <f>IFERROR(INDEX(diakadat!#REF!,MATCH(D236,diakadat!$J$2:$J$50,0),1),"")</f>
        <v/>
      </c>
      <c r="J236" t="str">
        <f>IFERROR(INDEX(diakadat!$K$2:$K$50,MATCH(D236,diakadat!$J$2:$J$50,0),1),"")</f>
        <v/>
      </c>
      <c r="K236" t="str" cm="1">
        <f t="array" ref="K236">IFERROR(DatumSzovegge2(INDEX(diakadat!$L$2:$L$50,MATCH(D236,diakadat!$J$2:$J$50,0),1)),"")</f>
        <v/>
      </c>
      <c r="L236" t="str" cm="1">
        <f t="array" ref="L236">IFERROR(DatumSzovegge5(INDEX(diakadat!$L$2:$L$50,MATCH(D236,diakadat!$J$2:$J$50,0),1)),"")</f>
        <v/>
      </c>
      <c r="M236" t="str" cm="1">
        <f t="array" ref="M236">IFERROR(DatumSzovegge3(INDEX(diakadat!$L$2:$L$50,MATCH(D236,diakadat!$J$2:$J$50,0),1)),"")</f>
        <v/>
      </c>
      <c r="N236" t="str" cm="1">
        <f t="array" ref="N236">IFERROR(DatumSzovegge4(INDEX(diakadat!$L$2:$L$50,MATCH(D236,diakadat!$J$2:$J$50,0),1)),"")</f>
        <v/>
      </c>
      <c r="O236" t="str">
        <f>IFERROR(INDEX(diakadat!$R$2:$R$50,MATCH(D236,diakadat!$J$2:$J$50,0),1),"")</f>
        <v/>
      </c>
      <c r="P236" t="str">
        <f>IFERROR(INDEX(diakadat!$AI$2:$AI$50,MATCH(D236,diakadat!$J$2:$J$50,0),1),"")</f>
        <v/>
      </c>
      <c r="Q236" t="str">
        <f>IFERROR(INDEX('rangsor'!$C$2:$C$343,MATCH(D236,'rangsor'!$A$2:$A$343,0),1),"")</f>
        <v/>
      </c>
      <c r="T236" t="s">
        <v>831</v>
      </c>
      <c r="U236" t="str" cm="1">
        <f t="array" ref="U236">Határozat(D236)</f>
        <v/>
      </c>
      <c r="AC236" t="str">
        <f>IFERROR(INDEX(diakadat!$U$2:$U$50,MATCH(D236,diakadat!$J$2:$J$50),1),"")</f>
        <v/>
      </c>
      <c r="AD236" t="str">
        <f>IFERROR(INDEX(diakadat!$V$2:$V$50,MATCH(D236,diakadat!$J$2:$J$50),1),"")</f>
        <v/>
      </c>
      <c r="AE236" t="str">
        <f>IFERROR(INDEX(diakadat!$W$2:$W$50,MATCH(D236,diakadat!$J$2:$J$50),1),"")</f>
        <v/>
      </c>
      <c r="AI236" t="str">
        <f>IFERROR(INDEX(diakadat!$X$2:$X$50,MATCH(D236,diakadat!$J$2:$J$50),1),"")</f>
        <v/>
      </c>
      <c r="AK236">
        <f t="shared" si="3"/>
        <v>329</v>
      </c>
      <c r="AL236" t="str" cm="1">
        <f t="array" ref="AL236">ElsoBetuNagy(R236)</f>
        <v/>
      </c>
      <c r="AO236" t="str" cm="1">
        <f t="array" ref="AO236">DatumSzovegge5(AN236)</f>
        <v>1899.</v>
      </c>
      <c r="AP236" t="str" cm="1">
        <f t="array" ref="AP236">DatumSzovegge3(AN236)</f>
        <v>december</v>
      </c>
      <c r="AQ236" t="str" cm="1">
        <f t="array" ref="AQ236">DatumSzovegge4(AN236)</f>
        <v>30.</v>
      </c>
    </row>
    <row r="237" spans="4:43" x14ac:dyDescent="0.25">
      <c r="D237" t="str" cm="1">
        <f t="array" ref="D237">SzuressNev($B$1,ROW()-1)</f>
        <v/>
      </c>
      <c r="E237">
        <f>COUNTIF($D$2:D237,D237)</f>
        <v>216</v>
      </c>
      <c r="F237" t="str" cm="1">
        <f t="array" ref="F237">ElutasitasEgyOk2(D237,E237)</f>
        <v/>
      </c>
      <c r="G237" t="str">
        <f>IFERROR(INDEX(diakadat!$I$2:$I$50,MATCH(D237,diakadat!$J$2:$J$50,0),1),"")</f>
        <v/>
      </c>
      <c r="H237" t="str">
        <f>IFERROR(INDEX(diakadat!$O$2:$O$50,MATCH(D237,diakadat!$J$2:$J$50,0),1),"")</f>
        <v/>
      </c>
      <c r="I237" t="str">
        <f>IFERROR(INDEX(diakadat!#REF!,MATCH(D237,diakadat!$J$2:$J$50,0),1),"")</f>
        <v/>
      </c>
      <c r="J237" t="str">
        <f>IFERROR(INDEX(diakadat!$K$2:$K$50,MATCH(D237,diakadat!$J$2:$J$50,0),1),"")</f>
        <v/>
      </c>
      <c r="K237" t="str" cm="1">
        <f t="array" ref="K237">IFERROR(DatumSzovegge2(INDEX(diakadat!$L$2:$L$50,MATCH(D237,diakadat!$J$2:$J$50,0),1)),"")</f>
        <v/>
      </c>
      <c r="L237" t="str" cm="1">
        <f t="array" ref="L237">IFERROR(DatumSzovegge5(INDEX(diakadat!$L$2:$L$50,MATCH(D237,diakadat!$J$2:$J$50,0),1)),"")</f>
        <v/>
      </c>
      <c r="M237" t="str" cm="1">
        <f t="array" ref="M237">IFERROR(DatumSzovegge3(INDEX(diakadat!$L$2:$L$50,MATCH(D237,diakadat!$J$2:$J$50,0),1)),"")</f>
        <v/>
      </c>
      <c r="N237" t="str" cm="1">
        <f t="array" ref="N237">IFERROR(DatumSzovegge4(INDEX(diakadat!$L$2:$L$50,MATCH(D237,diakadat!$J$2:$J$50,0),1)),"")</f>
        <v/>
      </c>
      <c r="O237" t="str">
        <f>IFERROR(INDEX(diakadat!$R$2:$R$50,MATCH(D237,diakadat!$J$2:$J$50,0),1),"")</f>
        <v/>
      </c>
      <c r="P237" t="str">
        <f>IFERROR(INDEX(diakadat!$AI$2:$AI$50,MATCH(D237,diakadat!$J$2:$J$50,0),1),"")</f>
        <v/>
      </c>
      <c r="Q237" t="str">
        <f>IFERROR(INDEX('rangsor'!$C$2:$C$343,MATCH(D237,'rangsor'!$A$2:$A$343,0),1),"")</f>
        <v/>
      </c>
      <c r="T237" t="s">
        <v>831</v>
      </c>
      <c r="U237" t="str" cm="1">
        <f t="array" ref="U237">Határozat(D237)</f>
        <v/>
      </c>
      <c r="AC237" t="str">
        <f>IFERROR(INDEX(diakadat!$U$2:$U$50,MATCH(D237,diakadat!$J$2:$J$50),1),"")</f>
        <v/>
      </c>
      <c r="AD237" t="str">
        <f>IFERROR(INDEX(diakadat!$V$2:$V$50,MATCH(D237,diakadat!$J$2:$J$50),1),"")</f>
        <v/>
      </c>
      <c r="AE237" t="str">
        <f>IFERROR(INDEX(diakadat!$W$2:$W$50,MATCH(D237,diakadat!$J$2:$J$50),1),"")</f>
        <v/>
      </c>
      <c r="AI237" t="str">
        <f>IFERROR(INDEX(diakadat!$X$2:$X$50,MATCH(D237,diakadat!$J$2:$J$50),1),"")</f>
        <v/>
      </c>
      <c r="AK237">
        <f t="shared" si="3"/>
        <v>329</v>
      </c>
      <c r="AL237" t="str" cm="1">
        <f t="array" ref="AL237">ElsoBetuNagy(R237)</f>
        <v/>
      </c>
      <c r="AO237" t="str" cm="1">
        <f t="array" ref="AO237">DatumSzovegge5(AN237)</f>
        <v>1899.</v>
      </c>
      <c r="AP237" t="str" cm="1">
        <f t="array" ref="AP237">DatumSzovegge3(AN237)</f>
        <v>december</v>
      </c>
      <c r="AQ237" t="str" cm="1">
        <f t="array" ref="AQ237">DatumSzovegge4(AN237)</f>
        <v>30.</v>
      </c>
    </row>
    <row r="238" spans="4:43" x14ac:dyDescent="0.25">
      <c r="D238" t="str" cm="1">
        <f t="array" ref="D238">SzuressNev($B$1,ROW()-1)</f>
        <v/>
      </c>
      <c r="E238">
        <f>COUNTIF($D$2:D238,D238)</f>
        <v>217</v>
      </c>
      <c r="F238" t="str" cm="1">
        <f t="array" ref="F238">ElutasitasEgyOk2(D238,E238)</f>
        <v/>
      </c>
      <c r="G238" t="str">
        <f>IFERROR(INDEX(diakadat!$I$2:$I$50,MATCH(D238,diakadat!$J$2:$J$50,0),1),"")</f>
        <v/>
      </c>
      <c r="H238" t="str">
        <f>IFERROR(INDEX(diakadat!$O$2:$O$50,MATCH(D238,diakadat!$J$2:$J$50,0),1),"")</f>
        <v/>
      </c>
      <c r="I238" t="str">
        <f>IFERROR(INDEX(diakadat!#REF!,MATCH(D238,diakadat!$J$2:$J$50,0),1),"")</f>
        <v/>
      </c>
      <c r="J238" t="str">
        <f>IFERROR(INDEX(diakadat!$K$2:$K$50,MATCH(D238,diakadat!$J$2:$J$50,0),1),"")</f>
        <v/>
      </c>
      <c r="K238" t="str" cm="1">
        <f t="array" ref="K238">IFERROR(DatumSzovegge2(INDEX(diakadat!$L$2:$L$50,MATCH(D238,diakadat!$J$2:$J$50,0),1)),"")</f>
        <v/>
      </c>
      <c r="L238" t="str" cm="1">
        <f t="array" ref="L238">IFERROR(DatumSzovegge5(INDEX(diakadat!$L$2:$L$50,MATCH(D238,diakadat!$J$2:$J$50,0),1)),"")</f>
        <v/>
      </c>
      <c r="M238" t="str" cm="1">
        <f t="array" ref="M238">IFERROR(DatumSzovegge3(INDEX(diakadat!$L$2:$L$50,MATCH(D238,diakadat!$J$2:$J$50,0),1)),"")</f>
        <v/>
      </c>
      <c r="N238" t="str" cm="1">
        <f t="array" ref="N238">IFERROR(DatumSzovegge4(INDEX(diakadat!$L$2:$L$50,MATCH(D238,diakadat!$J$2:$J$50,0),1)),"")</f>
        <v/>
      </c>
      <c r="O238" t="str">
        <f>IFERROR(INDEX(diakadat!$R$2:$R$50,MATCH(D238,diakadat!$J$2:$J$50,0),1),"")</f>
        <v/>
      </c>
      <c r="P238" t="str">
        <f>IFERROR(INDEX(diakadat!$AI$2:$AI$50,MATCH(D238,diakadat!$J$2:$J$50,0),1),"")</f>
        <v/>
      </c>
      <c r="Q238" t="str">
        <f>IFERROR(INDEX('rangsor'!$C$2:$C$343,MATCH(D238,'rangsor'!$A$2:$A$343,0),1),"")</f>
        <v/>
      </c>
      <c r="T238" t="s">
        <v>831</v>
      </c>
      <c r="U238" t="str" cm="1">
        <f t="array" ref="U238">Határozat(D238)</f>
        <v/>
      </c>
      <c r="AC238" t="str">
        <f>IFERROR(INDEX(diakadat!$U$2:$U$50,MATCH(D238,diakadat!$J$2:$J$50),1),"")</f>
        <v/>
      </c>
      <c r="AD238" t="str">
        <f>IFERROR(INDEX(diakadat!$V$2:$V$50,MATCH(D238,diakadat!$J$2:$J$50),1),"")</f>
        <v/>
      </c>
      <c r="AE238" t="str">
        <f>IFERROR(INDEX(diakadat!$W$2:$W$50,MATCH(D238,diakadat!$J$2:$J$50),1),"")</f>
        <v/>
      </c>
      <c r="AI238" t="str">
        <f>IFERROR(INDEX(diakadat!$X$2:$X$50,MATCH(D238,diakadat!$J$2:$J$50),1),"")</f>
        <v/>
      </c>
      <c r="AK238">
        <f t="shared" si="3"/>
        <v>329</v>
      </c>
      <c r="AL238" t="str" cm="1">
        <f t="array" ref="AL238">ElsoBetuNagy(R238)</f>
        <v/>
      </c>
      <c r="AO238" t="str" cm="1">
        <f t="array" ref="AO238">DatumSzovegge5(AN238)</f>
        <v>1899.</v>
      </c>
      <c r="AP238" t="str" cm="1">
        <f t="array" ref="AP238">DatumSzovegge3(AN238)</f>
        <v>december</v>
      </c>
      <c r="AQ238" t="str" cm="1">
        <f t="array" ref="AQ238">DatumSzovegge4(AN238)</f>
        <v>30.</v>
      </c>
    </row>
    <row r="239" spans="4:43" x14ac:dyDescent="0.25">
      <c r="D239" t="str" cm="1">
        <f t="array" ref="D239">SzuressNev($B$1,ROW()-1)</f>
        <v/>
      </c>
      <c r="E239">
        <f>COUNTIF($D$2:D239,D239)</f>
        <v>218</v>
      </c>
      <c r="F239" t="str" cm="1">
        <f t="array" ref="F239">ElutasitasEgyOk2(D239,E239)</f>
        <v/>
      </c>
      <c r="G239" t="str">
        <f>IFERROR(INDEX(diakadat!$I$2:$I$50,MATCH(D239,diakadat!$J$2:$J$50,0),1),"")</f>
        <v/>
      </c>
      <c r="H239" t="str">
        <f>IFERROR(INDEX(diakadat!$O$2:$O$50,MATCH(D239,diakadat!$J$2:$J$50,0),1),"")</f>
        <v/>
      </c>
      <c r="I239" t="str">
        <f>IFERROR(INDEX(diakadat!#REF!,MATCH(D239,diakadat!$J$2:$J$50,0),1),"")</f>
        <v/>
      </c>
      <c r="J239" t="str">
        <f>IFERROR(INDEX(diakadat!$K$2:$K$50,MATCH(D239,diakadat!$J$2:$J$50,0),1),"")</f>
        <v/>
      </c>
      <c r="K239" t="str" cm="1">
        <f t="array" ref="K239">IFERROR(DatumSzovegge2(INDEX(diakadat!$L$2:$L$50,MATCH(D239,diakadat!$J$2:$J$50,0),1)),"")</f>
        <v/>
      </c>
      <c r="L239" t="str" cm="1">
        <f t="array" ref="L239">IFERROR(DatumSzovegge5(INDEX(diakadat!$L$2:$L$50,MATCH(D239,diakadat!$J$2:$J$50,0),1)),"")</f>
        <v/>
      </c>
      <c r="M239" t="str" cm="1">
        <f t="array" ref="M239">IFERROR(DatumSzovegge3(INDEX(diakadat!$L$2:$L$50,MATCH(D239,diakadat!$J$2:$J$50,0),1)),"")</f>
        <v/>
      </c>
      <c r="N239" t="str" cm="1">
        <f t="array" ref="N239">IFERROR(DatumSzovegge4(INDEX(diakadat!$L$2:$L$50,MATCH(D239,diakadat!$J$2:$J$50,0),1)),"")</f>
        <v/>
      </c>
      <c r="O239" t="str">
        <f>IFERROR(INDEX(diakadat!$R$2:$R$50,MATCH(D239,diakadat!$J$2:$J$50,0),1),"")</f>
        <v/>
      </c>
      <c r="P239" t="str">
        <f>IFERROR(INDEX(diakadat!$AI$2:$AI$50,MATCH(D239,diakadat!$J$2:$J$50,0),1),"")</f>
        <v/>
      </c>
      <c r="Q239" t="str">
        <f>IFERROR(INDEX('rangsor'!$C$2:$C$343,MATCH(D239,'rangsor'!$A$2:$A$343,0),1),"")</f>
        <v/>
      </c>
      <c r="T239" t="s">
        <v>831</v>
      </c>
      <c r="U239" t="str" cm="1">
        <f t="array" ref="U239">Határozat(D239)</f>
        <v/>
      </c>
      <c r="AC239" t="str">
        <f>IFERROR(INDEX(diakadat!$U$2:$U$50,MATCH(D239,diakadat!$J$2:$J$50),1),"")</f>
        <v/>
      </c>
      <c r="AD239" t="str">
        <f>IFERROR(INDEX(diakadat!$V$2:$V$50,MATCH(D239,diakadat!$J$2:$J$50),1),"")</f>
        <v/>
      </c>
      <c r="AE239" t="str">
        <f>IFERROR(INDEX(diakadat!$W$2:$W$50,MATCH(D239,diakadat!$J$2:$J$50),1),"")</f>
        <v/>
      </c>
      <c r="AI239" t="str">
        <f>IFERROR(INDEX(diakadat!$X$2:$X$50,MATCH(D239,diakadat!$J$2:$J$50),1),"")</f>
        <v/>
      </c>
      <c r="AK239">
        <f t="shared" si="3"/>
        <v>329</v>
      </c>
      <c r="AL239" t="str" cm="1">
        <f t="array" ref="AL239">ElsoBetuNagy(R239)</f>
        <v/>
      </c>
      <c r="AO239" t="str" cm="1">
        <f t="array" ref="AO239">DatumSzovegge5(AN239)</f>
        <v>1899.</v>
      </c>
      <c r="AP239" t="str" cm="1">
        <f t="array" ref="AP239">DatumSzovegge3(AN239)</f>
        <v>december</v>
      </c>
      <c r="AQ239" t="str" cm="1">
        <f t="array" ref="AQ239">DatumSzovegge4(AN239)</f>
        <v>30.</v>
      </c>
    </row>
    <row r="240" spans="4:43" x14ac:dyDescent="0.25">
      <c r="D240" t="str" cm="1">
        <f t="array" ref="D240">SzuressNev($B$1,ROW()-1)</f>
        <v/>
      </c>
      <c r="E240">
        <f>COUNTIF($D$2:D240,D240)</f>
        <v>219</v>
      </c>
      <c r="F240" t="str" cm="1">
        <f t="array" ref="F240">ElutasitasEgyOk2(D240,E240)</f>
        <v/>
      </c>
      <c r="G240" t="str">
        <f>IFERROR(INDEX(diakadat!$I$2:$I$50,MATCH(D240,diakadat!$J$2:$J$50,0),1),"")</f>
        <v/>
      </c>
      <c r="H240" t="str">
        <f>IFERROR(INDEX(diakadat!$O$2:$O$50,MATCH(D240,diakadat!$J$2:$J$50,0),1),"")</f>
        <v/>
      </c>
      <c r="I240" t="str">
        <f>IFERROR(INDEX(diakadat!#REF!,MATCH(D240,diakadat!$J$2:$J$50,0),1),"")</f>
        <v/>
      </c>
      <c r="J240" t="str">
        <f>IFERROR(INDEX(diakadat!$K$2:$K$50,MATCH(D240,diakadat!$J$2:$J$50,0),1),"")</f>
        <v/>
      </c>
      <c r="K240" t="str" cm="1">
        <f t="array" ref="K240">IFERROR(DatumSzovegge2(INDEX(diakadat!$L$2:$L$50,MATCH(D240,diakadat!$J$2:$J$50,0),1)),"")</f>
        <v/>
      </c>
      <c r="L240" t="str" cm="1">
        <f t="array" ref="L240">IFERROR(DatumSzovegge5(INDEX(diakadat!$L$2:$L$50,MATCH(D240,diakadat!$J$2:$J$50,0),1)),"")</f>
        <v/>
      </c>
      <c r="M240" t="str" cm="1">
        <f t="array" ref="M240">IFERROR(DatumSzovegge3(INDEX(diakadat!$L$2:$L$50,MATCH(D240,diakadat!$J$2:$J$50,0),1)),"")</f>
        <v/>
      </c>
      <c r="N240" t="str" cm="1">
        <f t="array" ref="N240">IFERROR(DatumSzovegge4(INDEX(diakadat!$L$2:$L$50,MATCH(D240,diakadat!$J$2:$J$50,0),1)),"")</f>
        <v/>
      </c>
      <c r="O240" t="str">
        <f>IFERROR(INDEX(diakadat!$R$2:$R$50,MATCH(D240,diakadat!$J$2:$J$50,0),1),"")</f>
        <v/>
      </c>
      <c r="P240" t="str">
        <f>IFERROR(INDEX(diakadat!$AI$2:$AI$50,MATCH(D240,diakadat!$J$2:$J$50,0),1),"")</f>
        <v/>
      </c>
      <c r="Q240" t="str">
        <f>IFERROR(INDEX('rangsor'!$C$2:$C$343,MATCH(D240,'rangsor'!$A$2:$A$343,0),1),"")</f>
        <v/>
      </c>
      <c r="T240" t="s">
        <v>831</v>
      </c>
      <c r="U240" t="str" cm="1">
        <f t="array" ref="U240">Határozat(D240)</f>
        <v/>
      </c>
      <c r="AC240" t="str">
        <f>IFERROR(INDEX(diakadat!$U$2:$U$50,MATCH(D240,diakadat!$J$2:$J$50),1),"")</f>
        <v/>
      </c>
      <c r="AD240" t="str">
        <f>IFERROR(INDEX(diakadat!$V$2:$V$50,MATCH(D240,diakadat!$J$2:$J$50),1),"")</f>
        <v/>
      </c>
      <c r="AE240" t="str">
        <f>IFERROR(INDEX(diakadat!$W$2:$W$50,MATCH(D240,diakadat!$J$2:$J$50),1),"")</f>
        <v/>
      </c>
      <c r="AI240" t="str">
        <f>IFERROR(INDEX(diakadat!$X$2:$X$50,MATCH(D240,diakadat!$J$2:$J$50),1),"")</f>
        <v/>
      </c>
      <c r="AK240">
        <f t="shared" si="3"/>
        <v>329</v>
      </c>
      <c r="AL240" t="str" cm="1">
        <f t="array" ref="AL240">ElsoBetuNagy(R240)</f>
        <v/>
      </c>
      <c r="AO240" t="str" cm="1">
        <f t="array" ref="AO240">DatumSzovegge5(AN240)</f>
        <v>1899.</v>
      </c>
      <c r="AP240" t="str" cm="1">
        <f t="array" ref="AP240">DatumSzovegge3(AN240)</f>
        <v>december</v>
      </c>
      <c r="AQ240" t="str" cm="1">
        <f t="array" ref="AQ240">DatumSzovegge4(AN240)</f>
        <v>30.</v>
      </c>
    </row>
    <row r="241" spans="4:43" x14ac:dyDescent="0.25">
      <c r="D241" t="str" cm="1">
        <f t="array" ref="D241">SzuressNev($B$1,ROW()-1)</f>
        <v/>
      </c>
      <c r="E241">
        <f>COUNTIF($D$2:D241,D241)</f>
        <v>220</v>
      </c>
      <c r="F241" t="str" cm="1">
        <f t="array" ref="F241">ElutasitasEgyOk2(D241,E241)</f>
        <v/>
      </c>
      <c r="G241" t="str">
        <f>IFERROR(INDEX(diakadat!$I$2:$I$50,MATCH(D241,diakadat!$J$2:$J$50,0),1),"")</f>
        <v/>
      </c>
      <c r="H241" t="str">
        <f>IFERROR(INDEX(diakadat!$O$2:$O$50,MATCH(D241,diakadat!$J$2:$J$50,0),1),"")</f>
        <v/>
      </c>
      <c r="I241" t="str">
        <f>IFERROR(INDEX(diakadat!#REF!,MATCH(D241,diakadat!$J$2:$J$50,0),1),"")</f>
        <v/>
      </c>
      <c r="J241" t="str">
        <f>IFERROR(INDEX(diakadat!$K$2:$K$50,MATCH(D241,diakadat!$J$2:$J$50,0),1),"")</f>
        <v/>
      </c>
      <c r="K241" t="str" cm="1">
        <f t="array" ref="K241">IFERROR(DatumSzovegge2(INDEX(diakadat!$L$2:$L$50,MATCH(D241,diakadat!$J$2:$J$50,0),1)),"")</f>
        <v/>
      </c>
      <c r="L241" t="str" cm="1">
        <f t="array" ref="L241">IFERROR(DatumSzovegge5(INDEX(diakadat!$L$2:$L$50,MATCH(D241,diakadat!$J$2:$J$50,0),1)),"")</f>
        <v/>
      </c>
      <c r="M241" t="str" cm="1">
        <f t="array" ref="M241">IFERROR(DatumSzovegge3(INDEX(diakadat!$L$2:$L$50,MATCH(D241,diakadat!$J$2:$J$50,0),1)),"")</f>
        <v/>
      </c>
      <c r="N241" t="str" cm="1">
        <f t="array" ref="N241">IFERROR(DatumSzovegge4(INDEX(diakadat!$L$2:$L$50,MATCH(D241,diakadat!$J$2:$J$50,0),1)),"")</f>
        <v/>
      </c>
      <c r="O241" t="str">
        <f>IFERROR(INDEX(diakadat!$R$2:$R$50,MATCH(D241,diakadat!$J$2:$J$50,0),1),"")</f>
        <v/>
      </c>
      <c r="P241" t="str">
        <f>IFERROR(INDEX(diakadat!$AI$2:$AI$50,MATCH(D241,diakadat!$J$2:$J$50,0),1),"")</f>
        <v/>
      </c>
      <c r="Q241" t="str">
        <f>IFERROR(INDEX('rangsor'!$C$2:$C$343,MATCH(D241,'rangsor'!$A$2:$A$343,0),1),"")</f>
        <v/>
      </c>
      <c r="T241" t="s">
        <v>831</v>
      </c>
      <c r="U241" t="str" cm="1">
        <f t="array" ref="U241">Határozat(D241)</f>
        <v/>
      </c>
      <c r="AC241" t="str">
        <f>IFERROR(INDEX(diakadat!$U$2:$U$50,MATCH(D241,diakadat!$J$2:$J$50),1),"")</f>
        <v/>
      </c>
      <c r="AD241" t="str">
        <f>IFERROR(INDEX(diakadat!$V$2:$V$50,MATCH(D241,diakadat!$J$2:$J$50),1),"")</f>
        <v/>
      </c>
      <c r="AE241" t="str">
        <f>IFERROR(INDEX(diakadat!$W$2:$W$50,MATCH(D241,diakadat!$J$2:$J$50),1),"")</f>
        <v/>
      </c>
      <c r="AI241" t="str">
        <f>IFERROR(INDEX(diakadat!$X$2:$X$50,MATCH(D241,diakadat!$J$2:$J$50),1),"")</f>
        <v/>
      </c>
      <c r="AK241">
        <f t="shared" si="3"/>
        <v>329</v>
      </c>
      <c r="AL241" t="str" cm="1">
        <f t="array" ref="AL241">ElsoBetuNagy(R241)</f>
        <v/>
      </c>
      <c r="AO241" t="str" cm="1">
        <f t="array" ref="AO241">DatumSzovegge5(AN241)</f>
        <v>1899.</v>
      </c>
      <c r="AP241" t="str" cm="1">
        <f t="array" ref="AP241">DatumSzovegge3(AN241)</f>
        <v>december</v>
      </c>
      <c r="AQ241" t="str" cm="1">
        <f t="array" ref="AQ241">DatumSzovegge4(AN241)</f>
        <v>30.</v>
      </c>
    </row>
    <row r="242" spans="4:43" x14ac:dyDescent="0.25">
      <c r="D242" t="str" cm="1">
        <f t="array" ref="D242">SzuressNev($B$1,ROW()-1)</f>
        <v/>
      </c>
      <c r="E242">
        <f>COUNTIF($D$2:D242,D242)</f>
        <v>221</v>
      </c>
      <c r="F242" t="str" cm="1">
        <f t="array" ref="F242">ElutasitasEgyOk2(D242,E242)</f>
        <v/>
      </c>
      <c r="G242" t="str">
        <f>IFERROR(INDEX(diakadat!$I$2:$I$50,MATCH(D242,diakadat!$J$2:$J$50,0),1),"")</f>
        <v/>
      </c>
      <c r="H242" t="str">
        <f>IFERROR(INDEX(diakadat!$O$2:$O$50,MATCH(D242,diakadat!$J$2:$J$50,0),1),"")</f>
        <v/>
      </c>
      <c r="I242" t="str">
        <f>IFERROR(INDEX(diakadat!#REF!,MATCH(D242,diakadat!$J$2:$J$50,0),1),"")</f>
        <v/>
      </c>
      <c r="J242" t="str">
        <f>IFERROR(INDEX(diakadat!$K$2:$K$50,MATCH(D242,diakadat!$J$2:$J$50,0),1),"")</f>
        <v/>
      </c>
      <c r="K242" t="str" cm="1">
        <f t="array" ref="K242">IFERROR(DatumSzovegge2(INDEX(diakadat!$L$2:$L$50,MATCH(D242,diakadat!$J$2:$J$50,0),1)),"")</f>
        <v/>
      </c>
      <c r="L242" t="str" cm="1">
        <f t="array" ref="L242">IFERROR(DatumSzovegge5(INDEX(diakadat!$L$2:$L$50,MATCH(D242,diakadat!$J$2:$J$50,0),1)),"")</f>
        <v/>
      </c>
      <c r="M242" t="str" cm="1">
        <f t="array" ref="M242">IFERROR(DatumSzovegge3(INDEX(diakadat!$L$2:$L$50,MATCH(D242,diakadat!$J$2:$J$50,0),1)),"")</f>
        <v/>
      </c>
      <c r="N242" t="str" cm="1">
        <f t="array" ref="N242">IFERROR(DatumSzovegge4(INDEX(diakadat!$L$2:$L$50,MATCH(D242,diakadat!$J$2:$J$50,0),1)),"")</f>
        <v/>
      </c>
      <c r="O242" t="str">
        <f>IFERROR(INDEX(diakadat!$R$2:$R$50,MATCH(D242,diakadat!$J$2:$J$50,0),1),"")</f>
        <v/>
      </c>
      <c r="P242" t="str">
        <f>IFERROR(INDEX(diakadat!$AI$2:$AI$50,MATCH(D242,diakadat!$J$2:$J$50,0),1),"")</f>
        <v/>
      </c>
      <c r="Q242" t="str">
        <f>IFERROR(INDEX('rangsor'!$C$2:$C$343,MATCH(D242,'rangsor'!$A$2:$A$343,0),1),"")</f>
        <v/>
      </c>
      <c r="T242" t="s">
        <v>831</v>
      </c>
      <c r="U242" t="str" cm="1">
        <f t="array" ref="U242">Határozat(D242)</f>
        <v/>
      </c>
      <c r="AC242" t="str">
        <f>IFERROR(INDEX(diakadat!$U$2:$U$50,MATCH(D242,diakadat!$J$2:$J$50),1),"")</f>
        <v/>
      </c>
      <c r="AD242" t="str">
        <f>IFERROR(INDEX(diakadat!$V$2:$V$50,MATCH(D242,diakadat!$J$2:$J$50),1),"")</f>
        <v/>
      </c>
      <c r="AE242" t="str">
        <f>IFERROR(INDEX(diakadat!$W$2:$W$50,MATCH(D242,diakadat!$J$2:$J$50),1),"")</f>
        <v/>
      </c>
      <c r="AI242" t="str">
        <f>IFERROR(INDEX(diakadat!$X$2:$X$50,MATCH(D242,diakadat!$J$2:$J$50),1),"")</f>
        <v/>
      </c>
      <c r="AK242">
        <f t="shared" si="3"/>
        <v>329</v>
      </c>
      <c r="AL242" t="str" cm="1">
        <f t="array" ref="AL242">ElsoBetuNagy(R242)</f>
        <v/>
      </c>
      <c r="AO242" t="str" cm="1">
        <f t="array" ref="AO242">DatumSzovegge5(AN242)</f>
        <v>1899.</v>
      </c>
      <c r="AP242" t="str" cm="1">
        <f t="array" ref="AP242">DatumSzovegge3(AN242)</f>
        <v>december</v>
      </c>
      <c r="AQ242" t="str" cm="1">
        <f t="array" ref="AQ242">DatumSzovegge4(AN242)</f>
        <v>30.</v>
      </c>
    </row>
    <row r="243" spans="4:43" x14ac:dyDescent="0.25">
      <c r="D243" t="str" cm="1">
        <f t="array" ref="D243">SzuressNev($B$1,ROW()-1)</f>
        <v/>
      </c>
      <c r="E243">
        <f>COUNTIF($D$2:D243,D243)</f>
        <v>222</v>
      </c>
      <c r="F243" t="str" cm="1">
        <f t="array" ref="F243">ElutasitasEgyOk2(D243,E243)</f>
        <v/>
      </c>
      <c r="G243" t="str">
        <f>IFERROR(INDEX(diakadat!$I$2:$I$50,MATCH(D243,diakadat!$J$2:$J$50,0),1),"")</f>
        <v/>
      </c>
      <c r="H243" t="str">
        <f>IFERROR(INDEX(diakadat!$O$2:$O$50,MATCH(D243,diakadat!$J$2:$J$50,0),1),"")</f>
        <v/>
      </c>
      <c r="I243" t="str">
        <f>IFERROR(INDEX(diakadat!#REF!,MATCH(D243,diakadat!$J$2:$J$50,0),1),"")</f>
        <v/>
      </c>
      <c r="J243" t="str">
        <f>IFERROR(INDEX(diakadat!$K$2:$K$50,MATCH(D243,diakadat!$J$2:$J$50,0),1),"")</f>
        <v/>
      </c>
      <c r="K243" t="str" cm="1">
        <f t="array" ref="K243">IFERROR(DatumSzovegge2(INDEX(diakadat!$L$2:$L$50,MATCH(D243,diakadat!$J$2:$J$50,0),1)),"")</f>
        <v/>
      </c>
      <c r="L243" t="str" cm="1">
        <f t="array" ref="L243">IFERROR(DatumSzovegge5(INDEX(diakadat!$L$2:$L$50,MATCH(D243,diakadat!$J$2:$J$50,0),1)),"")</f>
        <v/>
      </c>
      <c r="M243" t="str" cm="1">
        <f t="array" ref="M243">IFERROR(DatumSzovegge3(INDEX(diakadat!$L$2:$L$50,MATCH(D243,diakadat!$J$2:$J$50,0),1)),"")</f>
        <v/>
      </c>
      <c r="N243" t="str" cm="1">
        <f t="array" ref="N243">IFERROR(DatumSzovegge4(INDEX(diakadat!$L$2:$L$50,MATCH(D243,diakadat!$J$2:$J$50,0),1)),"")</f>
        <v/>
      </c>
      <c r="O243" t="str">
        <f>IFERROR(INDEX(diakadat!$R$2:$R$50,MATCH(D243,diakadat!$J$2:$J$50,0),1),"")</f>
        <v/>
      </c>
      <c r="P243" t="str">
        <f>IFERROR(INDEX(diakadat!$AI$2:$AI$50,MATCH(D243,diakadat!$J$2:$J$50,0),1),"")</f>
        <v/>
      </c>
      <c r="Q243" t="str">
        <f>IFERROR(INDEX('rangsor'!$C$2:$C$343,MATCH(D243,'rangsor'!$A$2:$A$343,0),1),"")</f>
        <v/>
      </c>
      <c r="T243" t="s">
        <v>831</v>
      </c>
      <c r="U243" t="str" cm="1">
        <f t="array" ref="U243">Határozat(D243)</f>
        <v/>
      </c>
      <c r="AC243" t="str">
        <f>IFERROR(INDEX(diakadat!$U$2:$U$50,MATCH(D243,diakadat!$J$2:$J$50),1),"")</f>
        <v/>
      </c>
      <c r="AD243" t="str">
        <f>IFERROR(INDEX(diakadat!$V$2:$V$50,MATCH(D243,diakadat!$J$2:$J$50),1),"")</f>
        <v/>
      </c>
      <c r="AE243" t="str">
        <f>IFERROR(INDEX(diakadat!$W$2:$W$50,MATCH(D243,diakadat!$J$2:$J$50),1),"")</f>
        <v/>
      </c>
      <c r="AI243" t="str">
        <f>IFERROR(INDEX(diakadat!$X$2:$X$50,MATCH(D243,diakadat!$J$2:$J$50),1),"")</f>
        <v/>
      </c>
      <c r="AK243">
        <f t="shared" si="3"/>
        <v>329</v>
      </c>
      <c r="AL243" t="str" cm="1">
        <f t="array" ref="AL243">ElsoBetuNagy(R243)</f>
        <v/>
      </c>
      <c r="AO243" t="str" cm="1">
        <f t="array" ref="AO243">DatumSzovegge5(AN243)</f>
        <v>1899.</v>
      </c>
      <c r="AP243" t="str" cm="1">
        <f t="array" ref="AP243">DatumSzovegge3(AN243)</f>
        <v>december</v>
      </c>
      <c r="AQ243" t="str" cm="1">
        <f t="array" ref="AQ243">DatumSzovegge4(AN243)</f>
        <v>30.</v>
      </c>
    </row>
    <row r="244" spans="4:43" x14ac:dyDescent="0.25">
      <c r="D244" t="str" cm="1">
        <f t="array" ref="D244">SzuressNev($B$1,ROW()-1)</f>
        <v/>
      </c>
      <c r="E244">
        <f>COUNTIF($D$2:D244,D244)</f>
        <v>223</v>
      </c>
      <c r="F244" t="str" cm="1">
        <f t="array" ref="F244">ElutasitasEgyOk2(D244,E244)</f>
        <v/>
      </c>
      <c r="G244" t="str">
        <f>IFERROR(INDEX(diakadat!$I$2:$I$50,MATCH(D244,diakadat!$J$2:$J$50,0),1),"")</f>
        <v/>
      </c>
      <c r="H244" t="str">
        <f>IFERROR(INDEX(diakadat!$O$2:$O$50,MATCH(D244,diakadat!$J$2:$J$50,0),1),"")</f>
        <v/>
      </c>
      <c r="I244" t="str">
        <f>IFERROR(INDEX(diakadat!#REF!,MATCH(D244,diakadat!$J$2:$J$50,0),1),"")</f>
        <v/>
      </c>
      <c r="J244" t="str">
        <f>IFERROR(INDEX(diakadat!$K$2:$K$50,MATCH(D244,diakadat!$J$2:$J$50,0),1),"")</f>
        <v/>
      </c>
      <c r="K244" t="str" cm="1">
        <f t="array" ref="K244">IFERROR(DatumSzovegge2(INDEX(diakadat!$L$2:$L$50,MATCH(D244,diakadat!$J$2:$J$50,0),1)),"")</f>
        <v/>
      </c>
      <c r="L244" t="str" cm="1">
        <f t="array" ref="L244">IFERROR(DatumSzovegge5(INDEX(diakadat!$L$2:$L$50,MATCH(D244,diakadat!$J$2:$J$50,0),1)),"")</f>
        <v/>
      </c>
      <c r="M244" t="str" cm="1">
        <f t="array" ref="M244">IFERROR(DatumSzovegge3(INDEX(diakadat!$L$2:$L$50,MATCH(D244,diakadat!$J$2:$J$50,0),1)),"")</f>
        <v/>
      </c>
      <c r="N244" t="str" cm="1">
        <f t="array" ref="N244">IFERROR(DatumSzovegge4(INDEX(diakadat!$L$2:$L$50,MATCH(D244,diakadat!$J$2:$J$50,0),1)),"")</f>
        <v/>
      </c>
      <c r="O244" t="str">
        <f>IFERROR(INDEX(diakadat!$R$2:$R$50,MATCH(D244,diakadat!$J$2:$J$50,0),1),"")</f>
        <v/>
      </c>
      <c r="P244" t="str">
        <f>IFERROR(INDEX(diakadat!$AI$2:$AI$50,MATCH(D244,diakadat!$J$2:$J$50,0),1),"")</f>
        <v/>
      </c>
      <c r="Q244" t="str">
        <f>IFERROR(INDEX('rangsor'!$C$2:$C$343,MATCH(D244,'rangsor'!$A$2:$A$343,0),1),"")</f>
        <v/>
      </c>
      <c r="T244" t="s">
        <v>831</v>
      </c>
      <c r="U244" t="str" cm="1">
        <f t="array" ref="U244">Határozat(D244)</f>
        <v/>
      </c>
      <c r="AC244" t="str">
        <f>IFERROR(INDEX(diakadat!$U$2:$U$50,MATCH(D244,diakadat!$J$2:$J$50),1),"")</f>
        <v/>
      </c>
      <c r="AD244" t="str">
        <f>IFERROR(INDEX(diakadat!$V$2:$V$50,MATCH(D244,diakadat!$J$2:$J$50),1),"")</f>
        <v/>
      </c>
      <c r="AE244" t="str">
        <f>IFERROR(INDEX(diakadat!$W$2:$W$50,MATCH(D244,diakadat!$J$2:$J$50),1),"")</f>
        <v/>
      </c>
      <c r="AI244" t="str">
        <f>IFERROR(INDEX(diakadat!$X$2:$X$50,MATCH(D244,diakadat!$J$2:$J$50),1),"")</f>
        <v/>
      </c>
      <c r="AK244">
        <f t="shared" si="3"/>
        <v>329</v>
      </c>
      <c r="AL244" t="str" cm="1">
        <f t="array" ref="AL244">ElsoBetuNagy(R244)</f>
        <v/>
      </c>
      <c r="AO244" t="str" cm="1">
        <f t="array" ref="AO244">DatumSzovegge5(AN244)</f>
        <v>1899.</v>
      </c>
      <c r="AP244" t="str" cm="1">
        <f t="array" ref="AP244">DatumSzovegge3(AN244)</f>
        <v>december</v>
      </c>
      <c r="AQ244" t="str" cm="1">
        <f t="array" ref="AQ244">DatumSzovegge4(AN244)</f>
        <v>30.</v>
      </c>
    </row>
    <row r="245" spans="4:43" x14ac:dyDescent="0.25">
      <c r="D245" t="str" cm="1">
        <f t="array" ref="D245">SzuressNev($B$1,ROW()-1)</f>
        <v/>
      </c>
      <c r="E245">
        <f>COUNTIF($D$2:D245,D245)</f>
        <v>224</v>
      </c>
      <c r="F245" t="str" cm="1">
        <f t="array" ref="F245">ElutasitasEgyOk2(D245,E245)</f>
        <v/>
      </c>
      <c r="G245" t="str">
        <f>IFERROR(INDEX(diakadat!$I$2:$I$50,MATCH(D245,diakadat!$J$2:$J$50,0),1),"")</f>
        <v/>
      </c>
      <c r="H245" t="str">
        <f>IFERROR(INDEX(diakadat!$O$2:$O$50,MATCH(D245,diakadat!$J$2:$J$50,0),1),"")</f>
        <v/>
      </c>
      <c r="I245" t="str">
        <f>IFERROR(INDEX(diakadat!#REF!,MATCH(D245,diakadat!$J$2:$J$50,0),1),"")</f>
        <v/>
      </c>
      <c r="J245" t="str">
        <f>IFERROR(INDEX(diakadat!$K$2:$K$50,MATCH(D245,diakadat!$J$2:$J$50,0),1),"")</f>
        <v/>
      </c>
      <c r="K245" t="str" cm="1">
        <f t="array" ref="K245">IFERROR(DatumSzovegge2(INDEX(diakadat!$L$2:$L$50,MATCH(D245,diakadat!$J$2:$J$50,0),1)),"")</f>
        <v/>
      </c>
      <c r="L245" t="str" cm="1">
        <f t="array" ref="L245">IFERROR(DatumSzovegge5(INDEX(diakadat!$L$2:$L$50,MATCH(D245,diakadat!$J$2:$J$50,0),1)),"")</f>
        <v/>
      </c>
      <c r="M245" t="str" cm="1">
        <f t="array" ref="M245">IFERROR(DatumSzovegge3(INDEX(diakadat!$L$2:$L$50,MATCH(D245,diakadat!$J$2:$J$50,0),1)),"")</f>
        <v/>
      </c>
      <c r="N245" t="str" cm="1">
        <f t="array" ref="N245">IFERROR(DatumSzovegge4(INDEX(diakadat!$L$2:$L$50,MATCH(D245,diakadat!$J$2:$J$50,0),1)),"")</f>
        <v/>
      </c>
      <c r="O245" t="str">
        <f>IFERROR(INDEX(diakadat!$R$2:$R$50,MATCH(D245,diakadat!$J$2:$J$50,0),1),"")</f>
        <v/>
      </c>
      <c r="P245" t="str">
        <f>IFERROR(INDEX(diakadat!$AI$2:$AI$50,MATCH(D245,diakadat!$J$2:$J$50,0),1),"")</f>
        <v/>
      </c>
      <c r="Q245" t="str">
        <f>IFERROR(INDEX('rangsor'!$C$2:$C$343,MATCH(D245,'rangsor'!$A$2:$A$343,0),1),"")</f>
        <v/>
      </c>
      <c r="T245" t="s">
        <v>831</v>
      </c>
      <c r="U245" t="str" cm="1">
        <f t="array" ref="U245">Határozat(D245)</f>
        <v/>
      </c>
      <c r="AC245" t="str">
        <f>IFERROR(INDEX(diakadat!$U$2:$U$50,MATCH(D245,diakadat!$J$2:$J$50),1),"")</f>
        <v/>
      </c>
      <c r="AD245" t="str">
        <f>IFERROR(INDEX(diakadat!$V$2:$V$50,MATCH(D245,diakadat!$J$2:$J$50),1),"")</f>
        <v/>
      </c>
      <c r="AE245" t="str">
        <f>IFERROR(INDEX(diakadat!$W$2:$W$50,MATCH(D245,diakadat!$J$2:$J$50),1),"")</f>
        <v/>
      </c>
      <c r="AI245" t="str">
        <f>IFERROR(INDEX(diakadat!$X$2:$X$50,MATCH(D245,diakadat!$J$2:$J$50),1),"")</f>
        <v/>
      </c>
      <c r="AK245">
        <f t="shared" si="3"/>
        <v>329</v>
      </c>
      <c r="AL245" t="str" cm="1">
        <f t="array" ref="AL245">ElsoBetuNagy(R245)</f>
        <v/>
      </c>
      <c r="AO245" t="str" cm="1">
        <f t="array" ref="AO245">DatumSzovegge5(AN245)</f>
        <v>1899.</v>
      </c>
      <c r="AP245" t="str" cm="1">
        <f t="array" ref="AP245">DatumSzovegge3(AN245)</f>
        <v>december</v>
      </c>
      <c r="AQ245" t="str" cm="1">
        <f t="array" ref="AQ245">DatumSzovegge4(AN245)</f>
        <v>30.</v>
      </c>
    </row>
    <row r="246" spans="4:43" x14ac:dyDescent="0.25">
      <c r="D246" t="str" cm="1">
        <f t="array" ref="D246">SzuressNev($B$1,ROW()-1)</f>
        <v/>
      </c>
      <c r="E246">
        <f>COUNTIF($D$2:D246,D246)</f>
        <v>225</v>
      </c>
      <c r="F246" t="str" cm="1">
        <f t="array" ref="F246">ElutasitasEgyOk2(D246,E246)</f>
        <v/>
      </c>
      <c r="G246" t="str">
        <f>IFERROR(INDEX(diakadat!$I$2:$I$50,MATCH(D246,diakadat!$J$2:$J$50,0),1),"")</f>
        <v/>
      </c>
      <c r="H246" t="str">
        <f>IFERROR(INDEX(diakadat!$O$2:$O$50,MATCH(D246,diakadat!$J$2:$J$50,0),1),"")</f>
        <v/>
      </c>
      <c r="I246" t="str">
        <f>IFERROR(INDEX(diakadat!#REF!,MATCH(D246,diakadat!$J$2:$J$50,0),1),"")</f>
        <v/>
      </c>
      <c r="J246" t="str">
        <f>IFERROR(INDEX(diakadat!$K$2:$K$50,MATCH(D246,diakadat!$J$2:$J$50,0),1),"")</f>
        <v/>
      </c>
      <c r="K246" t="str" cm="1">
        <f t="array" ref="K246">IFERROR(DatumSzovegge2(INDEX(diakadat!$L$2:$L$50,MATCH(D246,diakadat!$J$2:$J$50,0),1)),"")</f>
        <v/>
      </c>
      <c r="L246" t="str" cm="1">
        <f t="array" ref="L246">IFERROR(DatumSzovegge5(INDEX(diakadat!$L$2:$L$50,MATCH(D246,diakadat!$J$2:$J$50,0),1)),"")</f>
        <v/>
      </c>
      <c r="M246" t="str" cm="1">
        <f t="array" ref="M246">IFERROR(DatumSzovegge3(INDEX(diakadat!$L$2:$L$50,MATCH(D246,diakadat!$J$2:$J$50,0),1)),"")</f>
        <v/>
      </c>
      <c r="N246" t="str" cm="1">
        <f t="array" ref="N246">IFERROR(DatumSzovegge4(INDEX(diakadat!$L$2:$L$50,MATCH(D246,diakadat!$J$2:$J$50,0),1)),"")</f>
        <v/>
      </c>
      <c r="O246" t="str">
        <f>IFERROR(INDEX(diakadat!$R$2:$R$50,MATCH(D246,diakadat!$J$2:$J$50,0),1),"")</f>
        <v/>
      </c>
      <c r="P246" t="str">
        <f>IFERROR(INDEX(diakadat!$AI$2:$AI$50,MATCH(D246,diakadat!$J$2:$J$50,0),1),"")</f>
        <v/>
      </c>
      <c r="Q246" t="str">
        <f>IFERROR(INDEX('rangsor'!$C$2:$C$343,MATCH(D246,'rangsor'!$A$2:$A$343,0),1),"")</f>
        <v/>
      </c>
      <c r="T246" t="s">
        <v>831</v>
      </c>
      <c r="U246" t="str" cm="1">
        <f t="array" ref="U246">Határozat(D246)</f>
        <v/>
      </c>
      <c r="AC246" t="str">
        <f>IFERROR(INDEX(diakadat!$U$2:$U$50,MATCH(D246,diakadat!$J$2:$J$50),1),"")</f>
        <v/>
      </c>
      <c r="AD246" t="str">
        <f>IFERROR(INDEX(diakadat!$V$2:$V$50,MATCH(D246,diakadat!$J$2:$J$50),1),"")</f>
        <v/>
      </c>
      <c r="AE246" t="str">
        <f>IFERROR(INDEX(diakadat!$W$2:$W$50,MATCH(D246,diakadat!$J$2:$J$50),1),"")</f>
        <v/>
      </c>
      <c r="AI246" t="str">
        <f>IFERROR(INDEX(diakadat!$X$2:$X$50,MATCH(D246,diakadat!$J$2:$J$50),1),"")</f>
        <v/>
      </c>
      <c r="AK246">
        <f t="shared" si="3"/>
        <v>329</v>
      </c>
      <c r="AL246" t="str" cm="1">
        <f t="array" ref="AL246">ElsoBetuNagy(R246)</f>
        <v/>
      </c>
      <c r="AO246" t="str" cm="1">
        <f t="array" ref="AO246">DatumSzovegge5(AN246)</f>
        <v>1899.</v>
      </c>
      <c r="AP246" t="str" cm="1">
        <f t="array" ref="AP246">DatumSzovegge3(AN246)</f>
        <v>december</v>
      </c>
      <c r="AQ246" t="str" cm="1">
        <f t="array" ref="AQ246">DatumSzovegge4(AN246)</f>
        <v>30.</v>
      </c>
    </row>
    <row r="247" spans="4:43" x14ac:dyDescent="0.25">
      <c r="D247" t="str" cm="1">
        <f t="array" ref="D247">SzuressNev($B$1,ROW()-1)</f>
        <v/>
      </c>
      <c r="E247">
        <f>COUNTIF($D$2:D247,D247)</f>
        <v>226</v>
      </c>
      <c r="F247" t="str" cm="1">
        <f t="array" ref="F247">ElutasitasEgyOk2(D247,E247)</f>
        <v/>
      </c>
      <c r="G247" t="str">
        <f>IFERROR(INDEX(diakadat!$I$2:$I$50,MATCH(D247,diakadat!$J$2:$J$50,0),1),"")</f>
        <v/>
      </c>
      <c r="H247" t="str">
        <f>IFERROR(INDEX(diakadat!$O$2:$O$50,MATCH(D247,diakadat!$J$2:$J$50,0),1),"")</f>
        <v/>
      </c>
      <c r="I247" t="str">
        <f>IFERROR(INDEX(diakadat!#REF!,MATCH(D247,diakadat!$J$2:$J$50,0),1),"")</f>
        <v/>
      </c>
      <c r="J247" t="str">
        <f>IFERROR(INDEX(diakadat!$K$2:$K$50,MATCH(D247,diakadat!$J$2:$J$50,0),1),"")</f>
        <v/>
      </c>
      <c r="K247" t="str" cm="1">
        <f t="array" ref="K247">IFERROR(DatumSzovegge2(INDEX(diakadat!$L$2:$L$50,MATCH(D247,diakadat!$J$2:$J$50,0),1)),"")</f>
        <v/>
      </c>
      <c r="L247" t="str" cm="1">
        <f t="array" ref="L247">IFERROR(DatumSzovegge5(INDEX(diakadat!$L$2:$L$50,MATCH(D247,diakadat!$J$2:$J$50,0),1)),"")</f>
        <v/>
      </c>
      <c r="M247" t="str" cm="1">
        <f t="array" ref="M247">IFERROR(DatumSzovegge3(INDEX(diakadat!$L$2:$L$50,MATCH(D247,diakadat!$J$2:$J$50,0),1)),"")</f>
        <v/>
      </c>
      <c r="N247" t="str" cm="1">
        <f t="array" ref="N247">IFERROR(DatumSzovegge4(INDEX(diakadat!$L$2:$L$50,MATCH(D247,diakadat!$J$2:$J$50,0),1)),"")</f>
        <v/>
      </c>
      <c r="O247" t="str">
        <f>IFERROR(INDEX(diakadat!$R$2:$R$50,MATCH(D247,diakadat!$J$2:$J$50,0),1),"")</f>
        <v/>
      </c>
      <c r="P247" t="str">
        <f>IFERROR(INDEX(diakadat!$AI$2:$AI$50,MATCH(D247,diakadat!$J$2:$J$50,0),1),"")</f>
        <v/>
      </c>
      <c r="Q247" t="str">
        <f>IFERROR(INDEX('rangsor'!$C$2:$C$343,MATCH(D247,'rangsor'!$A$2:$A$343,0),1),"")</f>
        <v/>
      </c>
      <c r="T247" t="s">
        <v>831</v>
      </c>
      <c r="U247" t="str" cm="1">
        <f t="array" ref="U247">Határozat(D247)</f>
        <v/>
      </c>
      <c r="AC247" t="str">
        <f>IFERROR(INDEX(diakadat!$U$2:$U$50,MATCH(D247,diakadat!$J$2:$J$50),1),"")</f>
        <v/>
      </c>
      <c r="AD247" t="str">
        <f>IFERROR(INDEX(diakadat!$V$2:$V$50,MATCH(D247,diakadat!$J$2:$J$50),1),"")</f>
        <v/>
      </c>
      <c r="AE247" t="str">
        <f>IFERROR(INDEX(diakadat!$W$2:$W$50,MATCH(D247,diakadat!$J$2:$J$50),1),"")</f>
        <v/>
      </c>
      <c r="AI247" t="str">
        <f>IFERROR(INDEX(diakadat!$X$2:$X$50,MATCH(D247,diakadat!$J$2:$J$50),1),"")</f>
        <v/>
      </c>
      <c r="AK247">
        <f t="shared" si="3"/>
        <v>329</v>
      </c>
      <c r="AL247" t="str" cm="1">
        <f t="array" ref="AL247">ElsoBetuNagy(R247)</f>
        <v/>
      </c>
      <c r="AO247" t="str" cm="1">
        <f t="array" ref="AO247">DatumSzovegge5(AN247)</f>
        <v>1899.</v>
      </c>
      <c r="AP247" t="str" cm="1">
        <f t="array" ref="AP247">DatumSzovegge3(AN247)</f>
        <v>december</v>
      </c>
      <c r="AQ247" t="str" cm="1">
        <f t="array" ref="AQ247">DatumSzovegge4(AN247)</f>
        <v>30.</v>
      </c>
    </row>
    <row r="248" spans="4:43" x14ac:dyDescent="0.25">
      <c r="D248" t="str" cm="1">
        <f t="array" ref="D248">SzuressNev($B$1,ROW()-1)</f>
        <v/>
      </c>
      <c r="E248">
        <f>COUNTIF($D$2:D248,D248)</f>
        <v>227</v>
      </c>
      <c r="F248" t="str" cm="1">
        <f t="array" ref="F248">ElutasitasEgyOk2(D248,E248)</f>
        <v/>
      </c>
      <c r="G248" t="str">
        <f>IFERROR(INDEX(diakadat!$I$2:$I$50,MATCH(D248,diakadat!$J$2:$J$50,0),1),"")</f>
        <v/>
      </c>
      <c r="H248" t="str">
        <f>IFERROR(INDEX(diakadat!$O$2:$O$50,MATCH(D248,diakadat!$J$2:$J$50,0),1),"")</f>
        <v/>
      </c>
      <c r="I248" t="str">
        <f>IFERROR(INDEX(diakadat!#REF!,MATCH(D248,diakadat!$J$2:$J$50,0),1),"")</f>
        <v/>
      </c>
      <c r="J248" t="str">
        <f>IFERROR(INDEX(diakadat!$K$2:$K$50,MATCH(D248,diakadat!$J$2:$J$50,0),1),"")</f>
        <v/>
      </c>
      <c r="K248" t="str" cm="1">
        <f t="array" ref="K248">IFERROR(DatumSzovegge2(INDEX(diakadat!$L$2:$L$50,MATCH(D248,diakadat!$J$2:$J$50,0),1)),"")</f>
        <v/>
      </c>
      <c r="L248" t="str" cm="1">
        <f t="array" ref="L248">IFERROR(DatumSzovegge5(INDEX(diakadat!$L$2:$L$50,MATCH(D248,diakadat!$J$2:$J$50,0),1)),"")</f>
        <v/>
      </c>
      <c r="M248" t="str" cm="1">
        <f t="array" ref="M248">IFERROR(DatumSzovegge3(INDEX(diakadat!$L$2:$L$50,MATCH(D248,diakadat!$J$2:$J$50,0),1)),"")</f>
        <v/>
      </c>
      <c r="N248" t="str" cm="1">
        <f t="array" ref="N248">IFERROR(DatumSzovegge4(INDEX(diakadat!$L$2:$L$50,MATCH(D248,diakadat!$J$2:$J$50,0),1)),"")</f>
        <v/>
      </c>
      <c r="O248" t="str">
        <f>IFERROR(INDEX(diakadat!$R$2:$R$50,MATCH(D248,diakadat!$J$2:$J$50,0),1),"")</f>
        <v/>
      </c>
      <c r="P248" t="str">
        <f>IFERROR(INDEX(diakadat!$AI$2:$AI$50,MATCH(D248,diakadat!$J$2:$J$50,0),1),"")</f>
        <v/>
      </c>
      <c r="Q248" t="str">
        <f>IFERROR(INDEX('rangsor'!$C$2:$C$343,MATCH(D248,'rangsor'!$A$2:$A$343,0),1),"")</f>
        <v/>
      </c>
      <c r="T248" t="s">
        <v>831</v>
      </c>
      <c r="U248" t="str" cm="1">
        <f t="array" ref="U248">Határozat(D248)</f>
        <v/>
      </c>
      <c r="AC248" t="str">
        <f>IFERROR(INDEX(diakadat!$U$2:$U$50,MATCH(D248,diakadat!$J$2:$J$50),1),"")</f>
        <v/>
      </c>
      <c r="AD248" t="str">
        <f>IFERROR(INDEX(diakadat!$V$2:$V$50,MATCH(D248,diakadat!$J$2:$J$50),1),"")</f>
        <v/>
      </c>
      <c r="AE248" t="str">
        <f>IFERROR(INDEX(diakadat!$W$2:$W$50,MATCH(D248,diakadat!$J$2:$J$50),1),"")</f>
        <v/>
      </c>
      <c r="AI248" t="str">
        <f>IFERROR(INDEX(diakadat!$X$2:$X$50,MATCH(D248,diakadat!$J$2:$J$50),1),"")</f>
        <v/>
      </c>
      <c r="AK248">
        <f t="shared" si="3"/>
        <v>329</v>
      </c>
      <c r="AL248" t="str" cm="1">
        <f t="array" ref="AL248">ElsoBetuNagy(R248)</f>
        <v/>
      </c>
      <c r="AO248" t="str" cm="1">
        <f t="array" ref="AO248">DatumSzovegge5(AN248)</f>
        <v>1899.</v>
      </c>
      <c r="AP248" t="str" cm="1">
        <f t="array" ref="AP248">DatumSzovegge3(AN248)</f>
        <v>december</v>
      </c>
      <c r="AQ248" t="str" cm="1">
        <f t="array" ref="AQ248">DatumSzovegge4(AN248)</f>
        <v>30.</v>
      </c>
    </row>
    <row r="249" spans="4:43" x14ac:dyDescent="0.25">
      <c r="D249" t="str" cm="1">
        <f t="array" ref="D249">SzuressNev($B$1,ROW()-1)</f>
        <v/>
      </c>
      <c r="E249">
        <f>COUNTIF($D$2:D249,D249)</f>
        <v>228</v>
      </c>
      <c r="F249" t="str" cm="1">
        <f t="array" ref="F249">ElutasitasEgyOk2(D249,E249)</f>
        <v/>
      </c>
      <c r="G249" t="str">
        <f>IFERROR(INDEX(diakadat!$I$2:$I$50,MATCH(D249,diakadat!$J$2:$J$50,0),1),"")</f>
        <v/>
      </c>
      <c r="H249" t="str">
        <f>IFERROR(INDEX(diakadat!$O$2:$O$50,MATCH(D249,diakadat!$J$2:$J$50,0),1),"")</f>
        <v/>
      </c>
      <c r="I249" t="str">
        <f>IFERROR(INDEX(diakadat!#REF!,MATCH(D249,diakadat!$J$2:$J$50,0),1),"")</f>
        <v/>
      </c>
      <c r="J249" t="str">
        <f>IFERROR(INDEX(diakadat!$K$2:$K$50,MATCH(D249,diakadat!$J$2:$J$50,0),1),"")</f>
        <v/>
      </c>
      <c r="K249" t="str" cm="1">
        <f t="array" ref="K249">IFERROR(DatumSzovegge2(INDEX(diakadat!$L$2:$L$50,MATCH(D249,diakadat!$J$2:$J$50,0),1)),"")</f>
        <v/>
      </c>
      <c r="L249" t="str" cm="1">
        <f t="array" ref="L249">IFERROR(DatumSzovegge5(INDEX(diakadat!$L$2:$L$50,MATCH(D249,diakadat!$J$2:$J$50,0),1)),"")</f>
        <v/>
      </c>
      <c r="M249" t="str" cm="1">
        <f t="array" ref="M249">IFERROR(DatumSzovegge3(INDEX(diakadat!$L$2:$L$50,MATCH(D249,diakadat!$J$2:$J$50,0),1)),"")</f>
        <v/>
      </c>
      <c r="N249" t="str" cm="1">
        <f t="array" ref="N249">IFERROR(DatumSzovegge4(INDEX(diakadat!$L$2:$L$50,MATCH(D249,diakadat!$J$2:$J$50,0),1)),"")</f>
        <v/>
      </c>
      <c r="O249" t="str">
        <f>IFERROR(INDEX(diakadat!$R$2:$R$50,MATCH(D249,diakadat!$J$2:$J$50,0),1),"")</f>
        <v/>
      </c>
      <c r="P249" t="str">
        <f>IFERROR(INDEX(diakadat!$AI$2:$AI$50,MATCH(D249,diakadat!$J$2:$J$50,0),1),"")</f>
        <v/>
      </c>
      <c r="Q249" t="str">
        <f>IFERROR(INDEX('rangsor'!$C$2:$C$343,MATCH(D249,'rangsor'!$A$2:$A$343,0),1),"")</f>
        <v/>
      </c>
      <c r="T249" t="s">
        <v>831</v>
      </c>
      <c r="U249" t="str" cm="1">
        <f t="array" ref="U249">Határozat(D249)</f>
        <v/>
      </c>
      <c r="AC249" t="str">
        <f>IFERROR(INDEX(diakadat!$U$2:$U$50,MATCH(D249,diakadat!$J$2:$J$50),1),"")</f>
        <v/>
      </c>
      <c r="AD249" t="str">
        <f>IFERROR(INDEX(diakadat!$V$2:$V$50,MATCH(D249,diakadat!$J$2:$J$50),1),"")</f>
        <v/>
      </c>
      <c r="AE249" t="str">
        <f>IFERROR(INDEX(diakadat!$W$2:$W$50,MATCH(D249,diakadat!$J$2:$J$50),1),"")</f>
        <v/>
      </c>
      <c r="AI249" t="str">
        <f>IFERROR(INDEX(diakadat!$X$2:$X$50,MATCH(D249,diakadat!$J$2:$J$50),1),"")</f>
        <v/>
      </c>
      <c r="AK249">
        <f t="shared" si="3"/>
        <v>329</v>
      </c>
      <c r="AL249" t="str" cm="1">
        <f t="array" ref="AL249">ElsoBetuNagy(R249)</f>
        <v/>
      </c>
      <c r="AO249" t="str" cm="1">
        <f t="array" ref="AO249">DatumSzovegge5(AN249)</f>
        <v>1899.</v>
      </c>
      <c r="AP249" t="str" cm="1">
        <f t="array" ref="AP249">DatumSzovegge3(AN249)</f>
        <v>december</v>
      </c>
      <c r="AQ249" t="str" cm="1">
        <f t="array" ref="AQ249">DatumSzovegge4(AN249)</f>
        <v>30.</v>
      </c>
    </row>
    <row r="250" spans="4:43" x14ac:dyDescent="0.25">
      <c r="D250" t="str" cm="1">
        <f t="array" ref="D250">SzuressNev($B$1,ROW()-1)</f>
        <v/>
      </c>
      <c r="E250">
        <f>COUNTIF($D$2:D250,D250)</f>
        <v>229</v>
      </c>
      <c r="F250" t="str" cm="1">
        <f t="array" ref="F250">ElutasitasEgyOk2(D250,E250)</f>
        <v/>
      </c>
      <c r="G250" t="str">
        <f>IFERROR(INDEX(diakadat!$I$2:$I$50,MATCH(D250,diakadat!$J$2:$J$50,0),1),"")</f>
        <v/>
      </c>
      <c r="H250" t="str">
        <f>IFERROR(INDEX(diakadat!$O$2:$O$50,MATCH(D250,diakadat!$J$2:$J$50,0),1),"")</f>
        <v/>
      </c>
      <c r="I250" t="str">
        <f>IFERROR(INDEX(diakadat!#REF!,MATCH(D250,diakadat!$J$2:$J$50,0),1),"")</f>
        <v/>
      </c>
      <c r="J250" t="str">
        <f>IFERROR(INDEX(diakadat!$K$2:$K$50,MATCH(D250,diakadat!$J$2:$J$50,0),1),"")</f>
        <v/>
      </c>
      <c r="K250" t="str" cm="1">
        <f t="array" ref="K250">IFERROR(DatumSzovegge2(INDEX(diakadat!$L$2:$L$50,MATCH(D250,diakadat!$J$2:$J$50,0),1)),"")</f>
        <v/>
      </c>
      <c r="L250" t="str" cm="1">
        <f t="array" ref="L250">IFERROR(DatumSzovegge5(INDEX(diakadat!$L$2:$L$50,MATCH(D250,diakadat!$J$2:$J$50,0),1)),"")</f>
        <v/>
      </c>
      <c r="M250" t="str" cm="1">
        <f t="array" ref="M250">IFERROR(DatumSzovegge3(INDEX(diakadat!$L$2:$L$50,MATCH(D250,diakadat!$J$2:$J$50,0),1)),"")</f>
        <v/>
      </c>
      <c r="N250" t="str" cm="1">
        <f t="array" ref="N250">IFERROR(DatumSzovegge4(INDEX(diakadat!$L$2:$L$50,MATCH(D250,diakadat!$J$2:$J$50,0),1)),"")</f>
        <v/>
      </c>
      <c r="O250" t="str">
        <f>IFERROR(INDEX(diakadat!$R$2:$R$50,MATCH(D250,diakadat!$J$2:$J$50,0),1),"")</f>
        <v/>
      </c>
      <c r="P250" t="str">
        <f>IFERROR(INDEX(diakadat!$AI$2:$AI$50,MATCH(D250,diakadat!$J$2:$J$50,0),1),"")</f>
        <v/>
      </c>
      <c r="Q250" t="str">
        <f>IFERROR(INDEX('rangsor'!$C$2:$C$343,MATCH(D250,'rangsor'!$A$2:$A$343,0),1),"")</f>
        <v/>
      </c>
      <c r="T250" t="s">
        <v>831</v>
      </c>
      <c r="U250" t="str" cm="1">
        <f t="array" ref="U250">Határozat(D250)</f>
        <v/>
      </c>
      <c r="AC250" t="str">
        <f>IFERROR(INDEX(diakadat!$U$2:$U$50,MATCH(D250,diakadat!$J$2:$J$50),1),"")</f>
        <v/>
      </c>
      <c r="AD250" t="str">
        <f>IFERROR(INDEX(diakadat!$V$2:$V$50,MATCH(D250,diakadat!$J$2:$J$50),1),"")</f>
        <v/>
      </c>
      <c r="AE250" t="str">
        <f>IFERROR(INDEX(diakadat!$W$2:$W$50,MATCH(D250,diakadat!$J$2:$J$50),1),"")</f>
        <v/>
      </c>
      <c r="AI250" t="str">
        <f>IFERROR(INDEX(diakadat!$X$2:$X$50,MATCH(D250,diakadat!$J$2:$J$50),1),"")</f>
        <v/>
      </c>
      <c r="AK250">
        <f t="shared" si="3"/>
        <v>329</v>
      </c>
      <c r="AL250" t="str" cm="1">
        <f t="array" ref="AL250">ElsoBetuNagy(R250)</f>
        <v/>
      </c>
      <c r="AO250" t="str" cm="1">
        <f t="array" ref="AO250">DatumSzovegge5(AN250)</f>
        <v>1899.</v>
      </c>
      <c r="AP250" t="str" cm="1">
        <f t="array" ref="AP250">DatumSzovegge3(AN250)</f>
        <v>december</v>
      </c>
      <c r="AQ250" t="str" cm="1">
        <f t="array" ref="AQ250">DatumSzovegge4(AN250)</f>
        <v>30.</v>
      </c>
    </row>
    <row r="251" spans="4:43" x14ac:dyDescent="0.25">
      <c r="D251" t="str" cm="1">
        <f t="array" ref="D251">SzuressNev($B$1,ROW()-1)</f>
        <v/>
      </c>
      <c r="E251">
        <f>COUNTIF($D$2:D251,D251)</f>
        <v>230</v>
      </c>
      <c r="F251" t="str" cm="1">
        <f t="array" ref="F251">ElutasitasEgyOk2(D251,E251)</f>
        <v/>
      </c>
      <c r="G251" t="str">
        <f>IFERROR(INDEX(diakadat!$I$2:$I$50,MATCH(D251,diakadat!$J$2:$J$50,0),1),"")</f>
        <v/>
      </c>
      <c r="H251" t="str">
        <f>IFERROR(INDEX(diakadat!$O$2:$O$50,MATCH(D251,diakadat!$J$2:$J$50,0),1),"")</f>
        <v/>
      </c>
      <c r="I251" t="str">
        <f>IFERROR(INDEX(diakadat!#REF!,MATCH(D251,diakadat!$J$2:$J$50,0),1),"")</f>
        <v/>
      </c>
      <c r="J251" t="str">
        <f>IFERROR(INDEX(diakadat!$K$2:$K$50,MATCH(D251,diakadat!$J$2:$J$50,0),1),"")</f>
        <v/>
      </c>
      <c r="K251" t="str" cm="1">
        <f t="array" ref="K251">IFERROR(DatumSzovegge2(INDEX(diakadat!$L$2:$L$50,MATCH(D251,diakadat!$J$2:$J$50,0),1)),"")</f>
        <v/>
      </c>
      <c r="L251" t="str" cm="1">
        <f t="array" ref="L251">IFERROR(DatumSzovegge5(INDEX(diakadat!$L$2:$L$50,MATCH(D251,diakadat!$J$2:$J$50,0),1)),"")</f>
        <v/>
      </c>
      <c r="M251" t="str" cm="1">
        <f t="array" ref="M251">IFERROR(DatumSzovegge3(INDEX(diakadat!$L$2:$L$50,MATCH(D251,diakadat!$J$2:$J$50,0),1)),"")</f>
        <v/>
      </c>
      <c r="N251" t="str" cm="1">
        <f t="array" ref="N251">IFERROR(DatumSzovegge4(INDEX(diakadat!$L$2:$L$50,MATCH(D251,diakadat!$J$2:$J$50,0),1)),"")</f>
        <v/>
      </c>
      <c r="O251" t="str">
        <f>IFERROR(INDEX(diakadat!$R$2:$R$50,MATCH(D251,diakadat!$J$2:$J$50,0),1),"")</f>
        <v/>
      </c>
      <c r="P251" t="str">
        <f>IFERROR(INDEX(diakadat!$AI$2:$AI$50,MATCH(D251,diakadat!$J$2:$J$50,0),1),"")</f>
        <v/>
      </c>
      <c r="Q251" t="str">
        <f>IFERROR(INDEX('rangsor'!$C$2:$C$343,MATCH(D251,'rangsor'!$A$2:$A$343,0),1),"")</f>
        <v/>
      </c>
      <c r="T251" t="s">
        <v>831</v>
      </c>
      <c r="U251" t="str" cm="1">
        <f t="array" ref="U251">Határozat(D251)</f>
        <v/>
      </c>
      <c r="AC251" t="str">
        <f>IFERROR(INDEX(diakadat!$U$2:$U$50,MATCH(D251,diakadat!$J$2:$J$50),1),"")</f>
        <v/>
      </c>
      <c r="AD251" t="str">
        <f>IFERROR(INDEX(diakadat!$V$2:$V$50,MATCH(D251,diakadat!$J$2:$J$50),1),"")</f>
        <v/>
      </c>
      <c r="AE251" t="str">
        <f>IFERROR(INDEX(diakadat!$W$2:$W$50,MATCH(D251,diakadat!$J$2:$J$50),1),"")</f>
        <v/>
      </c>
      <c r="AI251" t="str">
        <f>IFERROR(INDEX(diakadat!$X$2:$X$50,MATCH(D251,diakadat!$J$2:$J$50),1),"")</f>
        <v/>
      </c>
      <c r="AK251">
        <f t="shared" si="3"/>
        <v>329</v>
      </c>
      <c r="AL251" t="str" cm="1">
        <f t="array" ref="AL251">ElsoBetuNagy(R251)</f>
        <v/>
      </c>
      <c r="AO251" t="str" cm="1">
        <f t="array" ref="AO251">DatumSzovegge5(AN251)</f>
        <v>1899.</v>
      </c>
      <c r="AP251" t="str" cm="1">
        <f t="array" ref="AP251">DatumSzovegge3(AN251)</f>
        <v>december</v>
      </c>
      <c r="AQ251" t="str" cm="1">
        <f t="array" ref="AQ251">DatumSzovegge4(AN251)</f>
        <v>30.</v>
      </c>
    </row>
    <row r="252" spans="4:43" x14ac:dyDescent="0.25">
      <c r="D252" t="str" cm="1">
        <f t="array" ref="D252">SzuressNev($B$1,ROW()-1)</f>
        <v/>
      </c>
      <c r="E252">
        <f>COUNTIF($D$2:D252,D252)</f>
        <v>231</v>
      </c>
      <c r="F252" t="str" cm="1">
        <f t="array" ref="F252">ElutasitasEgyOk2(D252,E252)</f>
        <v/>
      </c>
      <c r="G252" t="str">
        <f>IFERROR(INDEX(diakadat!$I$2:$I$50,MATCH(D252,diakadat!$J$2:$J$50,0),1),"")</f>
        <v/>
      </c>
      <c r="H252" t="str">
        <f>IFERROR(INDEX(diakadat!$O$2:$O$50,MATCH(D252,diakadat!$J$2:$J$50,0),1),"")</f>
        <v/>
      </c>
      <c r="I252" t="str">
        <f>IFERROR(INDEX(diakadat!#REF!,MATCH(D252,diakadat!$J$2:$J$50,0),1),"")</f>
        <v/>
      </c>
      <c r="J252" t="str">
        <f>IFERROR(INDEX(diakadat!$K$2:$K$50,MATCH(D252,diakadat!$J$2:$J$50,0),1),"")</f>
        <v/>
      </c>
      <c r="K252" t="str" cm="1">
        <f t="array" ref="K252">IFERROR(DatumSzovegge2(INDEX(diakadat!$L$2:$L$50,MATCH(D252,diakadat!$J$2:$J$50,0),1)),"")</f>
        <v/>
      </c>
      <c r="L252" t="str" cm="1">
        <f t="array" ref="L252">IFERROR(DatumSzovegge5(INDEX(diakadat!$L$2:$L$50,MATCH(D252,diakadat!$J$2:$J$50,0),1)),"")</f>
        <v/>
      </c>
      <c r="M252" t="str" cm="1">
        <f t="array" ref="M252">IFERROR(DatumSzovegge3(INDEX(diakadat!$L$2:$L$50,MATCH(D252,diakadat!$J$2:$J$50,0),1)),"")</f>
        <v/>
      </c>
      <c r="N252" t="str" cm="1">
        <f t="array" ref="N252">IFERROR(DatumSzovegge4(INDEX(diakadat!$L$2:$L$50,MATCH(D252,diakadat!$J$2:$J$50,0),1)),"")</f>
        <v/>
      </c>
      <c r="O252" t="str">
        <f>IFERROR(INDEX(diakadat!$R$2:$R$50,MATCH(D252,diakadat!$J$2:$J$50,0),1),"")</f>
        <v/>
      </c>
      <c r="P252" t="str">
        <f>IFERROR(INDEX(diakadat!$AI$2:$AI$50,MATCH(D252,diakadat!$J$2:$J$50,0),1),"")</f>
        <v/>
      </c>
      <c r="Q252" t="str">
        <f>IFERROR(INDEX('rangsor'!$C$2:$C$343,MATCH(D252,'rangsor'!$A$2:$A$343,0),1),"")</f>
        <v/>
      </c>
      <c r="T252" t="s">
        <v>831</v>
      </c>
      <c r="U252" t="str" cm="1">
        <f t="array" ref="U252">Határozat(D252)</f>
        <v/>
      </c>
      <c r="AC252" t="str">
        <f>IFERROR(INDEX(diakadat!$U$2:$U$50,MATCH(D252,diakadat!$J$2:$J$50),1),"")</f>
        <v/>
      </c>
      <c r="AD252" t="str">
        <f>IFERROR(INDEX(diakadat!$V$2:$V$50,MATCH(D252,diakadat!$J$2:$J$50),1),"")</f>
        <v/>
      </c>
      <c r="AE252" t="str">
        <f>IFERROR(INDEX(diakadat!$W$2:$W$50,MATCH(D252,diakadat!$J$2:$J$50),1),"")</f>
        <v/>
      </c>
      <c r="AI252" t="str">
        <f>IFERROR(INDEX(diakadat!$X$2:$X$50,MATCH(D252,diakadat!$J$2:$J$50),1),"")</f>
        <v/>
      </c>
      <c r="AK252">
        <f t="shared" si="3"/>
        <v>329</v>
      </c>
      <c r="AL252" t="str" cm="1">
        <f t="array" ref="AL252">ElsoBetuNagy(R252)</f>
        <v/>
      </c>
      <c r="AO252" t="str" cm="1">
        <f t="array" ref="AO252">DatumSzovegge5(AN252)</f>
        <v>1899.</v>
      </c>
      <c r="AP252" t="str" cm="1">
        <f t="array" ref="AP252">DatumSzovegge3(AN252)</f>
        <v>december</v>
      </c>
      <c r="AQ252" t="str" cm="1">
        <f t="array" ref="AQ252">DatumSzovegge4(AN252)</f>
        <v>30.</v>
      </c>
    </row>
    <row r="253" spans="4:43" x14ac:dyDescent="0.25">
      <c r="D253" t="str" cm="1">
        <f t="array" ref="D253">SzuressNev($B$1,ROW()-1)</f>
        <v/>
      </c>
      <c r="E253">
        <f>COUNTIF($D$2:D253,D253)</f>
        <v>232</v>
      </c>
      <c r="F253" t="str" cm="1">
        <f t="array" ref="F253">ElutasitasEgyOk2(D253,E253)</f>
        <v/>
      </c>
      <c r="G253" t="str">
        <f>IFERROR(INDEX(diakadat!$I$2:$I$50,MATCH(D253,diakadat!$J$2:$J$50,0),1),"")</f>
        <v/>
      </c>
      <c r="H253" t="str">
        <f>IFERROR(INDEX(diakadat!$O$2:$O$50,MATCH(D253,diakadat!$J$2:$J$50,0),1),"")</f>
        <v/>
      </c>
      <c r="I253" t="str">
        <f>IFERROR(INDEX(diakadat!#REF!,MATCH(D253,diakadat!$J$2:$J$50,0),1),"")</f>
        <v/>
      </c>
      <c r="J253" t="str">
        <f>IFERROR(INDEX(diakadat!$K$2:$K$50,MATCH(D253,diakadat!$J$2:$J$50,0),1),"")</f>
        <v/>
      </c>
      <c r="K253" t="str" cm="1">
        <f t="array" ref="K253">IFERROR(DatumSzovegge2(INDEX(diakadat!$L$2:$L$50,MATCH(D253,diakadat!$J$2:$J$50,0),1)),"")</f>
        <v/>
      </c>
      <c r="L253" t="str" cm="1">
        <f t="array" ref="L253">IFERROR(DatumSzovegge5(INDEX(diakadat!$L$2:$L$50,MATCH(D253,diakadat!$J$2:$J$50,0),1)),"")</f>
        <v/>
      </c>
      <c r="M253" t="str" cm="1">
        <f t="array" ref="M253">IFERROR(DatumSzovegge3(INDEX(diakadat!$L$2:$L$50,MATCH(D253,diakadat!$J$2:$J$50,0),1)),"")</f>
        <v/>
      </c>
      <c r="N253" t="str" cm="1">
        <f t="array" ref="N253">IFERROR(DatumSzovegge4(INDEX(diakadat!$L$2:$L$50,MATCH(D253,diakadat!$J$2:$J$50,0),1)),"")</f>
        <v/>
      </c>
      <c r="O253" t="str">
        <f>IFERROR(INDEX(diakadat!$R$2:$R$50,MATCH(D253,diakadat!$J$2:$J$50,0),1),"")</f>
        <v/>
      </c>
      <c r="P253" t="str">
        <f>IFERROR(INDEX(diakadat!$AI$2:$AI$50,MATCH(D253,diakadat!$J$2:$J$50,0),1),"")</f>
        <v/>
      </c>
      <c r="Q253" t="str">
        <f>IFERROR(INDEX('rangsor'!$C$2:$C$343,MATCH(D253,'rangsor'!$A$2:$A$343,0),1),"")</f>
        <v/>
      </c>
      <c r="T253" t="s">
        <v>831</v>
      </c>
      <c r="U253" t="str" cm="1">
        <f t="array" ref="U253">Határozat(D253)</f>
        <v/>
      </c>
      <c r="AC253" t="str">
        <f>IFERROR(INDEX(diakadat!$U$2:$U$50,MATCH(D253,diakadat!$J$2:$J$50),1),"")</f>
        <v/>
      </c>
      <c r="AD253" t="str">
        <f>IFERROR(INDEX(diakadat!$V$2:$V$50,MATCH(D253,diakadat!$J$2:$J$50),1),"")</f>
        <v/>
      </c>
      <c r="AE253" t="str">
        <f>IFERROR(INDEX(diakadat!$W$2:$W$50,MATCH(D253,diakadat!$J$2:$J$50),1),"")</f>
        <v/>
      </c>
      <c r="AI253" t="str">
        <f>IFERROR(INDEX(diakadat!$X$2:$X$50,MATCH(D253,diakadat!$J$2:$J$50),1),"")</f>
        <v/>
      </c>
      <c r="AK253">
        <f t="shared" si="3"/>
        <v>329</v>
      </c>
      <c r="AL253" t="str" cm="1">
        <f t="array" ref="AL253">ElsoBetuNagy(R253)</f>
        <v/>
      </c>
      <c r="AO253" t="str" cm="1">
        <f t="array" ref="AO253">DatumSzovegge5(AN253)</f>
        <v>1899.</v>
      </c>
      <c r="AP253" t="str" cm="1">
        <f t="array" ref="AP253">DatumSzovegge3(AN253)</f>
        <v>december</v>
      </c>
      <c r="AQ253" t="str" cm="1">
        <f t="array" ref="AQ253">DatumSzovegge4(AN253)</f>
        <v>30.</v>
      </c>
    </row>
    <row r="254" spans="4:43" x14ac:dyDescent="0.25">
      <c r="D254" t="str" cm="1">
        <f t="array" ref="D254">SzuressNev($B$1,ROW()-1)</f>
        <v/>
      </c>
      <c r="E254">
        <f>COUNTIF($D$2:D254,D254)</f>
        <v>233</v>
      </c>
      <c r="F254" t="str" cm="1">
        <f t="array" ref="F254">ElutasitasEgyOk2(D254,E254)</f>
        <v/>
      </c>
      <c r="G254" t="str">
        <f>IFERROR(INDEX(diakadat!$I$2:$I$50,MATCH(D254,diakadat!$J$2:$J$50,0),1),"")</f>
        <v/>
      </c>
      <c r="H254" t="str">
        <f>IFERROR(INDEX(diakadat!$O$2:$O$50,MATCH(D254,diakadat!$J$2:$J$50,0),1),"")</f>
        <v/>
      </c>
      <c r="I254" t="str">
        <f>IFERROR(INDEX(diakadat!#REF!,MATCH(D254,diakadat!$J$2:$J$50,0),1),"")</f>
        <v/>
      </c>
      <c r="J254" t="str">
        <f>IFERROR(INDEX(diakadat!$K$2:$K$50,MATCH(D254,diakadat!$J$2:$J$50,0),1),"")</f>
        <v/>
      </c>
      <c r="K254" t="str" cm="1">
        <f t="array" ref="K254">IFERROR(DatumSzovegge2(INDEX(diakadat!$L$2:$L$50,MATCH(D254,diakadat!$J$2:$J$50,0),1)),"")</f>
        <v/>
      </c>
      <c r="L254" t="str" cm="1">
        <f t="array" ref="L254">IFERROR(DatumSzovegge5(INDEX(diakadat!$L$2:$L$50,MATCH(D254,diakadat!$J$2:$J$50,0),1)),"")</f>
        <v/>
      </c>
      <c r="M254" t="str" cm="1">
        <f t="array" ref="M254">IFERROR(DatumSzovegge3(INDEX(diakadat!$L$2:$L$50,MATCH(D254,diakadat!$J$2:$J$50,0),1)),"")</f>
        <v/>
      </c>
      <c r="N254" t="str" cm="1">
        <f t="array" ref="N254">IFERROR(DatumSzovegge4(INDEX(diakadat!$L$2:$L$50,MATCH(D254,diakadat!$J$2:$J$50,0),1)),"")</f>
        <v/>
      </c>
      <c r="O254" t="str">
        <f>IFERROR(INDEX(diakadat!$R$2:$R$50,MATCH(D254,diakadat!$J$2:$J$50,0),1),"")</f>
        <v/>
      </c>
      <c r="P254" t="str">
        <f>IFERROR(INDEX(diakadat!$AI$2:$AI$50,MATCH(D254,diakadat!$J$2:$J$50,0),1),"")</f>
        <v/>
      </c>
      <c r="Q254" t="str">
        <f>IFERROR(INDEX('rangsor'!$C$2:$C$343,MATCH(D254,'rangsor'!$A$2:$A$343,0),1),"")</f>
        <v/>
      </c>
      <c r="T254" t="s">
        <v>831</v>
      </c>
      <c r="U254" t="str" cm="1">
        <f t="array" ref="U254">Határozat(D254)</f>
        <v/>
      </c>
      <c r="AC254" t="str">
        <f>IFERROR(INDEX(diakadat!$U$2:$U$50,MATCH(D254,diakadat!$J$2:$J$50),1),"")</f>
        <v/>
      </c>
      <c r="AD254" t="str">
        <f>IFERROR(INDEX(diakadat!$V$2:$V$50,MATCH(D254,diakadat!$J$2:$J$50),1),"")</f>
        <v/>
      </c>
      <c r="AE254" t="str">
        <f>IFERROR(INDEX(diakadat!$W$2:$W$50,MATCH(D254,diakadat!$J$2:$J$50),1),"")</f>
        <v/>
      </c>
      <c r="AI254" t="str">
        <f>IFERROR(INDEX(diakadat!$X$2:$X$50,MATCH(D254,diakadat!$J$2:$J$50),1),"")</f>
        <v/>
      </c>
      <c r="AK254">
        <f t="shared" si="3"/>
        <v>329</v>
      </c>
      <c r="AL254" t="str" cm="1">
        <f t="array" ref="AL254">ElsoBetuNagy(R254)</f>
        <v/>
      </c>
      <c r="AO254" t="str" cm="1">
        <f t="array" ref="AO254">DatumSzovegge5(AN254)</f>
        <v>1899.</v>
      </c>
      <c r="AP254" t="str" cm="1">
        <f t="array" ref="AP254">DatumSzovegge3(AN254)</f>
        <v>december</v>
      </c>
      <c r="AQ254" t="str" cm="1">
        <f t="array" ref="AQ254">DatumSzovegge4(AN254)</f>
        <v>30.</v>
      </c>
    </row>
    <row r="255" spans="4:43" x14ac:dyDescent="0.25">
      <c r="D255" t="str" cm="1">
        <f t="array" ref="D255">SzuressNev($B$1,ROW()-1)</f>
        <v/>
      </c>
      <c r="E255">
        <f>COUNTIF($D$2:D255,D255)</f>
        <v>234</v>
      </c>
      <c r="F255" t="str" cm="1">
        <f t="array" ref="F255">ElutasitasEgyOk2(D255,E255)</f>
        <v/>
      </c>
      <c r="G255" t="str">
        <f>IFERROR(INDEX(diakadat!$I$2:$I$50,MATCH(D255,diakadat!$J$2:$J$50,0),1),"")</f>
        <v/>
      </c>
      <c r="H255" t="str">
        <f>IFERROR(INDEX(diakadat!$O$2:$O$50,MATCH(D255,diakadat!$J$2:$J$50,0),1),"")</f>
        <v/>
      </c>
      <c r="I255" t="str">
        <f>IFERROR(INDEX(diakadat!#REF!,MATCH(D255,diakadat!$J$2:$J$50,0),1),"")</f>
        <v/>
      </c>
      <c r="J255" t="str">
        <f>IFERROR(INDEX(diakadat!$K$2:$K$50,MATCH(D255,diakadat!$J$2:$J$50,0),1),"")</f>
        <v/>
      </c>
      <c r="K255" t="str" cm="1">
        <f t="array" ref="K255">IFERROR(DatumSzovegge2(INDEX(diakadat!$L$2:$L$50,MATCH(D255,diakadat!$J$2:$J$50,0),1)),"")</f>
        <v/>
      </c>
      <c r="L255" t="str" cm="1">
        <f t="array" ref="L255">IFERROR(DatumSzovegge5(INDEX(diakadat!$L$2:$L$50,MATCH(D255,diakadat!$J$2:$J$50,0),1)),"")</f>
        <v/>
      </c>
      <c r="M255" t="str" cm="1">
        <f t="array" ref="M255">IFERROR(DatumSzovegge3(INDEX(diakadat!$L$2:$L$50,MATCH(D255,diakadat!$J$2:$J$50,0),1)),"")</f>
        <v/>
      </c>
      <c r="N255" t="str" cm="1">
        <f t="array" ref="N255">IFERROR(DatumSzovegge4(INDEX(diakadat!$L$2:$L$50,MATCH(D255,diakadat!$J$2:$J$50,0),1)),"")</f>
        <v/>
      </c>
      <c r="O255" t="str">
        <f>IFERROR(INDEX(diakadat!$R$2:$R$50,MATCH(D255,diakadat!$J$2:$J$50,0),1),"")</f>
        <v/>
      </c>
      <c r="P255" t="str">
        <f>IFERROR(INDEX(diakadat!$AI$2:$AI$50,MATCH(D255,diakadat!$J$2:$J$50,0),1),"")</f>
        <v/>
      </c>
      <c r="Q255" t="str">
        <f>IFERROR(INDEX('rangsor'!$C$2:$C$343,MATCH(D255,'rangsor'!$A$2:$A$343,0),1),"")</f>
        <v/>
      </c>
      <c r="T255" t="s">
        <v>831</v>
      </c>
      <c r="U255" t="str" cm="1">
        <f t="array" ref="U255">Határozat(D255)</f>
        <v/>
      </c>
      <c r="AC255" t="str">
        <f>IFERROR(INDEX(diakadat!$U$2:$U$50,MATCH(D255,diakadat!$J$2:$J$50),1),"")</f>
        <v/>
      </c>
      <c r="AD255" t="str">
        <f>IFERROR(INDEX(diakadat!$V$2:$V$50,MATCH(D255,diakadat!$J$2:$J$50),1),"")</f>
        <v/>
      </c>
      <c r="AE255" t="str">
        <f>IFERROR(INDEX(diakadat!$W$2:$W$50,MATCH(D255,diakadat!$J$2:$J$50),1),"")</f>
        <v/>
      </c>
      <c r="AI255" t="str">
        <f>IFERROR(INDEX(diakadat!$X$2:$X$50,MATCH(D255,diakadat!$J$2:$J$50),1),"")</f>
        <v/>
      </c>
      <c r="AK255">
        <f t="shared" si="3"/>
        <v>329</v>
      </c>
      <c r="AL255" t="str" cm="1">
        <f t="array" ref="AL255">ElsoBetuNagy(R255)</f>
        <v/>
      </c>
      <c r="AO255" t="str" cm="1">
        <f t="array" ref="AO255">DatumSzovegge5(AN255)</f>
        <v>1899.</v>
      </c>
      <c r="AP255" t="str" cm="1">
        <f t="array" ref="AP255">DatumSzovegge3(AN255)</f>
        <v>december</v>
      </c>
      <c r="AQ255" t="str" cm="1">
        <f t="array" ref="AQ255">DatumSzovegge4(AN255)</f>
        <v>30.</v>
      </c>
    </row>
    <row r="256" spans="4:43" x14ac:dyDescent="0.25">
      <c r="D256" t="str" cm="1">
        <f t="array" ref="D256">SzuressNev($B$1,ROW()-1)</f>
        <v/>
      </c>
      <c r="E256">
        <f>COUNTIF($D$2:D256,D256)</f>
        <v>235</v>
      </c>
      <c r="F256" t="str" cm="1">
        <f t="array" ref="F256">ElutasitasEgyOk2(D256,E256)</f>
        <v/>
      </c>
      <c r="G256" t="str">
        <f>IFERROR(INDEX(diakadat!$I$2:$I$50,MATCH(D256,diakadat!$J$2:$J$50,0),1),"")</f>
        <v/>
      </c>
      <c r="H256" t="str">
        <f>IFERROR(INDEX(diakadat!$O$2:$O$50,MATCH(D256,diakadat!$J$2:$J$50,0),1),"")</f>
        <v/>
      </c>
      <c r="I256" t="str">
        <f>IFERROR(INDEX(diakadat!#REF!,MATCH(D256,diakadat!$J$2:$J$50,0),1),"")</f>
        <v/>
      </c>
      <c r="J256" t="str">
        <f>IFERROR(INDEX(diakadat!$K$2:$K$50,MATCH(D256,diakadat!$J$2:$J$50,0),1),"")</f>
        <v/>
      </c>
      <c r="K256" t="str" cm="1">
        <f t="array" ref="K256">IFERROR(DatumSzovegge2(INDEX(diakadat!$L$2:$L$50,MATCH(D256,diakadat!$J$2:$J$50,0),1)),"")</f>
        <v/>
      </c>
      <c r="L256" t="str" cm="1">
        <f t="array" ref="L256">IFERROR(DatumSzovegge5(INDEX(diakadat!$L$2:$L$50,MATCH(D256,diakadat!$J$2:$J$50,0),1)),"")</f>
        <v/>
      </c>
      <c r="M256" t="str" cm="1">
        <f t="array" ref="M256">IFERROR(DatumSzovegge3(INDEX(diakadat!$L$2:$L$50,MATCH(D256,diakadat!$J$2:$J$50,0),1)),"")</f>
        <v/>
      </c>
      <c r="N256" t="str" cm="1">
        <f t="array" ref="N256">IFERROR(DatumSzovegge4(INDEX(diakadat!$L$2:$L$50,MATCH(D256,diakadat!$J$2:$J$50,0),1)),"")</f>
        <v/>
      </c>
      <c r="O256" t="str">
        <f>IFERROR(INDEX(diakadat!$R$2:$R$50,MATCH(D256,diakadat!$J$2:$J$50,0),1),"")</f>
        <v/>
      </c>
      <c r="P256" t="str">
        <f>IFERROR(INDEX(diakadat!$AI$2:$AI$50,MATCH(D256,diakadat!$J$2:$J$50,0),1),"")</f>
        <v/>
      </c>
      <c r="Q256" t="str">
        <f>IFERROR(INDEX('rangsor'!$C$2:$C$343,MATCH(D256,'rangsor'!$A$2:$A$343,0),1),"")</f>
        <v/>
      </c>
      <c r="T256" t="s">
        <v>831</v>
      </c>
      <c r="U256" t="str" cm="1">
        <f t="array" ref="U256">Határozat(D256)</f>
        <v/>
      </c>
      <c r="AC256" t="str">
        <f>IFERROR(INDEX(diakadat!$U$2:$U$50,MATCH(D256,diakadat!$J$2:$J$50),1),"")</f>
        <v/>
      </c>
      <c r="AD256" t="str">
        <f>IFERROR(INDEX(diakadat!$V$2:$V$50,MATCH(D256,diakadat!$J$2:$J$50),1),"")</f>
        <v/>
      </c>
      <c r="AE256" t="str">
        <f>IFERROR(INDEX(diakadat!$W$2:$W$50,MATCH(D256,diakadat!$J$2:$J$50),1),"")</f>
        <v/>
      </c>
      <c r="AI256" t="str">
        <f>IFERROR(INDEX(diakadat!$X$2:$X$50,MATCH(D256,diakadat!$J$2:$J$50),1),"")</f>
        <v/>
      </c>
      <c r="AK256">
        <f t="shared" si="3"/>
        <v>329</v>
      </c>
      <c r="AL256" t="str" cm="1">
        <f t="array" ref="AL256">ElsoBetuNagy(R256)</f>
        <v/>
      </c>
      <c r="AO256" t="str" cm="1">
        <f t="array" ref="AO256">DatumSzovegge5(AN256)</f>
        <v>1899.</v>
      </c>
      <c r="AP256" t="str" cm="1">
        <f t="array" ref="AP256">DatumSzovegge3(AN256)</f>
        <v>december</v>
      </c>
      <c r="AQ256" t="str" cm="1">
        <f t="array" ref="AQ256">DatumSzovegge4(AN256)</f>
        <v>30.</v>
      </c>
    </row>
    <row r="257" spans="4:43" x14ac:dyDescent="0.25">
      <c r="D257" t="str" cm="1">
        <f t="array" ref="D257">SzuressNev($B$1,ROW()-1)</f>
        <v/>
      </c>
      <c r="E257">
        <f>COUNTIF($D$2:D257,D257)</f>
        <v>236</v>
      </c>
      <c r="F257" t="str" cm="1">
        <f t="array" ref="F257">ElutasitasEgyOk2(D257,E257)</f>
        <v/>
      </c>
      <c r="G257" t="str">
        <f>IFERROR(INDEX(diakadat!$I$2:$I$50,MATCH(D257,diakadat!$J$2:$J$50,0),1),"")</f>
        <v/>
      </c>
      <c r="H257" t="str">
        <f>IFERROR(INDEX(diakadat!$O$2:$O$50,MATCH(D257,diakadat!$J$2:$J$50,0),1),"")</f>
        <v/>
      </c>
      <c r="I257" t="str">
        <f>IFERROR(INDEX(diakadat!#REF!,MATCH(D257,diakadat!$J$2:$J$50,0),1),"")</f>
        <v/>
      </c>
      <c r="J257" t="str">
        <f>IFERROR(INDEX(diakadat!$K$2:$K$50,MATCH(D257,diakadat!$J$2:$J$50,0),1),"")</f>
        <v/>
      </c>
      <c r="K257" t="str" cm="1">
        <f t="array" ref="K257">IFERROR(DatumSzovegge2(INDEX(diakadat!$L$2:$L$50,MATCH(D257,diakadat!$J$2:$J$50,0),1)),"")</f>
        <v/>
      </c>
      <c r="L257" t="str" cm="1">
        <f t="array" ref="L257">IFERROR(DatumSzovegge5(INDEX(diakadat!$L$2:$L$50,MATCH(D257,diakadat!$J$2:$J$50,0),1)),"")</f>
        <v/>
      </c>
      <c r="M257" t="str" cm="1">
        <f t="array" ref="M257">IFERROR(DatumSzovegge3(INDEX(diakadat!$L$2:$L$50,MATCH(D257,diakadat!$J$2:$J$50,0),1)),"")</f>
        <v/>
      </c>
      <c r="N257" t="str" cm="1">
        <f t="array" ref="N257">IFERROR(DatumSzovegge4(INDEX(diakadat!$L$2:$L$50,MATCH(D257,diakadat!$J$2:$J$50,0),1)),"")</f>
        <v/>
      </c>
      <c r="O257" t="str">
        <f>IFERROR(INDEX(diakadat!$R$2:$R$50,MATCH(D257,diakadat!$J$2:$J$50,0),1),"")</f>
        <v/>
      </c>
      <c r="P257" t="str">
        <f>IFERROR(INDEX(diakadat!$AI$2:$AI$50,MATCH(D257,diakadat!$J$2:$J$50,0),1),"")</f>
        <v/>
      </c>
      <c r="Q257" t="str">
        <f>IFERROR(INDEX('rangsor'!$C$2:$C$343,MATCH(D257,'rangsor'!$A$2:$A$343,0),1),"")</f>
        <v/>
      </c>
      <c r="T257" t="s">
        <v>831</v>
      </c>
      <c r="U257" t="str" cm="1">
        <f t="array" ref="U257">Határozat(D257)</f>
        <v/>
      </c>
      <c r="AC257" t="str">
        <f>IFERROR(INDEX(diakadat!$U$2:$U$50,MATCH(D257,diakadat!$J$2:$J$50),1),"")</f>
        <v/>
      </c>
      <c r="AD257" t="str">
        <f>IFERROR(INDEX(diakadat!$V$2:$V$50,MATCH(D257,diakadat!$J$2:$J$50),1),"")</f>
        <v/>
      </c>
      <c r="AE257" t="str">
        <f>IFERROR(INDEX(diakadat!$W$2:$W$50,MATCH(D257,diakadat!$J$2:$J$50),1),"")</f>
        <v/>
      </c>
      <c r="AI257" t="str">
        <f>IFERROR(INDEX(diakadat!$X$2:$X$50,MATCH(D257,diakadat!$J$2:$J$50),1),"")</f>
        <v/>
      </c>
      <c r="AK257">
        <f t="shared" si="3"/>
        <v>329</v>
      </c>
      <c r="AL257" t="str" cm="1">
        <f t="array" ref="AL257">ElsoBetuNagy(R257)</f>
        <v/>
      </c>
      <c r="AO257" t="str" cm="1">
        <f t="array" ref="AO257">DatumSzovegge5(AN257)</f>
        <v>1899.</v>
      </c>
      <c r="AP257" t="str" cm="1">
        <f t="array" ref="AP257">DatumSzovegge3(AN257)</f>
        <v>december</v>
      </c>
      <c r="AQ257" t="str" cm="1">
        <f t="array" ref="AQ257">DatumSzovegge4(AN257)</f>
        <v>30.</v>
      </c>
    </row>
    <row r="258" spans="4:43" x14ac:dyDescent="0.25">
      <c r="D258" t="str" cm="1">
        <f t="array" ref="D258">SzuressNev($B$1,ROW()-1)</f>
        <v/>
      </c>
      <c r="E258">
        <f>COUNTIF($D$2:D258,D258)</f>
        <v>237</v>
      </c>
      <c r="F258" t="str" cm="1">
        <f t="array" ref="F258">ElutasitasEgyOk2(D258,E258)</f>
        <v/>
      </c>
      <c r="G258" t="str">
        <f>IFERROR(INDEX(diakadat!$I$2:$I$50,MATCH(D258,diakadat!$J$2:$J$50,0),1),"")</f>
        <v/>
      </c>
      <c r="H258" t="str">
        <f>IFERROR(INDEX(diakadat!$O$2:$O$50,MATCH(D258,diakadat!$J$2:$J$50,0),1),"")</f>
        <v/>
      </c>
      <c r="I258" t="str">
        <f>IFERROR(INDEX(diakadat!#REF!,MATCH(D258,diakadat!$J$2:$J$50,0),1),"")</f>
        <v/>
      </c>
      <c r="J258" t="str">
        <f>IFERROR(INDEX(diakadat!$K$2:$K$50,MATCH(D258,diakadat!$J$2:$J$50,0),1),"")</f>
        <v/>
      </c>
      <c r="K258" t="str" cm="1">
        <f t="array" ref="K258">IFERROR(DatumSzovegge2(INDEX(diakadat!$L$2:$L$50,MATCH(D258,diakadat!$J$2:$J$50,0),1)),"")</f>
        <v/>
      </c>
      <c r="L258" t="str" cm="1">
        <f t="array" ref="L258">IFERROR(DatumSzovegge5(INDEX(diakadat!$L$2:$L$50,MATCH(D258,diakadat!$J$2:$J$50,0),1)),"")</f>
        <v/>
      </c>
      <c r="M258" t="str" cm="1">
        <f t="array" ref="M258">IFERROR(DatumSzovegge3(INDEX(diakadat!$L$2:$L$50,MATCH(D258,diakadat!$J$2:$J$50,0),1)),"")</f>
        <v/>
      </c>
      <c r="N258" t="str" cm="1">
        <f t="array" ref="N258">IFERROR(DatumSzovegge4(INDEX(diakadat!$L$2:$L$50,MATCH(D258,diakadat!$J$2:$J$50,0),1)),"")</f>
        <v/>
      </c>
      <c r="O258" t="str">
        <f>IFERROR(INDEX(diakadat!$R$2:$R$50,MATCH(D258,diakadat!$J$2:$J$50,0),1),"")</f>
        <v/>
      </c>
      <c r="P258" t="str">
        <f>IFERROR(INDEX(diakadat!$AI$2:$AI$50,MATCH(D258,diakadat!$J$2:$J$50,0),1),"")</f>
        <v/>
      </c>
      <c r="Q258" t="str">
        <f>IFERROR(INDEX('rangsor'!$C$2:$C$343,MATCH(D258,'rangsor'!$A$2:$A$343,0),1),"")</f>
        <v/>
      </c>
      <c r="T258" t="s">
        <v>831</v>
      </c>
      <c r="U258" t="str" cm="1">
        <f t="array" ref="U258">Határozat(D258)</f>
        <v/>
      </c>
      <c r="AC258" t="str">
        <f>IFERROR(INDEX(diakadat!$U$2:$U$50,MATCH(D258,diakadat!$J$2:$J$50),1),"")</f>
        <v/>
      </c>
      <c r="AD258" t="str">
        <f>IFERROR(INDEX(diakadat!$V$2:$V$50,MATCH(D258,diakadat!$J$2:$J$50),1),"")</f>
        <v/>
      </c>
      <c r="AE258" t="str">
        <f>IFERROR(INDEX(diakadat!$W$2:$W$50,MATCH(D258,diakadat!$J$2:$J$50),1),"")</f>
        <v/>
      </c>
      <c r="AI258" t="str">
        <f>IFERROR(INDEX(diakadat!$X$2:$X$50,MATCH(D258,diakadat!$J$2:$J$50),1),"")</f>
        <v/>
      </c>
      <c r="AK258">
        <f t="shared" ref="AK258:AK321" si="4">COUNTIF($AD$2:$AD$350,AD258)</f>
        <v>329</v>
      </c>
      <c r="AL258" t="str" cm="1">
        <f t="array" ref="AL258">ElsoBetuNagy(R258)</f>
        <v/>
      </c>
      <c r="AO258" t="str" cm="1">
        <f t="array" ref="AO258">DatumSzovegge5(AN258)</f>
        <v>1899.</v>
      </c>
      <c r="AP258" t="str" cm="1">
        <f t="array" ref="AP258">DatumSzovegge3(AN258)</f>
        <v>december</v>
      </c>
      <c r="AQ258" t="str" cm="1">
        <f t="array" ref="AQ258">DatumSzovegge4(AN258)</f>
        <v>30.</v>
      </c>
    </row>
    <row r="259" spans="4:43" x14ac:dyDescent="0.25">
      <c r="D259" t="str" cm="1">
        <f t="array" ref="D259">SzuressNev($B$1,ROW()-1)</f>
        <v/>
      </c>
      <c r="E259">
        <f>COUNTIF($D$2:D259,D259)</f>
        <v>238</v>
      </c>
      <c r="F259" t="str" cm="1">
        <f t="array" ref="F259">ElutasitasEgyOk2(D259,E259)</f>
        <v/>
      </c>
      <c r="G259" t="str">
        <f>IFERROR(INDEX(diakadat!$I$2:$I$50,MATCH(D259,diakadat!$J$2:$J$50,0),1),"")</f>
        <v/>
      </c>
      <c r="H259" t="str">
        <f>IFERROR(INDEX(diakadat!$O$2:$O$50,MATCH(D259,diakadat!$J$2:$J$50,0),1),"")</f>
        <v/>
      </c>
      <c r="I259" t="str">
        <f>IFERROR(INDEX(diakadat!#REF!,MATCH(D259,diakadat!$J$2:$J$50,0),1),"")</f>
        <v/>
      </c>
      <c r="J259" t="str">
        <f>IFERROR(INDEX(diakadat!$K$2:$K$50,MATCH(D259,diakadat!$J$2:$J$50,0),1),"")</f>
        <v/>
      </c>
      <c r="K259" t="str" cm="1">
        <f t="array" ref="K259">IFERROR(DatumSzovegge2(INDEX(diakadat!$L$2:$L$50,MATCH(D259,diakadat!$J$2:$J$50,0),1)),"")</f>
        <v/>
      </c>
      <c r="L259" t="str" cm="1">
        <f t="array" ref="L259">IFERROR(DatumSzovegge5(INDEX(diakadat!$L$2:$L$50,MATCH(D259,diakadat!$J$2:$J$50,0),1)),"")</f>
        <v/>
      </c>
      <c r="M259" t="str" cm="1">
        <f t="array" ref="M259">IFERROR(DatumSzovegge3(INDEX(diakadat!$L$2:$L$50,MATCH(D259,diakadat!$J$2:$J$50,0),1)),"")</f>
        <v/>
      </c>
      <c r="N259" t="str" cm="1">
        <f t="array" ref="N259">IFERROR(DatumSzovegge4(INDEX(diakadat!$L$2:$L$50,MATCH(D259,diakadat!$J$2:$J$50,0),1)),"")</f>
        <v/>
      </c>
      <c r="O259" t="str">
        <f>IFERROR(INDEX(diakadat!$R$2:$R$50,MATCH(D259,diakadat!$J$2:$J$50,0),1),"")</f>
        <v/>
      </c>
      <c r="P259" t="str">
        <f>IFERROR(INDEX(diakadat!$AI$2:$AI$50,MATCH(D259,diakadat!$J$2:$J$50,0),1),"")</f>
        <v/>
      </c>
      <c r="Q259" t="str">
        <f>IFERROR(INDEX('rangsor'!$C$2:$C$343,MATCH(D259,'rangsor'!$A$2:$A$343,0),1),"")</f>
        <v/>
      </c>
      <c r="T259" t="s">
        <v>831</v>
      </c>
      <c r="U259" t="str" cm="1">
        <f t="array" ref="U259">Határozat(D259)</f>
        <v/>
      </c>
      <c r="AC259" t="str">
        <f>IFERROR(INDEX(diakadat!$U$2:$U$50,MATCH(D259,diakadat!$J$2:$J$50),1),"")</f>
        <v/>
      </c>
      <c r="AD259" t="str">
        <f>IFERROR(INDEX(diakadat!$V$2:$V$50,MATCH(D259,diakadat!$J$2:$J$50),1),"")</f>
        <v/>
      </c>
      <c r="AE259" t="str">
        <f>IFERROR(INDEX(diakadat!$W$2:$W$50,MATCH(D259,diakadat!$J$2:$J$50),1),"")</f>
        <v/>
      </c>
      <c r="AI259" t="str">
        <f>IFERROR(INDEX(diakadat!$X$2:$X$50,MATCH(D259,diakadat!$J$2:$J$50),1),"")</f>
        <v/>
      </c>
      <c r="AK259">
        <f t="shared" si="4"/>
        <v>329</v>
      </c>
      <c r="AL259" t="str" cm="1">
        <f t="array" ref="AL259">ElsoBetuNagy(R259)</f>
        <v/>
      </c>
      <c r="AO259" t="str" cm="1">
        <f t="array" ref="AO259">DatumSzovegge5(AN259)</f>
        <v>1899.</v>
      </c>
      <c r="AP259" t="str" cm="1">
        <f t="array" ref="AP259">DatumSzovegge3(AN259)</f>
        <v>december</v>
      </c>
      <c r="AQ259" t="str" cm="1">
        <f t="array" ref="AQ259">DatumSzovegge4(AN259)</f>
        <v>30.</v>
      </c>
    </row>
    <row r="260" spans="4:43" x14ac:dyDescent="0.25">
      <c r="D260" t="str" cm="1">
        <f t="array" ref="D260">SzuressNev($B$1,ROW()-1)</f>
        <v/>
      </c>
      <c r="E260">
        <f>COUNTIF($D$2:D260,D260)</f>
        <v>239</v>
      </c>
      <c r="F260" t="str" cm="1">
        <f t="array" ref="F260">ElutasitasEgyOk2(D260,E260)</f>
        <v/>
      </c>
      <c r="G260" t="str">
        <f>IFERROR(INDEX(diakadat!$I$2:$I$50,MATCH(D260,diakadat!$J$2:$J$50,0),1),"")</f>
        <v/>
      </c>
      <c r="H260" t="str">
        <f>IFERROR(INDEX(diakadat!$O$2:$O$50,MATCH(D260,diakadat!$J$2:$J$50,0),1),"")</f>
        <v/>
      </c>
      <c r="I260" t="str">
        <f>IFERROR(INDEX(diakadat!#REF!,MATCH(D260,diakadat!$J$2:$J$50,0),1),"")</f>
        <v/>
      </c>
      <c r="J260" t="str">
        <f>IFERROR(INDEX(diakadat!$K$2:$K$50,MATCH(D260,diakadat!$J$2:$J$50,0),1),"")</f>
        <v/>
      </c>
      <c r="K260" t="str" cm="1">
        <f t="array" ref="K260">IFERROR(DatumSzovegge2(INDEX(diakadat!$L$2:$L$50,MATCH(D260,diakadat!$J$2:$J$50,0),1)),"")</f>
        <v/>
      </c>
      <c r="L260" t="str" cm="1">
        <f t="array" ref="L260">IFERROR(DatumSzovegge5(INDEX(diakadat!$L$2:$L$50,MATCH(D260,diakadat!$J$2:$J$50,0),1)),"")</f>
        <v/>
      </c>
      <c r="M260" t="str" cm="1">
        <f t="array" ref="M260">IFERROR(DatumSzovegge3(INDEX(diakadat!$L$2:$L$50,MATCH(D260,diakadat!$J$2:$J$50,0),1)),"")</f>
        <v/>
      </c>
      <c r="N260" t="str" cm="1">
        <f t="array" ref="N260">IFERROR(DatumSzovegge4(INDEX(diakadat!$L$2:$L$50,MATCH(D260,diakadat!$J$2:$J$50,0),1)),"")</f>
        <v/>
      </c>
      <c r="O260" t="str">
        <f>IFERROR(INDEX(diakadat!$R$2:$R$50,MATCH(D260,diakadat!$J$2:$J$50,0),1),"")</f>
        <v/>
      </c>
      <c r="P260" t="str">
        <f>IFERROR(INDEX(diakadat!$AI$2:$AI$50,MATCH(D260,diakadat!$J$2:$J$50,0),1),"")</f>
        <v/>
      </c>
      <c r="Q260" t="str">
        <f>IFERROR(INDEX('rangsor'!$C$2:$C$343,MATCH(D260,'rangsor'!$A$2:$A$343,0),1),"")</f>
        <v/>
      </c>
      <c r="T260" t="s">
        <v>831</v>
      </c>
      <c r="U260" t="str" cm="1">
        <f t="array" ref="U260">Határozat(D260)</f>
        <v/>
      </c>
      <c r="AC260" t="str">
        <f>IFERROR(INDEX(diakadat!$U$2:$U$50,MATCH(D260,diakadat!$J$2:$J$50),1),"")</f>
        <v/>
      </c>
      <c r="AD260" t="str">
        <f>IFERROR(INDEX(diakadat!$V$2:$V$50,MATCH(D260,diakadat!$J$2:$J$50),1),"")</f>
        <v/>
      </c>
      <c r="AE260" t="str">
        <f>IFERROR(INDEX(diakadat!$W$2:$W$50,MATCH(D260,diakadat!$J$2:$J$50),1),"")</f>
        <v/>
      </c>
      <c r="AI260" t="str">
        <f>IFERROR(INDEX(diakadat!$X$2:$X$50,MATCH(D260,diakadat!$J$2:$J$50),1),"")</f>
        <v/>
      </c>
      <c r="AK260">
        <f t="shared" si="4"/>
        <v>329</v>
      </c>
      <c r="AL260" t="str" cm="1">
        <f t="array" ref="AL260">ElsoBetuNagy(R260)</f>
        <v/>
      </c>
      <c r="AO260" t="str" cm="1">
        <f t="array" ref="AO260">DatumSzovegge5(AN260)</f>
        <v>1899.</v>
      </c>
      <c r="AP260" t="str" cm="1">
        <f t="array" ref="AP260">DatumSzovegge3(AN260)</f>
        <v>december</v>
      </c>
      <c r="AQ260" t="str" cm="1">
        <f t="array" ref="AQ260">DatumSzovegge4(AN260)</f>
        <v>30.</v>
      </c>
    </row>
    <row r="261" spans="4:43" x14ac:dyDescent="0.25">
      <c r="D261" t="str" cm="1">
        <f t="array" ref="D261">SzuressNev($B$1,ROW()-1)</f>
        <v/>
      </c>
      <c r="E261">
        <f>COUNTIF($D$2:D261,D261)</f>
        <v>240</v>
      </c>
      <c r="F261" t="str" cm="1">
        <f t="array" ref="F261">ElutasitasEgyOk2(D261,E261)</f>
        <v/>
      </c>
      <c r="G261" t="str">
        <f>IFERROR(INDEX(diakadat!$I$2:$I$50,MATCH(D261,diakadat!$J$2:$J$50,0),1),"")</f>
        <v/>
      </c>
      <c r="H261" t="str">
        <f>IFERROR(INDEX(diakadat!$O$2:$O$50,MATCH(D261,diakadat!$J$2:$J$50,0),1),"")</f>
        <v/>
      </c>
      <c r="I261" t="str">
        <f>IFERROR(INDEX(diakadat!#REF!,MATCH(D261,diakadat!$J$2:$J$50,0),1),"")</f>
        <v/>
      </c>
      <c r="J261" t="str">
        <f>IFERROR(INDEX(diakadat!$K$2:$K$50,MATCH(D261,diakadat!$J$2:$J$50,0),1),"")</f>
        <v/>
      </c>
      <c r="K261" t="str" cm="1">
        <f t="array" ref="K261">IFERROR(DatumSzovegge2(INDEX(diakadat!$L$2:$L$50,MATCH(D261,diakadat!$J$2:$J$50,0),1)),"")</f>
        <v/>
      </c>
      <c r="L261" t="str" cm="1">
        <f t="array" ref="L261">IFERROR(DatumSzovegge5(INDEX(diakadat!$L$2:$L$50,MATCH(D261,diakadat!$J$2:$J$50,0),1)),"")</f>
        <v/>
      </c>
      <c r="M261" t="str" cm="1">
        <f t="array" ref="M261">IFERROR(DatumSzovegge3(INDEX(diakadat!$L$2:$L$50,MATCH(D261,diakadat!$J$2:$J$50,0),1)),"")</f>
        <v/>
      </c>
      <c r="N261" t="str" cm="1">
        <f t="array" ref="N261">IFERROR(DatumSzovegge4(INDEX(diakadat!$L$2:$L$50,MATCH(D261,diakadat!$J$2:$J$50,0),1)),"")</f>
        <v/>
      </c>
      <c r="O261" t="str">
        <f>IFERROR(INDEX(diakadat!$R$2:$R$50,MATCH(D261,diakadat!$J$2:$J$50,0),1),"")</f>
        <v/>
      </c>
      <c r="P261" t="str">
        <f>IFERROR(INDEX(diakadat!$AI$2:$AI$50,MATCH(D261,diakadat!$J$2:$J$50,0),1),"")</f>
        <v/>
      </c>
      <c r="Q261" t="str">
        <f>IFERROR(INDEX('rangsor'!$C$2:$C$343,MATCH(D261,'rangsor'!$A$2:$A$343,0),1),"")</f>
        <v/>
      </c>
      <c r="T261" t="s">
        <v>831</v>
      </c>
      <c r="U261" t="str" cm="1">
        <f t="array" ref="U261">Határozat(D261)</f>
        <v/>
      </c>
      <c r="AC261" t="str">
        <f>IFERROR(INDEX(diakadat!$U$2:$U$50,MATCH(D261,diakadat!$J$2:$J$50),1),"")</f>
        <v/>
      </c>
      <c r="AD261" t="str">
        <f>IFERROR(INDEX(diakadat!$V$2:$V$50,MATCH(D261,diakadat!$J$2:$J$50),1),"")</f>
        <v/>
      </c>
      <c r="AE261" t="str">
        <f>IFERROR(INDEX(diakadat!$W$2:$W$50,MATCH(D261,diakadat!$J$2:$J$50),1),"")</f>
        <v/>
      </c>
      <c r="AI261" t="str">
        <f>IFERROR(INDEX(diakadat!$X$2:$X$50,MATCH(D261,diakadat!$J$2:$J$50),1),"")</f>
        <v/>
      </c>
      <c r="AK261">
        <f t="shared" si="4"/>
        <v>329</v>
      </c>
      <c r="AL261" t="str" cm="1">
        <f t="array" ref="AL261">ElsoBetuNagy(R261)</f>
        <v/>
      </c>
      <c r="AO261" t="str" cm="1">
        <f t="array" ref="AO261">DatumSzovegge5(AN261)</f>
        <v>1899.</v>
      </c>
      <c r="AP261" t="str" cm="1">
        <f t="array" ref="AP261">DatumSzovegge3(AN261)</f>
        <v>december</v>
      </c>
      <c r="AQ261" t="str" cm="1">
        <f t="array" ref="AQ261">DatumSzovegge4(AN261)</f>
        <v>30.</v>
      </c>
    </row>
    <row r="262" spans="4:43" x14ac:dyDescent="0.25">
      <c r="D262" t="str" cm="1">
        <f t="array" ref="D262">SzuressNev($B$1,ROW()-1)</f>
        <v/>
      </c>
      <c r="E262">
        <f>COUNTIF($D$2:D262,D262)</f>
        <v>241</v>
      </c>
      <c r="F262" t="str" cm="1">
        <f t="array" ref="F262">ElutasitasEgyOk2(D262,E262)</f>
        <v/>
      </c>
      <c r="G262" t="str">
        <f>IFERROR(INDEX(diakadat!$I$2:$I$50,MATCH(D262,diakadat!$J$2:$J$50,0),1),"")</f>
        <v/>
      </c>
      <c r="H262" t="str">
        <f>IFERROR(INDEX(diakadat!$O$2:$O$50,MATCH(D262,diakadat!$J$2:$J$50,0),1),"")</f>
        <v/>
      </c>
      <c r="I262" t="str">
        <f>IFERROR(INDEX(diakadat!#REF!,MATCH(D262,diakadat!$J$2:$J$50,0),1),"")</f>
        <v/>
      </c>
      <c r="J262" t="str">
        <f>IFERROR(INDEX(diakadat!$K$2:$K$50,MATCH(D262,diakadat!$J$2:$J$50,0),1),"")</f>
        <v/>
      </c>
      <c r="K262" t="str" cm="1">
        <f t="array" ref="K262">IFERROR(DatumSzovegge2(INDEX(diakadat!$L$2:$L$50,MATCH(D262,diakadat!$J$2:$J$50,0),1)),"")</f>
        <v/>
      </c>
      <c r="L262" t="str" cm="1">
        <f t="array" ref="L262">IFERROR(DatumSzovegge5(INDEX(diakadat!$L$2:$L$50,MATCH(D262,diakadat!$J$2:$J$50,0),1)),"")</f>
        <v/>
      </c>
      <c r="M262" t="str" cm="1">
        <f t="array" ref="M262">IFERROR(DatumSzovegge3(INDEX(diakadat!$L$2:$L$50,MATCH(D262,diakadat!$J$2:$J$50,0),1)),"")</f>
        <v/>
      </c>
      <c r="N262" t="str" cm="1">
        <f t="array" ref="N262">IFERROR(DatumSzovegge4(INDEX(diakadat!$L$2:$L$50,MATCH(D262,diakadat!$J$2:$J$50,0),1)),"")</f>
        <v/>
      </c>
      <c r="O262" t="str">
        <f>IFERROR(INDEX(diakadat!$R$2:$R$50,MATCH(D262,diakadat!$J$2:$J$50,0),1),"")</f>
        <v/>
      </c>
      <c r="P262" t="str">
        <f>IFERROR(INDEX(diakadat!$AI$2:$AI$50,MATCH(D262,diakadat!$J$2:$J$50,0),1),"")</f>
        <v/>
      </c>
      <c r="Q262" t="str">
        <f>IFERROR(INDEX('rangsor'!$C$2:$C$343,MATCH(D262,'rangsor'!$A$2:$A$343,0),1),"")</f>
        <v/>
      </c>
      <c r="T262" t="s">
        <v>831</v>
      </c>
      <c r="U262" t="str" cm="1">
        <f t="array" ref="U262">Határozat(D262)</f>
        <v/>
      </c>
      <c r="AC262" t="str">
        <f>IFERROR(INDEX(diakadat!$U$2:$U$50,MATCH(D262,diakadat!$J$2:$J$50),1),"")</f>
        <v/>
      </c>
      <c r="AD262" t="str">
        <f>IFERROR(INDEX(diakadat!$V$2:$V$50,MATCH(D262,diakadat!$J$2:$J$50),1),"")</f>
        <v/>
      </c>
      <c r="AE262" t="str">
        <f>IFERROR(INDEX(diakadat!$W$2:$W$50,MATCH(D262,diakadat!$J$2:$J$50),1),"")</f>
        <v/>
      </c>
      <c r="AI262" t="str">
        <f>IFERROR(INDEX(diakadat!$X$2:$X$50,MATCH(D262,diakadat!$J$2:$J$50),1),"")</f>
        <v/>
      </c>
      <c r="AK262">
        <f t="shared" si="4"/>
        <v>329</v>
      </c>
      <c r="AL262" t="str" cm="1">
        <f t="array" ref="AL262">ElsoBetuNagy(R262)</f>
        <v/>
      </c>
      <c r="AO262" t="str" cm="1">
        <f t="array" ref="AO262">DatumSzovegge5(AN262)</f>
        <v>1899.</v>
      </c>
      <c r="AP262" t="str" cm="1">
        <f t="array" ref="AP262">DatumSzovegge3(AN262)</f>
        <v>december</v>
      </c>
      <c r="AQ262" t="str" cm="1">
        <f t="array" ref="AQ262">DatumSzovegge4(AN262)</f>
        <v>30.</v>
      </c>
    </row>
    <row r="263" spans="4:43" x14ac:dyDescent="0.25">
      <c r="D263" t="str" cm="1">
        <f t="array" ref="D263">SzuressNev($B$1,ROW()-1)</f>
        <v/>
      </c>
      <c r="E263">
        <f>COUNTIF($D$2:D263,D263)</f>
        <v>242</v>
      </c>
      <c r="F263" t="str" cm="1">
        <f t="array" ref="F263">ElutasitasEgyOk2(D263,E263)</f>
        <v/>
      </c>
      <c r="G263" t="str">
        <f>IFERROR(INDEX(diakadat!$I$2:$I$50,MATCH(D263,diakadat!$J$2:$J$50,0),1),"")</f>
        <v/>
      </c>
      <c r="H263" t="str">
        <f>IFERROR(INDEX(diakadat!$O$2:$O$50,MATCH(D263,diakadat!$J$2:$J$50,0),1),"")</f>
        <v/>
      </c>
      <c r="I263" t="str">
        <f>IFERROR(INDEX(diakadat!#REF!,MATCH(D263,diakadat!$J$2:$J$50,0),1),"")</f>
        <v/>
      </c>
      <c r="J263" t="str">
        <f>IFERROR(INDEX(diakadat!$K$2:$K$50,MATCH(D263,diakadat!$J$2:$J$50,0),1),"")</f>
        <v/>
      </c>
      <c r="K263" t="str" cm="1">
        <f t="array" ref="K263">IFERROR(DatumSzovegge2(INDEX(diakadat!$L$2:$L$50,MATCH(D263,diakadat!$J$2:$J$50,0),1)),"")</f>
        <v/>
      </c>
      <c r="L263" t="str" cm="1">
        <f t="array" ref="L263">IFERROR(DatumSzovegge5(INDEX(diakadat!$L$2:$L$50,MATCH(D263,diakadat!$J$2:$J$50,0),1)),"")</f>
        <v/>
      </c>
      <c r="M263" t="str" cm="1">
        <f t="array" ref="M263">IFERROR(DatumSzovegge3(INDEX(diakadat!$L$2:$L$50,MATCH(D263,diakadat!$J$2:$J$50,0),1)),"")</f>
        <v/>
      </c>
      <c r="N263" t="str" cm="1">
        <f t="array" ref="N263">IFERROR(DatumSzovegge4(INDEX(diakadat!$L$2:$L$50,MATCH(D263,diakadat!$J$2:$J$50,0),1)),"")</f>
        <v/>
      </c>
      <c r="O263" t="str">
        <f>IFERROR(INDEX(diakadat!$R$2:$R$50,MATCH(D263,diakadat!$J$2:$J$50,0),1),"")</f>
        <v/>
      </c>
      <c r="P263" t="str">
        <f>IFERROR(INDEX(diakadat!$AI$2:$AI$50,MATCH(D263,diakadat!$J$2:$J$50,0),1),"")</f>
        <v/>
      </c>
      <c r="Q263" t="str">
        <f>IFERROR(INDEX('rangsor'!$C$2:$C$343,MATCH(D263,'rangsor'!$A$2:$A$343,0),1),"")</f>
        <v/>
      </c>
      <c r="T263" t="s">
        <v>831</v>
      </c>
      <c r="U263" t="str" cm="1">
        <f t="array" ref="U263">Határozat(D263)</f>
        <v/>
      </c>
      <c r="AC263" t="str">
        <f>IFERROR(INDEX(diakadat!$U$2:$U$50,MATCH(D263,diakadat!$J$2:$J$50),1),"")</f>
        <v/>
      </c>
      <c r="AD263" t="str">
        <f>IFERROR(INDEX(diakadat!$V$2:$V$50,MATCH(D263,diakadat!$J$2:$J$50),1),"")</f>
        <v/>
      </c>
      <c r="AE263" t="str">
        <f>IFERROR(INDEX(diakadat!$W$2:$W$50,MATCH(D263,diakadat!$J$2:$J$50),1),"")</f>
        <v/>
      </c>
      <c r="AI263" t="str">
        <f>IFERROR(INDEX(diakadat!$X$2:$X$50,MATCH(D263,diakadat!$J$2:$J$50),1),"")</f>
        <v/>
      </c>
      <c r="AK263">
        <f t="shared" si="4"/>
        <v>329</v>
      </c>
      <c r="AL263" t="str" cm="1">
        <f t="array" ref="AL263">ElsoBetuNagy(R263)</f>
        <v/>
      </c>
      <c r="AO263" t="str" cm="1">
        <f t="array" ref="AO263">DatumSzovegge5(AN263)</f>
        <v>1899.</v>
      </c>
      <c r="AP263" t="str" cm="1">
        <f t="array" ref="AP263">DatumSzovegge3(AN263)</f>
        <v>december</v>
      </c>
      <c r="AQ263" t="str" cm="1">
        <f t="array" ref="AQ263">DatumSzovegge4(AN263)</f>
        <v>30.</v>
      </c>
    </row>
    <row r="264" spans="4:43" x14ac:dyDescent="0.25">
      <c r="D264" t="str" cm="1">
        <f t="array" ref="D264">SzuressNev($B$1,ROW()-1)</f>
        <v/>
      </c>
      <c r="E264">
        <f>COUNTIF($D$2:D264,D264)</f>
        <v>243</v>
      </c>
      <c r="F264" t="str" cm="1">
        <f t="array" ref="F264">ElutasitasEgyOk2(D264,E264)</f>
        <v/>
      </c>
      <c r="G264" t="str">
        <f>IFERROR(INDEX(diakadat!$I$2:$I$50,MATCH(D264,diakadat!$J$2:$J$50,0),1),"")</f>
        <v/>
      </c>
      <c r="H264" t="str">
        <f>IFERROR(INDEX(diakadat!$O$2:$O$50,MATCH(D264,diakadat!$J$2:$J$50,0),1),"")</f>
        <v/>
      </c>
      <c r="I264" t="str">
        <f>IFERROR(INDEX(diakadat!#REF!,MATCH(D264,diakadat!$J$2:$J$50,0),1),"")</f>
        <v/>
      </c>
      <c r="J264" t="str">
        <f>IFERROR(INDEX(diakadat!$K$2:$K$50,MATCH(D264,diakadat!$J$2:$J$50,0),1),"")</f>
        <v/>
      </c>
      <c r="K264" t="str" cm="1">
        <f t="array" ref="K264">IFERROR(DatumSzovegge2(INDEX(diakadat!$L$2:$L$50,MATCH(D264,diakadat!$J$2:$J$50,0),1)),"")</f>
        <v/>
      </c>
      <c r="L264" t="str" cm="1">
        <f t="array" ref="L264">IFERROR(DatumSzovegge5(INDEX(diakadat!$L$2:$L$50,MATCH(D264,diakadat!$J$2:$J$50,0),1)),"")</f>
        <v/>
      </c>
      <c r="M264" t="str" cm="1">
        <f t="array" ref="M264">IFERROR(DatumSzovegge3(INDEX(diakadat!$L$2:$L$50,MATCH(D264,diakadat!$J$2:$J$50,0),1)),"")</f>
        <v/>
      </c>
      <c r="N264" t="str" cm="1">
        <f t="array" ref="N264">IFERROR(DatumSzovegge4(INDEX(diakadat!$L$2:$L$50,MATCH(D264,diakadat!$J$2:$J$50,0),1)),"")</f>
        <v/>
      </c>
      <c r="O264" t="str">
        <f>IFERROR(INDEX(diakadat!$R$2:$R$50,MATCH(D264,diakadat!$J$2:$J$50,0),1),"")</f>
        <v/>
      </c>
      <c r="P264" t="str">
        <f>IFERROR(INDEX(diakadat!$AI$2:$AI$50,MATCH(D264,diakadat!$J$2:$J$50,0),1),"")</f>
        <v/>
      </c>
      <c r="Q264" t="str">
        <f>IFERROR(INDEX('rangsor'!$C$2:$C$343,MATCH(D264,'rangsor'!$A$2:$A$343,0),1),"")</f>
        <v/>
      </c>
      <c r="T264" t="s">
        <v>831</v>
      </c>
      <c r="U264" t="str" cm="1">
        <f t="array" ref="U264">Határozat(D264)</f>
        <v/>
      </c>
      <c r="AC264" t="str">
        <f>IFERROR(INDEX(diakadat!$U$2:$U$50,MATCH(D264,diakadat!$J$2:$J$50),1),"")</f>
        <v/>
      </c>
      <c r="AD264" t="str">
        <f>IFERROR(INDEX(diakadat!$V$2:$V$50,MATCH(D264,diakadat!$J$2:$J$50),1),"")</f>
        <v/>
      </c>
      <c r="AE264" t="str">
        <f>IFERROR(INDEX(diakadat!$W$2:$W$50,MATCH(D264,diakadat!$J$2:$J$50),1),"")</f>
        <v/>
      </c>
      <c r="AI264" t="str">
        <f>IFERROR(INDEX(diakadat!$X$2:$X$50,MATCH(D264,diakadat!$J$2:$J$50),1),"")</f>
        <v/>
      </c>
      <c r="AK264">
        <f t="shared" si="4"/>
        <v>329</v>
      </c>
      <c r="AL264" t="str" cm="1">
        <f t="array" ref="AL264">ElsoBetuNagy(R264)</f>
        <v/>
      </c>
      <c r="AO264" t="str" cm="1">
        <f t="array" ref="AO264">DatumSzovegge5(AN264)</f>
        <v>1899.</v>
      </c>
      <c r="AP264" t="str" cm="1">
        <f t="array" ref="AP264">DatumSzovegge3(AN264)</f>
        <v>december</v>
      </c>
      <c r="AQ264" t="str" cm="1">
        <f t="array" ref="AQ264">DatumSzovegge4(AN264)</f>
        <v>30.</v>
      </c>
    </row>
    <row r="265" spans="4:43" x14ac:dyDescent="0.25">
      <c r="D265" t="str" cm="1">
        <f t="array" ref="D265">SzuressNev($B$1,ROW()-1)</f>
        <v/>
      </c>
      <c r="E265">
        <f>COUNTIF($D$2:D265,D265)</f>
        <v>244</v>
      </c>
      <c r="F265" t="str" cm="1">
        <f t="array" ref="F265">ElutasitasEgyOk2(D265,E265)</f>
        <v/>
      </c>
      <c r="G265" t="str">
        <f>IFERROR(INDEX(diakadat!$I$2:$I$50,MATCH(D265,diakadat!$J$2:$J$50,0),1),"")</f>
        <v/>
      </c>
      <c r="H265" t="str">
        <f>IFERROR(INDEX(diakadat!$O$2:$O$50,MATCH(D265,diakadat!$J$2:$J$50,0),1),"")</f>
        <v/>
      </c>
      <c r="I265" t="str">
        <f>IFERROR(INDEX(diakadat!#REF!,MATCH(D265,diakadat!$J$2:$J$50,0),1),"")</f>
        <v/>
      </c>
      <c r="J265" t="str">
        <f>IFERROR(INDEX(diakadat!$K$2:$K$50,MATCH(D265,diakadat!$J$2:$J$50,0),1),"")</f>
        <v/>
      </c>
      <c r="K265" t="str" cm="1">
        <f t="array" ref="K265">IFERROR(DatumSzovegge2(INDEX(diakadat!$L$2:$L$50,MATCH(D265,diakadat!$J$2:$J$50,0),1)),"")</f>
        <v/>
      </c>
      <c r="L265" t="str" cm="1">
        <f t="array" ref="L265">IFERROR(DatumSzovegge5(INDEX(diakadat!$L$2:$L$50,MATCH(D265,diakadat!$J$2:$J$50,0),1)),"")</f>
        <v/>
      </c>
      <c r="M265" t="str" cm="1">
        <f t="array" ref="M265">IFERROR(DatumSzovegge3(INDEX(diakadat!$L$2:$L$50,MATCH(D265,diakadat!$J$2:$J$50,0),1)),"")</f>
        <v/>
      </c>
      <c r="N265" t="str" cm="1">
        <f t="array" ref="N265">IFERROR(DatumSzovegge4(INDEX(diakadat!$L$2:$L$50,MATCH(D265,diakadat!$J$2:$J$50,0),1)),"")</f>
        <v/>
      </c>
      <c r="O265" t="str">
        <f>IFERROR(INDEX(diakadat!$R$2:$R$50,MATCH(D265,diakadat!$J$2:$J$50,0),1),"")</f>
        <v/>
      </c>
      <c r="P265" t="str">
        <f>IFERROR(INDEX(diakadat!$AI$2:$AI$50,MATCH(D265,diakadat!$J$2:$J$50,0),1),"")</f>
        <v/>
      </c>
      <c r="Q265" t="str">
        <f>IFERROR(INDEX('rangsor'!$C$2:$C$343,MATCH(D265,'rangsor'!$A$2:$A$343,0),1),"")</f>
        <v/>
      </c>
      <c r="T265" t="s">
        <v>831</v>
      </c>
      <c r="U265" t="str" cm="1">
        <f t="array" ref="U265">Határozat(D265)</f>
        <v/>
      </c>
      <c r="AC265" t="str">
        <f>IFERROR(INDEX(diakadat!$U$2:$U$50,MATCH(D265,diakadat!$J$2:$J$50),1),"")</f>
        <v/>
      </c>
      <c r="AD265" t="str">
        <f>IFERROR(INDEX(diakadat!$V$2:$V$50,MATCH(D265,diakadat!$J$2:$J$50),1),"")</f>
        <v/>
      </c>
      <c r="AE265" t="str">
        <f>IFERROR(INDEX(diakadat!$W$2:$W$50,MATCH(D265,diakadat!$J$2:$J$50),1),"")</f>
        <v/>
      </c>
      <c r="AI265" t="str">
        <f>IFERROR(INDEX(diakadat!$X$2:$X$50,MATCH(D265,diakadat!$J$2:$J$50),1),"")</f>
        <v/>
      </c>
      <c r="AK265">
        <f t="shared" si="4"/>
        <v>329</v>
      </c>
      <c r="AL265" t="str" cm="1">
        <f t="array" ref="AL265">ElsoBetuNagy(R265)</f>
        <v/>
      </c>
      <c r="AO265" t="str" cm="1">
        <f t="array" ref="AO265">DatumSzovegge5(AN265)</f>
        <v>1899.</v>
      </c>
      <c r="AP265" t="str" cm="1">
        <f t="array" ref="AP265">DatumSzovegge3(AN265)</f>
        <v>december</v>
      </c>
      <c r="AQ265" t="str" cm="1">
        <f t="array" ref="AQ265">DatumSzovegge4(AN265)</f>
        <v>30.</v>
      </c>
    </row>
    <row r="266" spans="4:43" x14ac:dyDescent="0.25">
      <c r="D266" t="str" cm="1">
        <f t="array" ref="D266">SzuressNev($B$1,ROW()-1)</f>
        <v/>
      </c>
      <c r="E266">
        <f>COUNTIF($D$2:D266,D266)</f>
        <v>245</v>
      </c>
      <c r="F266" t="str" cm="1">
        <f t="array" ref="F266">ElutasitasEgyOk2(D266,E266)</f>
        <v/>
      </c>
      <c r="G266" t="str">
        <f>IFERROR(INDEX(diakadat!$I$2:$I$50,MATCH(D266,diakadat!$J$2:$J$50,0),1),"")</f>
        <v/>
      </c>
      <c r="H266" t="str">
        <f>IFERROR(INDEX(diakadat!$O$2:$O$50,MATCH(D266,diakadat!$J$2:$J$50,0),1),"")</f>
        <v/>
      </c>
      <c r="I266" t="str">
        <f>IFERROR(INDEX(diakadat!#REF!,MATCH(D266,diakadat!$J$2:$J$50,0),1),"")</f>
        <v/>
      </c>
      <c r="J266" t="str">
        <f>IFERROR(INDEX(diakadat!$K$2:$K$50,MATCH(D266,diakadat!$J$2:$J$50,0),1),"")</f>
        <v/>
      </c>
      <c r="K266" t="str" cm="1">
        <f t="array" ref="K266">IFERROR(DatumSzovegge2(INDEX(diakadat!$L$2:$L$50,MATCH(D266,diakadat!$J$2:$J$50,0),1)),"")</f>
        <v/>
      </c>
      <c r="L266" t="str" cm="1">
        <f t="array" ref="L266">IFERROR(DatumSzovegge5(INDEX(diakadat!$L$2:$L$50,MATCH(D266,diakadat!$J$2:$J$50,0),1)),"")</f>
        <v/>
      </c>
      <c r="M266" t="str" cm="1">
        <f t="array" ref="M266">IFERROR(DatumSzovegge3(INDEX(diakadat!$L$2:$L$50,MATCH(D266,diakadat!$J$2:$J$50,0),1)),"")</f>
        <v/>
      </c>
      <c r="N266" t="str" cm="1">
        <f t="array" ref="N266">IFERROR(DatumSzovegge4(INDEX(diakadat!$L$2:$L$50,MATCH(D266,diakadat!$J$2:$J$50,0),1)),"")</f>
        <v/>
      </c>
      <c r="O266" t="str">
        <f>IFERROR(INDEX(diakadat!$R$2:$R$50,MATCH(D266,diakadat!$J$2:$J$50,0),1),"")</f>
        <v/>
      </c>
      <c r="P266" t="str">
        <f>IFERROR(INDEX(diakadat!$AI$2:$AI$50,MATCH(D266,diakadat!$J$2:$J$50,0),1),"")</f>
        <v/>
      </c>
      <c r="Q266" t="str">
        <f>IFERROR(INDEX('rangsor'!$C$2:$C$343,MATCH(D266,'rangsor'!$A$2:$A$343,0),1),"")</f>
        <v/>
      </c>
      <c r="T266" t="s">
        <v>831</v>
      </c>
      <c r="U266" t="str" cm="1">
        <f t="array" ref="U266">Határozat(D266)</f>
        <v/>
      </c>
      <c r="AC266" t="str">
        <f>IFERROR(INDEX(diakadat!$U$2:$U$50,MATCH(D266,diakadat!$J$2:$J$50),1),"")</f>
        <v/>
      </c>
      <c r="AD266" t="str">
        <f>IFERROR(INDEX(diakadat!$V$2:$V$50,MATCH(D266,diakadat!$J$2:$J$50),1),"")</f>
        <v/>
      </c>
      <c r="AE266" t="str">
        <f>IFERROR(INDEX(diakadat!$W$2:$W$50,MATCH(D266,diakadat!$J$2:$J$50),1),"")</f>
        <v/>
      </c>
      <c r="AI266" t="str">
        <f>IFERROR(INDEX(diakadat!$X$2:$X$50,MATCH(D266,diakadat!$J$2:$J$50),1),"")</f>
        <v/>
      </c>
      <c r="AK266">
        <f t="shared" si="4"/>
        <v>329</v>
      </c>
      <c r="AL266" t="str" cm="1">
        <f t="array" ref="AL266">ElsoBetuNagy(R266)</f>
        <v/>
      </c>
      <c r="AO266" t="str" cm="1">
        <f t="array" ref="AO266">DatumSzovegge5(AN266)</f>
        <v>1899.</v>
      </c>
      <c r="AP266" t="str" cm="1">
        <f t="array" ref="AP266">DatumSzovegge3(AN266)</f>
        <v>december</v>
      </c>
      <c r="AQ266" t="str" cm="1">
        <f t="array" ref="AQ266">DatumSzovegge4(AN266)</f>
        <v>30.</v>
      </c>
    </row>
    <row r="267" spans="4:43" x14ac:dyDescent="0.25">
      <c r="D267" t="str" cm="1">
        <f t="array" ref="D267">SzuressNev($B$1,ROW()-1)</f>
        <v/>
      </c>
      <c r="E267">
        <f>COUNTIF($D$2:D267,D267)</f>
        <v>246</v>
      </c>
      <c r="F267" t="str" cm="1">
        <f t="array" ref="F267">ElutasitasEgyOk2(D267,E267)</f>
        <v/>
      </c>
      <c r="G267" t="str">
        <f>IFERROR(INDEX(diakadat!$I$2:$I$50,MATCH(D267,diakadat!$J$2:$J$50,0),1),"")</f>
        <v/>
      </c>
      <c r="H267" t="str">
        <f>IFERROR(INDEX(diakadat!$O$2:$O$50,MATCH(D267,diakadat!$J$2:$J$50,0),1),"")</f>
        <v/>
      </c>
      <c r="I267" t="str">
        <f>IFERROR(INDEX(diakadat!#REF!,MATCH(D267,diakadat!$J$2:$J$50,0),1),"")</f>
        <v/>
      </c>
      <c r="J267" t="str">
        <f>IFERROR(INDEX(diakadat!$K$2:$K$50,MATCH(D267,diakadat!$J$2:$J$50,0),1),"")</f>
        <v/>
      </c>
      <c r="K267" t="str" cm="1">
        <f t="array" ref="K267">IFERROR(DatumSzovegge2(INDEX(diakadat!$L$2:$L$50,MATCH(D267,diakadat!$J$2:$J$50,0),1)),"")</f>
        <v/>
      </c>
      <c r="L267" t="str" cm="1">
        <f t="array" ref="L267">IFERROR(DatumSzovegge5(INDEX(diakadat!$L$2:$L$50,MATCH(D267,diakadat!$J$2:$J$50,0),1)),"")</f>
        <v/>
      </c>
      <c r="M267" t="str" cm="1">
        <f t="array" ref="M267">IFERROR(DatumSzovegge3(INDEX(diakadat!$L$2:$L$50,MATCH(D267,diakadat!$J$2:$J$50,0),1)),"")</f>
        <v/>
      </c>
      <c r="N267" t="str" cm="1">
        <f t="array" ref="N267">IFERROR(DatumSzovegge4(INDEX(diakadat!$L$2:$L$50,MATCH(D267,diakadat!$J$2:$J$50,0),1)),"")</f>
        <v/>
      </c>
      <c r="O267" t="str">
        <f>IFERROR(INDEX(diakadat!$R$2:$R$50,MATCH(D267,diakadat!$J$2:$J$50,0),1),"")</f>
        <v/>
      </c>
      <c r="P267" t="str">
        <f>IFERROR(INDEX(diakadat!$AI$2:$AI$50,MATCH(D267,diakadat!$J$2:$J$50,0),1),"")</f>
        <v/>
      </c>
      <c r="Q267" t="str">
        <f>IFERROR(INDEX('rangsor'!$C$2:$C$343,MATCH(D267,'rangsor'!$A$2:$A$343,0),1),"")</f>
        <v/>
      </c>
      <c r="T267" t="s">
        <v>831</v>
      </c>
      <c r="U267" t="str" cm="1">
        <f t="array" ref="U267">Határozat(D267)</f>
        <v/>
      </c>
      <c r="AC267" t="str">
        <f>IFERROR(INDEX(diakadat!$U$2:$U$50,MATCH(D267,diakadat!$J$2:$J$50),1),"")</f>
        <v/>
      </c>
      <c r="AD267" t="str">
        <f>IFERROR(INDEX(diakadat!$V$2:$V$50,MATCH(D267,diakadat!$J$2:$J$50),1),"")</f>
        <v/>
      </c>
      <c r="AE267" t="str">
        <f>IFERROR(INDEX(diakadat!$W$2:$W$50,MATCH(D267,diakadat!$J$2:$J$50),1),"")</f>
        <v/>
      </c>
      <c r="AI267" t="str">
        <f>IFERROR(INDEX(diakadat!$X$2:$X$50,MATCH(D267,diakadat!$J$2:$J$50),1),"")</f>
        <v/>
      </c>
      <c r="AK267">
        <f t="shared" si="4"/>
        <v>329</v>
      </c>
      <c r="AL267" t="str" cm="1">
        <f t="array" ref="AL267">ElsoBetuNagy(R267)</f>
        <v/>
      </c>
      <c r="AO267" t="str" cm="1">
        <f t="array" ref="AO267">DatumSzovegge5(AN267)</f>
        <v>1899.</v>
      </c>
      <c r="AP267" t="str" cm="1">
        <f t="array" ref="AP267">DatumSzovegge3(AN267)</f>
        <v>december</v>
      </c>
      <c r="AQ267" t="str" cm="1">
        <f t="array" ref="AQ267">DatumSzovegge4(AN267)</f>
        <v>30.</v>
      </c>
    </row>
    <row r="268" spans="4:43" x14ac:dyDescent="0.25">
      <c r="D268" t="str" cm="1">
        <f t="array" ref="D268">SzuressNev($B$1,ROW()-1)</f>
        <v/>
      </c>
      <c r="E268">
        <f>COUNTIF($D$2:D268,D268)</f>
        <v>247</v>
      </c>
      <c r="F268" t="str" cm="1">
        <f t="array" ref="F268">ElutasitasEgyOk2(D268,E268)</f>
        <v/>
      </c>
      <c r="G268" t="str">
        <f>IFERROR(INDEX(diakadat!$I$2:$I$50,MATCH(D268,diakadat!$J$2:$J$50,0),1),"")</f>
        <v/>
      </c>
      <c r="H268" t="str">
        <f>IFERROR(INDEX(diakadat!$O$2:$O$50,MATCH(D268,diakadat!$J$2:$J$50,0),1),"")</f>
        <v/>
      </c>
      <c r="I268" t="str">
        <f>IFERROR(INDEX(diakadat!#REF!,MATCH(D268,diakadat!$J$2:$J$50,0),1),"")</f>
        <v/>
      </c>
      <c r="J268" t="str">
        <f>IFERROR(INDEX(diakadat!$K$2:$K$50,MATCH(D268,diakadat!$J$2:$J$50,0),1),"")</f>
        <v/>
      </c>
      <c r="K268" t="str" cm="1">
        <f t="array" ref="K268">IFERROR(DatumSzovegge2(INDEX(diakadat!$L$2:$L$50,MATCH(D268,diakadat!$J$2:$J$50,0),1)),"")</f>
        <v/>
      </c>
      <c r="L268" t="str" cm="1">
        <f t="array" ref="L268">IFERROR(DatumSzovegge5(INDEX(diakadat!$L$2:$L$50,MATCH(D268,diakadat!$J$2:$J$50,0),1)),"")</f>
        <v/>
      </c>
      <c r="M268" t="str" cm="1">
        <f t="array" ref="M268">IFERROR(DatumSzovegge3(INDEX(diakadat!$L$2:$L$50,MATCH(D268,diakadat!$J$2:$J$50,0),1)),"")</f>
        <v/>
      </c>
      <c r="N268" t="str" cm="1">
        <f t="array" ref="N268">IFERROR(DatumSzovegge4(INDEX(diakadat!$L$2:$L$50,MATCH(D268,diakadat!$J$2:$J$50,0),1)),"")</f>
        <v/>
      </c>
      <c r="O268" t="str">
        <f>IFERROR(INDEX(diakadat!$R$2:$R$50,MATCH(D268,diakadat!$J$2:$J$50,0),1),"")</f>
        <v/>
      </c>
      <c r="P268" t="str">
        <f>IFERROR(INDEX(diakadat!$AI$2:$AI$50,MATCH(D268,diakadat!$J$2:$J$50,0),1),"")</f>
        <v/>
      </c>
      <c r="Q268" t="str">
        <f>IFERROR(INDEX('rangsor'!$C$2:$C$343,MATCH(D268,'rangsor'!$A$2:$A$343,0),1),"")</f>
        <v/>
      </c>
      <c r="T268" t="s">
        <v>831</v>
      </c>
      <c r="U268" t="str" cm="1">
        <f t="array" ref="U268">Határozat(D268)</f>
        <v/>
      </c>
      <c r="AC268" t="str">
        <f>IFERROR(INDEX(diakadat!$U$2:$U$50,MATCH(D268,diakadat!$J$2:$J$50),1),"")</f>
        <v/>
      </c>
      <c r="AD268" t="str">
        <f>IFERROR(INDEX(diakadat!$V$2:$V$50,MATCH(D268,diakadat!$J$2:$J$50),1),"")</f>
        <v/>
      </c>
      <c r="AE268" t="str">
        <f>IFERROR(INDEX(diakadat!$W$2:$W$50,MATCH(D268,diakadat!$J$2:$J$50),1),"")</f>
        <v/>
      </c>
      <c r="AI268" t="str">
        <f>IFERROR(INDEX(diakadat!$X$2:$X$50,MATCH(D268,diakadat!$J$2:$J$50),1),"")</f>
        <v/>
      </c>
      <c r="AK268">
        <f t="shared" si="4"/>
        <v>329</v>
      </c>
      <c r="AL268" t="str" cm="1">
        <f t="array" ref="AL268">ElsoBetuNagy(R268)</f>
        <v/>
      </c>
      <c r="AO268" t="str" cm="1">
        <f t="array" ref="AO268">DatumSzovegge5(AN268)</f>
        <v>1899.</v>
      </c>
      <c r="AP268" t="str" cm="1">
        <f t="array" ref="AP268">DatumSzovegge3(AN268)</f>
        <v>december</v>
      </c>
      <c r="AQ268" t="str" cm="1">
        <f t="array" ref="AQ268">DatumSzovegge4(AN268)</f>
        <v>30.</v>
      </c>
    </row>
    <row r="269" spans="4:43" x14ac:dyDescent="0.25">
      <c r="D269" t="str" cm="1">
        <f t="array" ref="D269">SzuressNev($B$1,ROW()-1)</f>
        <v/>
      </c>
      <c r="E269">
        <f>COUNTIF($D$2:D269,D269)</f>
        <v>248</v>
      </c>
      <c r="F269" t="str" cm="1">
        <f t="array" ref="F269">ElutasitasEgyOk2(D269,E269)</f>
        <v/>
      </c>
      <c r="G269" t="str">
        <f>IFERROR(INDEX(diakadat!$I$2:$I$50,MATCH(D269,diakadat!$J$2:$J$50,0),1),"")</f>
        <v/>
      </c>
      <c r="H269" t="str">
        <f>IFERROR(INDEX(diakadat!$O$2:$O$50,MATCH(D269,diakadat!$J$2:$J$50,0),1),"")</f>
        <v/>
      </c>
      <c r="I269" t="str">
        <f>IFERROR(INDEX(diakadat!#REF!,MATCH(D269,diakadat!$J$2:$J$50,0),1),"")</f>
        <v/>
      </c>
      <c r="J269" t="str">
        <f>IFERROR(INDEX(diakadat!$K$2:$K$50,MATCH(D269,diakadat!$J$2:$J$50,0),1),"")</f>
        <v/>
      </c>
      <c r="K269" t="str" cm="1">
        <f t="array" ref="K269">IFERROR(DatumSzovegge2(INDEX(diakadat!$L$2:$L$50,MATCH(D269,diakadat!$J$2:$J$50,0),1)),"")</f>
        <v/>
      </c>
      <c r="L269" t="str" cm="1">
        <f t="array" ref="L269">IFERROR(DatumSzovegge5(INDEX(diakadat!$L$2:$L$50,MATCH(D269,diakadat!$J$2:$J$50,0),1)),"")</f>
        <v/>
      </c>
      <c r="M269" t="str" cm="1">
        <f t="array" ref="M269">IFERROR(DatumSzovegge3(INDEX(diakadat!$L$2:$L$50,MATCH(D269,diakadat!$J$2:$J$50,0),1)),"")</f>
        <v/>
      </c>
      <c r="N269" t="str" cm="1">
        <f t="array" ref="N269">IFERROR(DatumSzovegge4(INDEX(diakadat!$L$2:$L$50,MATCH(D269,diakadat!$J$2:$J$50,0),1)),"")</f>
        <v/>
      </c>
      <c r="O269" t="str">
        <f>IFERROR(INDEX(diakadat!$R$2:$R$50,MATCH(D269,diakadat!$J$2:$J$50,0),1),"")</f>
        <v/>
      </c>
      <c r="P269" t="str">
        <f>IFERROR(INDEX(diakadat!$AI$2:$AI$50,MATCH(D269,diakadat!$J$2:$J$50,0),1),"")</f>
        <v/>
      </c>
      <c r="Q269" t="str">
        <f>IFERROR(INDEX('rangsor'!$C$2:$C$343,MATCH(D269,'rangsor'!$A$2:$A$343,0),1),"")</f>
        <v/>
      </c>
      <c r="T269" t="s">
        <v>831</v>
      </c>
      <c r="U269" t="str" cm="1">
        <f t="array" ref="U269">Határozat(D269)</f>
        <v/>
      </c>
      <c r="AC269" t="str">
        <f>IFERROR(INDEX(diakadat!$U$2:$U$50,MATCH(D269,diakadat!$J$2:$J$50),1),"")</f>
        <v/>
      </c>
      <c r="AD269" t="str">
        <f>IFERROR(INDEX(diakadat!$V$2:$V$50,MATCH(D269,diakadat!$J$2:$J$50),1),"")</f>
        <v/>
      </c>
      <c r="AE269" t="str">
        <f>IFERROR(INDEX(diakadat!$W$2:$W$50,MATCH(D269,diakadat!$J$2:$J$50),1),"")</f>
        <v/>
      </c>
      <c r="AI269" t="str">
        <f>IFERROR(INDEX(diakadat!$X$2:$X$50,MATCH(D269,diakadat!$J$2:$J$50),1),"")</f>
        <v/>
      </c>
      <c r="AK269">
        <f t="shared" si="4"/>
        <v>329</v>
      </c>
      <c r="AL269" t="str" cm="1">
        <f t="array" ref="AL269">ElsoBetuNagy(R269)</f>
        <v/>
      </c>
      <c r="AO269" t="str" cm="1">
        <f t="array" ref="AO269">DatumSzovegge5(AN269)</f>
        <v>1899.</v>
      </c>
      <c r="AP269" t="str" cm="1">
        <f t="array" ref="AP269">DatumSzovegge3(AN269)</f>
        <v>december</v>
      </c>
      <c r="AQ269" t="str" cm="1">
        <f t="array" ref="AQ269">DatumSzovegge4(AN269)</f>
        <v>30.</v>
      </c>
    </row>
    <row r="270" spans="4:43" x14ac:dyDescent="0.25">
      <c r="D270" t="str" cm="1">
        <f t="array" ref="D270">SzuressNev($B$1,ROW()-1)</f>
        <v/>
      </c>
      <c r="E270">
        <f>COUNTIF($D$2:D270,D270)</f>
        <v>249</v>
      </c>
      <c r="F270" t="str" cm="1">
        <f t="array" ref="F270">ElutasitasEgyOk2(D270,E270)</f>
        <v/>
      </c>
      <c r="G270" t="str">
        <f>IFERROR(INDEX(diakadat!$I$2:$I$50,MATCH(D270,diakadat!$J$2:$J$50,0),1),"")</f>
        <v/>
      </c>
      <c r="H270" t="str">
        <f>IFERROR(INDEX(diakadat!$O$2:$O$50,MATCH(D270,diakadat!$J$2:$J$50,0),1),"")</f>
        <v/>
      </c>
      <c r="I270" t="str">
        <f>IFERROR(INDEX(diakadat!#REF!,MATCH(D270,diakadat!$J$2:$J$50,0),1),"")</f>
        <v/>
      </c>
      <c r="J270" t="str">
        <f>IFERROR(INDEX(diakadat!$K$2:$K$50,MATCH(D270,diakadat!$J$2:$J$50,0),1),"")</f>
        <v/>
      </c>
      <c r="K270" t="str" cm="1">
        <f t="array" ref="K270">IFERROR(DatumSzovegge2(INDEX(diakadat!$L$2:$L$50,MATCH(D270,diakadat!$J$2:$J$50,0),1)),"")</f>
        <v/>
      </c>
      <c r="L270" t="str" cm="1">
        <f t="array" ref="L270">IFERROR(DatumSzovegge5(INDEX(diakadat!$L$2:$L$50,MATCH(D270,diakadat!$J$2:$J$50,0),1)),"")</f>
        <v/>
      </c>
      <c r="M270" t="str" cm="1">
        <f t="array" ref="M270">IFERROR(DatumSzovegge3(INDEX(diakadat!$L$2:$L$50,MATCH(D270,diakadat!$J$2:$J$50,0),1)),"")</f>
        <v/>
      </c>
      <c r="N270" t="str" cm="1">
        <f t="array" ref="N270">IFERROR(DatumSzovegge4(INDEX(diakadat!$L$2:$L$50,MATCH(D270,diakadat!$J$2:$J$50,0),1)),"")</f>
        <v/>
      </c>
      <c r="O270" t="str">
        <f>IFERROR(INDEX(diakadat!$R$2:$R$50,MATCH(D270,diakadat!$J$2:$J$50,0),1),"")</f>
        <v/>
      </c>
      <c r="P270" t="str">
        <f>IFERROR(INDEX(diakadat!$AI$2:$AI$50,MATCH(D270,diakadat!$J$2:$J$50,0),1),"")</f>
        <v/>
      </c>
      <c r="Q270" t="str">
        <f>IFERROR(INDEX('rangsor'!$C$2:$C$343,MATCH(D270,'rangsor'!$A$2:$A$343,0),1),"")</f>
        <v/>
      </c>
      <c r="T270" t="s">
        <v>831</v>
      </c>
      <c r="U270" t="str" cm="1">
        <f t="array" ref="U270">Határozat(D270)</f>
        <v/>
      </c>
      <c r="AC270" t="str">
        <f>IFERROR(INDEX(diakadat!$U$2:$U$50,MATCH(D270,diakadat!$J$2:$J$50),1),"")</f>
        <v/>
      </c>
      <c r="AD270" t="str">
        <f>IFERROR(INDEX(diakadat!$V$2:$V$50,MATCH(D270,diakadat!$J$2:$J$50),1),"")</f>
        <v/>
      </c>
      <c r="AE270" t="str">
        <f>IFERROR(INDEX(diakadat!$W$2:$W$50,MATCH(D270,diakadat!$J$2:$J$50),1),"")</f>
        <v/>
      </c>
      <c r="AI270" t="str">
        <f>IFERROR(INDEX(diakadat!$X$2:$X$50,MATCH(D270,diakadat!$J$2:$J$50),1),"")</f>
        <v/>
      </c>
      <c r="AK270">
        <f t="shared" si="4"/>
        <v>329</v>
      </c>
      <c r="AL270" t="str" cm="1">
        <f t="array" ref="AL270">ElsoBetuNagy(R270)</f>
        <v/>
      </c>
      <c r="AO270" t="str" cm="1">
        <f t="array" ref="AO270">DatumSzovegge5(AN270)</f>
        <v>1899.</v>
      </c>
      <c r="AP270" t="str" cm="1">
        <f t="array" ref="AP270">DatumSzovegge3(AN270)</f>
        <v>december</v>
      </c>
      <c r="AQ270" t="str" cm="1">
        <f t="array" ref="AQ270">DatumSzovegge4(AN270)</f>
        <v>30.</v>
      </c>
    </row>
    <row r="271" spans="4:43" x14ac:dyDescent="0.25">
      <c r="D271" t="str" cm="1">
        <f t="array" ref="D271">SzuressNev($B$1,ROW()-1)</f>
        <v/>
      </c>
      <c r="E271">
        <f>COUNTIF($D$2:D271,D271)</f>
        <v>250</v>
      </c>
      <c r="F271" t="str" cm="1">
        <f t="array" ref="F271">ElutasitasEgyOk2(D271,E271)</f>
        <v/>
      </c>
      <c r="G271" t="str">
        <f>IFERROR(INDEX(diakadat!$I$2:$I$50,MATCH(D271,diakadat!$J$2:$J$50,0),1),"")</f>
        <v/>
      </c>
      <c r="H271" t="str">
        <f>IFERROR(INDEX(diakadat!$O$2:$O$50,MATCH(D271,diakadat!$J$2:$J$50,0),1),"")</f>
        <v/>
      </c>
      <c r="I271" t="str">
        <f>IFERROR(INDEX(diakadat!#REF!,MATCH(D271,diakadat!$J$2:$J$50,0),1),"")</f>
        <v/>
      </c>
      <c r="J271" t="str">
        <f>IFERROR(INDEX(diakadat!$K$2:$K$50,MATCH(D271,diakadat!$J$2:$J$50,0),1),"")</f>
        <v/>
      </c>
      <c r="K271" t="str" cm="1">
        <f t="array" ref="K271">IFERROR(DatumSzovegge2(INDEX(diakadat!$L$2:$L$50,MATCH(D271,diakadat!$J$2:$J$50,0),1)),"")</f>
        <v/>
      </c>
      <c r="L271" t="str" cm="1">
        <f t="array" ref="L271">IFERROR(DatumSzovegge5(INDEX(diakadat!$L$2:$L$50,MATCH(D271,diakadat!$J$2:$J$50,0),1)),"")</f>
        <v/>
      </c>
      <c r="M271" t="str" cm="1">
        <f t="array" ref="M271">IFERROR(DatumSzovegge3(INDEX(diakadat!$L$2:$L$50,MATCH(D271,diakadat!$J$2:$J$50,0),1)),"")</f>
        <v/>
      </c>
      <c r="N271" t="str" cm="1">
        <f t="array" ref="N271">IFERROR(DatumSzovegge4(INDEX(diakadat!$L$2:$L$50,MATCH(D271,diakadat!$J$2:$J$50,0),1)),"")</f>
        <v/>
      </c>
      <c r="O271" t="str">
        <f>IFERROR(INDEX(diakadat!$R$2:$R$50,MATCH(D271,diakadat!$J$2:$J$50,0),1),"")</f>
        <v/>
      </c>
      <c r="P271" t="str">
        <f>IFERROR(INDEX(diakadat!$AI$2:$AI$50,MATCH(D271,diakadat!$J$2:$J$50,0),1),"")</f>
        <v/>
      </c>
      <c r="Q271" t="str">
        <f>IFERROR(INDEX('rangsor'!$C$2:$C$343,MATCH(D271,'rangsor'!$A$2:$A$343,0),1),"")</f>
        <v/>
      </c>
      <c r="T271" t="s">
        <v>831</v>
      </c>
      <c r="U271" t="str" cm="1">
        <f t="array" ref="U271">Határozat(D271)</f>
        <v/>
      </c>
      <c r="AC271" t="str">
        <f>IFERROR(INDEX(diakadat!$U$2:$U$50,MATCH(D271,diakadat!$J$2:$J$50),1),"")</f>
        <v/>
      </c>
      <c r="AD271" t="str">
        <f>IFERROR(INDEX(diakadat!$V$2:$V$50,MATCH(D271,diakadat!$J$2:$J$50),1),"")</f>
        <v/>
      </c>
      <c r="AE271" t="str">
        <f>IFERROR(INDEX(diakadat!$W$2:$W$50,MATCH(D271,diakadat!$J$2:$J$50),1),"")</f>
        <v/>
      </c>
      <c r="AI271" t="str">
        <f>IFERROR(INDEX(diakadat!$X$2:$X$50,MATCH(D271,diakadat!$J$2:$J$50),1),"")</f>
        <v/>
      </c>
      <c r="AK271">
        <f t="shared" si="4"/>
        <v>329</v>
      </c>
      <c r="AL271" t="str" cm="1">
        <f t="array" ref="AL271">ElsoBetuNagy(R271)</f>
        <v/>
      </c>
      <c r="AO271" t="str" cm="1">
        <f t="array" ref="AO271">DatumSzovegge5(AN271)</f>
        <v>1899.</v>
      </c>
      <c r="AP271" t="str" cm="1">
        <f t="array" ref="AP271">DatumSzovegge3(AN271)</f>
        <v>december</v>
      </c>
      <c r="AQ271" t="str" cm="1">
        <f t="array" ref="AQ271">DatumSzovegge4(AN271)</f>
        <v>30.</v>
      </c>
    </row>
    <row r="272" spans="4:43" x14ac:dyDescent="0.25">
      <c r="D272" t="str" cm="1">
        <f t="array" ref="D272">SzuressNev($B$1,ROW()-1)</f>
        <v/>
      </c>
      <c r="E272">
        <f>COUNTIF($D$2:D272,D272)</f>
        <v>251</v>
      </c>
      <c r="F272" t="str" cm="1">
        <f t="array" ref="F272">ElutasitasEgyOk2(D272,E272)</f>
        <v/>
      </c>
      <c r="G272" t="str">
        <f>IFERROR(INDEX(diakadat!$I$2:$I$50,MATCH(D272,diakadat!$J$2:$J$50,0),1),"")</f>
        <v/>
      </c>
      <c r="H272" t="str">
        <f>IFERROR(INDEX(diakadat!$O$2:$O$50,MATCH(D272,diakadat!$J$2:$J$50,0),1),"")</f>
        <v/>
      </c>
      <c r="I272" t="str">
        <f>IFERROR(INDEX(diakadat!#REF!,MATCH(D272,diakadat!$J$2:$J$50,0),1),"")</f>
        <v/>
      </c>
      <c r="J272" t="str">
        <f>IFERROR(INDEX(diakadat!$K$2:$K$50,MATCH(D272,diakadat!$J$2:$J$50,0),1),"")</f>
        <v/>
      </c>
      <c r="K272" t="str" cm="1">
        <f t="array" ref="K272">IFERROR(DatumSzovegge2(INDEX(diakadat!$L$2:$L$50,MATCH(D272,diakadat!$J$2:$J$50,0),1)),"")</f>
        <v/>
      </c>
      <c r="L272" t="str" cm="1">
        <f t="array" ref="L272">IFERROR(DatumSzovegge5(INDEX(diakadat!$L$2:$L$50,MATCH(D272,diakadat!$J$2:$J$50,0),1)),"")</f>
        <v/>
      </c>
      <c r="M272" t="str" cm="1">
        <f t="array" ref="M272">IFERROR(DatumSzovegge3(INDEX(diakadat!$L$2:$L$50,MATCH(D272,diakadat!$J$2:$J$50,0),1)),"")</f>
        <v/>
      </c>
      <c r="N272" t="str" cm="1">
        <f t="array" ref="N272">IFERROR(DatumSzovegge4(INDEX(diakadat!$L$2:$L$50,MATCH(D272,diakadat!$J$2:$J$50,0),1)),"")</f>
        <v/>
      </c>
      <c r="O272" t="str">
        <f>IFERROR(INDEX(diakadat!$R$2:$R$50,MATCH(D272,diakadat!$J$2:$J$50,0),1),"")</f>
        <v/>
      </c>
      <c r="P272" t="str">
        <f>IFERROR(INDEX(diakadat!$AI$2:$AI$50,MATCH(D272,diakadat!$J$2:$J$50,0),1),"")</f>
        <v/>
      </c>
      <c r="Q272" t="str">
        <f>IFERROR(INDEX('rangsor'!$C$2:$C$343,MATCH(D272,'rangsor'!$A$2:$A$343,0),1),"")</f>
        <v/>
      </c>
      <c r="T272" t="s">
        <v>831</v>
      </c>
      <c r="U272" t="str" cm="1">
        <f t="array" ref="U272">Határozat(D272)</f>
        <v/>
      </c>
      <c r="AC272" t="str">
        <f>IFERROR(INDEX(diakadat!$U$2:$U$50,MATCH(D272,diakadat!$J$2:$J$50),1),"")</f>
        <v/>
      </c>
      <c r="AD272" t="str">
        <f>IFERROR(INDEX(diakadat!$V$2:$V$50,MATCH(D272,diakadat!$J$2:$J$50),1),"")</f>
        <v/>
      </c>
      <c r="AE272" t="str">
        <f>IFERROR(INDEX(diakadat!$W$2:$W$50,MATCH(D272,diakadat!$J$2:$J$50),1),"")</f>
        <v/>
      </c>
      <c r="AI272" t="str">
        <f>IFERROR(INDEX(diakadat!$X$2:$X$50,MATCH(D272,diakadat!$J$2:$J$50),1),"")</f>
        <v/>
      </c>
      <c r="AK272">
        <f t="shared" si="4"/>
        <v>329</v>
      </c>
      <c r="AL272" t="str" cm="1">
        <f t="array" ref="AL272">ElsoBetuNagy(R272)</f>
        <v/>
      </c>
      <c r="AO272" t="str" cm="1">
        <f t="array" ref="AO272">DatumSzovegge5(AN272)</f>
        <v>1899.</v>
      </c>
      <c r="AP272" t="str" cm="1">
        <f t="array" ref="AP272">DatumSzovegge3(AN272)</f>
        <v>december</v>
      </c>
      <c r="AQ272" t="str" cm="1">
        <f t="array" ref="AQ272">DatumSzovegge4(AN272)</f>
        <v>30.</v>
      </c>
    </row>
    <row r="273" spans="4:43" x14ac:dyDescent="0.25">
      <c r="D273" t="str" cm="1">
        <f t="array" ref="D273">SzuressNev($B$1,ROW()-1)</f>
        <v/>
      </c>
      <c r="E273">
        <f>COUNTIF($D$2:D273,D273)</f>
        <v>252</v>
      </c>
      <c r="F273" t="str" cm="1">
        <f t="array" ref="F273">ElutasitasEgyOk2(D273,E273)</f>
        <v/>
      </c>
      <c r="G273" t="str">
        <f>IFERROR(INDEX(diakadat!$I$2:$I$50,MATCH(D273,diakadat!$J$2:$J$50,0),1),"")</f>
        <v/>
      </c>
      <c r="H273" t="str">
        <f>IFERROR(INDEX(diakadat!$O$2:$O$50,MATCH(D273,diakadat!$J$2:$J$50,0),1),"")</f>
        <v/>
      </c>
      <c r="I273" t="str">
        <f>IFERROR(INDEX(diakadat!#REF!,MATCH(D273,diakadat!$J$2:$J$50,0),1),"")</f>
        <v/>
      </c>
      <c r="J273" t="str">
        <f>IFERROR(INDEX(diakadat!$K$2:$K$50,MATCH(D273,diakadat!$J$2:$J$50,0),1),"")</f>
        <v/>
      </c>
      <c r="K273" t="str" cm="1">
        <f t="array" ref="K273">IFERROR(DatumSzovegge2(INDEX(diakadat!$L$2:$L$50,MATCH(D273,diakadat!$J$2:$J$50,0),1)),"")</f>
        <v/>
      </c>
      <c r="L273" t="str" cm="1">
        <f t="array" ref="L273">IFERROR(DatumSzovegge5(INDEX(diakadat!$L$2:$L$50,MATCH(D273,diakadat!$J$2:$J$50,0),1)),"")</f>
        <v/>
      </c>
      <c r="M273" t="str" cm="1">
        <f t="array" ref="M273">IFERROR(DatumSzovegge3(INDEX(diakadat!$L$2:$L$50,MATCH(D273,diakadat!$J$2:$J$50,0),1)),"")</f>
        <v/>
      </c>
      <c r="N273" t="str" cm="1">
        <f t="array" ref="N273">IFERROR(DatumSzovegge4(INDEX(diakadat!$L$2:$L$50,MATCH(D273,diakadat!$J$2:$J$50,0),1)),"")</f>
        <v/>
      </c>
      <c r="O273" t="str">
        <f>IFERROR(INDEX(diakadat!$R$2:$R$50,MATCH(D273,diakadat!$J$2:$J$50,0),1),"")</f>
        <v/>
      </c>
      <c r="P273" t="str">
        <f>IFERROR(INDEX(diakadat!$AI$2:$AI$50,MATCH(D273,diakadat!$J$2:$J$50,0),1),"")</f>
        <v/>
      </c>
      <c r="Q273" t="str">
        <f>IFERROR(INDEX('rangsor'!$C$2:$C$343,MATCH(D273,'rangsor'!$A$2:$A$343,0),1),"")</f>
        <v/>
      </c>
      <c r="T273" t="s">
        <v>831</v>
      </c>
      <c r="U273" t="str" cm="1">
        <f t="array" ref="U273">Határozat(D273)</f>
        <v/>
      </c>
      <c r="AC273" t="str">
        <f>IFERROR(INDEX(diakadat!$U$2:$U$50,MATCH(D273,diakadat!$J$2:$J$50),1),"")</f>
        <v/>
      </c>
      <c r="AD273" t="str">
        <f>IFERROR(INDEX(diakadat!$V$2:$V$50,MATCH(D273,diakadat!$J$2:$J$50),1),"")</f>
        <v/>
      </c>
      <c r="AE273" t="str">
        <f>IFERROR(INDEX(diakadat!$W$2:$W$50,MATCH(D273,diakadat!$J$2:$J$50),1),"")</f>
        <v/>
      </c>
      <c r="AI273" t="str">
        <f>IFERROR(INDEX(diakadat!$X$2:$X$50,MATCH(D273,diakadat!$J$2:$J$50),1),"")</f>
        <v/>
      </c>
      <c r="AK273">
        <f t="shared" si="4"/>
        <v>329</v>
      </c>
      <c r="AL273" t="str" cm="1">
        <f t="array" ref="AL273">ElsoBetuNagy(R273)</f>
        <v/>
      </c>
      <c r="AO273" t="str" cm="1">
        <f t="array" ref="AO273">DatumSzovegge5(AN273)</f>
        <v>1899.</v>
      </c>
      <c r="AP273" t="str" cm="1">
        <f t="array" ref="AP273">DatumSzovegge3(AN273)</f>
        <v>december</v>
      </c>
      <c r="AQ273" t="str" cm="1">
        <f t="array" ref="AQ273">DatumSzovegge4(AN273)</f>
        <v>30.</v>
      </c>
    </row>
    <row r="274" spans="4:43" x14ac:dyDescent="0.25">
      <c r="D274" t="str" cm="1">
        <f t="array" ref="D274">SzuressNev($B$1,ROW()-1)</f>
        <v/>
      </c>
      <c r="E274">
        <f>COUNTIF($D$2:D274,D274)</f>
        <v>253</v>
      </c>
      <c r="F274" t="str" cm="1">
        <f t="array" ref="F274">ElutasitasEgyOk2(D274,E274)</f>
        <v/>
      </c>
      <c r="G274" t="str">
        <f>IFERROR(INDEX(diakadat!$I$2:$I$50,MATCH(D274,diakadat!$J$2:$J$50,0),1),"")</f>
        <v/>
      </c>
      <c r="H274" t="str">
        <f>IFERROR(INDEX(diakadat!$O$2:$O$50,MATCH(D274,diakadat!$J$2:$J$50,0),1),"")</f>
        <v/>
      </c>
      <c r="I274" t="str">
        <f>IFERROR(INDEX(diakadat!#REF!,MATCH(D274,diakadat!$J$2:$J$50,0),1),"")</f>
        <v/>
      </c>
      <c r="J274" t="str">
        <f>IFERROR(INDEX(diakadat!$K$2:$K$50,MATCH(D274,diakadat!$J$2:$J$50,0),1),"")</f>
        <v/>
      </c>
      <c r="K274" t="str" cm="1">
        <f t="array" ref="K274">IFERROR(DatumSzovegge2(INDEX(diakadat!$L$2:$L$50,MATCH(D274,diakadat!$J$2:$J$50,0),1)),"")</f>
        <v/>
      </c>
      <c r="L274" t="str" cm="1">
        <f t="array" ref="L274">IFERROR(DatumSzovegge5(INDEX(diakadat!$L$2:$L$50,MATCH(D274,diakadat!$J$2:$J$50,0),1)),"")</f>
        <v/>
      </c>
      <c r="M274" t="str" cm="1">
        <f t="array" ref="M274">IFERROR(DatumSzovegge3(INDEX(diakadat!$L$2:$L$50,MATCH(D274,diakadat!$J$2:$J$50,0),1)),"")</f>
        <v/>
      </c>
      <c r="N274" t="str" cm="1">
        <f t="array" ref="N274">IFERROR(DatumSzovegge4(INDEX(diakadat!$L$2:$L$50,MATCH(D274,diakadat!$J$2:$J$50,0),1)),"")</f>
        <v/>
      </c>
      <c r="O274" t="str">
        <f>IFERROR(INDEX(diakadat!$R$2:$R$50,MATCH(D274,diakadat!$J$2:$J$50,0),1),"")</f>
        <v/>
      </c>
      <c r="P274" t="str">
        <f>IFERROR(INDEX(diakadat!$AI$2:$AI$50,MATCH(D274,diakadat!$J$2:$J$50,0),1),"")</f>
        <v/>
      </c>
      <c r="Q274" t="str">
        <f>IFERROR(INDEX('rangsor'!$C$2:$C$343,MATCH(D274,'rangsor'!$A$2:$A$343,0),1),"")</f>
        <v/>
      </c>
      <c r="T274" t="s">
        <v>831</v>
      </c>
      <c r="U274" t="str" cm="1">
        <f t="array" ref="U274">Határozat(D274)</f>
        <v/>
      </c>
      <c r="AC274" t="str">
        <f>IFERROR(INDEX(diakadat!$U$2:$U$50,MATCH(D274,diakadat!$J$2:$J$50),1),"")</f>
        <v/>
      </c>
      <c r="AD274" t="str">
        <f>IFERROR(INDEX(diakadat!$V$2:$V$50,MATCH(D274,diakadat!$J$2:$J$50),1),"")</f>
        <v/>
      </c>
      <c r="AE274" t="str">
        <f>IFERROR(INDEX(diakadat!$W$2:$W$50,MATCH(D274,diakadat!$J$2:$J$50),1),"")</f>
        <v/>
      </c>
      <c r="AI274" t="str">
        <f>IFERROR(INDEX(diakadat!$X$2:$X$50,MATCH(D274,diakadat!$J$2:$J$50),1),"")</f>
        <v/>
      </c>
      <c r="AK274">
        <f t="shared" si="4"/>
        <v>329</v>
      </c>
      <c r="AL274" t="str" cm="1">
        <f t="array" ref="AL274">ElsoBetuNagy(R274)</f>
        <v/>
      </c>
      <c r="AO274" t="str" cm="1">
        <f t="array" ref="AO274">DatumSzovegge5(AN274)</f>
        <v>1899.</v>
      </c>
      <c r="AP274" t="str" cm="1">
        <f t="array" ref="AP274">DatumSzovegge3(AN274)</f>
        <v>december</v>
      </c>
      <c r="AQ274" t="str" cm="1">
        <f t="array" ref="AQ274">DatumSzovegge4(AN274)</f>
        <v>30.</v>
      </c>
    </row>
    <row r="275" spans="4:43" x14ac:dyDescent="0.25">
      <c r="D275" t="str" cm="1">
        <f t="array" ref="D275">SzuressNev($B$1,ROW()-1)</f>
        <v/>
      </c>
      <c r="E275">
        <f>COUNTIF($D$2:D275,D275)</f>
        <v>254</v>
      </c>
      <c r="F275" t="str" cm="1">
        <f t="array" ref="F275">ElutasitasEgyOk2(D275,E275)</f>
        <v/>
      </c>
      <c r="G275" t="str">
        <f>IFERROR(INDEX(diakadat!$I$2:$I$50,MATCH(D275,diakadat!$J$2:$J$50,0),1),"")</f>
        <v/>
      </c>
      <c r="H275" t="str">
        <f>IFERROR(INDEX(diakadat!$O$2:$O$50,MATCH(D275,diakadat!$J$2:$J$50,0),1),"")</f>
        <v/>
      </c>
      <c r="I275" t="str">
        <f>IFERROR(INDEX(diakadat!#REF!,MATCH(D275,diakadat!$J$2:$J$50,0),1),"")</f>
        <v/>
      </c>
      <c r="J275" t="str">
        <f>IFERROR(INDEX(diakadat!$K$2:$K$50,MATCH(D275,diakadat!$J$2:$J$50,0),1),"")</f>
        <v/>
      </c>
      <c r="K275" t="str" cm="1">
        <f t="array" ref="K275">IFERROR(DatumSzovegge2(INDEX(diakadat!$L$2:$L$50,MATCH(D275,diakadat!$J$2:$J$50,0),1)),"")</f>
        <v/>
      </c>
      <c r="L275" t="str" cm="1">
        <f t="array" ref="L275">IFERROR(DatumSzovegge5(INDEX(diakadat!$L$2:$L$50,MATCH(D275,diakadat!$J$2:$J$50,0),1)),"")</f>
        <v/>
      </c>
      <c r="M275" t="str" cm="1">
        <f t="array" ref="M275">IFERROR(DatumSzovegge3(INDEX(diakadat!$L$2:$L$50,MATCH(D275,diakadat!$J$2:$J$50,0),1)),"")</f>
        <v/>
      </c>
      <c r="N275" t="str" cm="1">
        <f t="array" ref="N275">IFERROR(DatumSzovegge4(INDEX(diakadat!$L$2:$L$50,MATCH(D275,diakadat!$J$2:$J$50,0),1)),"")</f>
        <v/>
      </c>
      <c r="O275" t="str">
        <f>IFERROR(INDEX(diakadat!$R$2:$R$50,MATCH(D275,diakadat!$J$2:$J$50,0),1),"")</f>
        <v/>
      </c>
      <c r="P275" t="str">
        <f>IFERROR(INDEX(diakadat!$AI$2:$AI$50,MATCH(D275,diakadat!$J$2:$J$50,0),1),"")</f>
        <v/>
      </c>
      <c r="Q275" t="str">
        <f>IFERROR(INDEX('rangsor'!$C$2:$C$343,MATCH(D275,'rangsor'!$A$2:$A$343,0),1),"")</f>
        <v/>
      </c>
      <c r="T275" t="s">
        <v>831</v>
      </c>
      <c r="U275" t="str" cm="1">
        <f t="array" ref="U275">Határozat(D275)</f>
        <v/>
      </c>
      <c r="AC275" t="str">
        <f>IFERROR(INDEX(diakadat!$U$2:$U$50,MATCH(D275,diakadat!$J$2:$J$50),1),"")</f>
        <v/>
      </c>
      <c r="AD275" t="str">
        <f>IFERROR(INDEX(diakadat!$V$2:$V$50,MATCH(D275,diakadat!$J$2:$J$50),1),"")</f>
        <v/>
      </c>
      <c r="AE275" t="str">
        <f>IFERROR(INDEX(diakadat!$W$2:$W$50,MATCH(D275,diakadat!$J$2:$J$50),1),"")</f>
        <v/>
      </c>
      <c r="AI275" t="str">
        <f>IFERROR(INDEX(diakadat!$X$2:$X$50,MATCH(D275,diakadat!$J$2:$J$50),1),"")</f>
        <v/>
      </c>
      <c r="AK275">
        <f t="shared" si="4"/>
        <v>329</v>
      </c>
      <c r="AL275" t="str" cm="1">
        <f t="array" ref="AL275">ElsoBetuNagy(R275)</f>
        <v/>
      </c>
      <c r="AO275" t="str" cm="1">
        <f t="array" ref="AO275">DatumSzovegge5(AN275)</f>
        <v>1899.</v>
      </c>
      <c r="AP275" t="str" cm="1">
        <f t="array" ref="AP275">DatumSzovegge3(AN275)</f>
        <v>december</v>
      </c>
      <c r="AQ275" t="str" cm="1">
        <f t="array" ref="AQ275">DatumSzovegge4(AN275)</f>
        <v>30.</v>
      </c>
    </row>
    <row r="276" spans="4:43" x14ac:dyDescent="0.25">
      <c r="D276" t="str" cm="1">
        <f t="array" ref="D276">SzuressNev($B$1,ROW()-1)</f>
        <v/>
      </c>
      <c r="E276">
        <f>COUNTIF($D$2:D276,D276)</f>
        <v>255</v>
      </c>
      <c r="F276" t="str" cm="1">
        <f t="array" ref="F276">ElutasitasEgyOk2(D276,E276)</f>
        <v/>
      </c>
      <c r="G276" t="str">
        <f>IFERROR(INDEX(diakadat!$I$2:$I$50,MATCH(D276,diakadat!$J$2:$J$50,0),1),"")</f>
        <v/>
      </c>
      <c r="H276" t="str">
        <f>IFERROR(INDEX(diakadat!$O$2:$O$50,MATCH(D276,diakadat!$J$2:$J$50,0),1),"")</f>
        <v/>
      </c>
      <c r="I276" t="str">
        <f>IFERROR(INDEX(diakadat!#REF!,MATCH(D276,diakadat!$J$2:$J$50,0),1),"")</f>
        <v/>
      </c>
      <c r="J276" t="str">
        <f>IFERROR(INDEX(diakadat!$K$2:$K$50,MATCH(D276,diakadat!$J$2:$J$50,0),1),"")</f>
        <v/>
      </c>
      <c r="K276" t="str" cm="1">
        <f t="array" ref="K276">IFERROR(DatumSzovegge2(INDEX(diakadat!$L$2:$L$50,MATCH(D276,diakadat!$J$2:$J$50,0),1)),"")</f>
        <v/>
      </c>
      <c r="L276" t="str" cm="1">
        <f t="array" ref="L276">IFERROR(DatumSzovegge5(INDEX(diakadat!$L$2:$L$50,MATCH(D276,diakadat!$J$2:$J$50,0),1)),"")</f>
        <v/>
      </c>
      <c r="M276" t="str" cm="1">
        <f t="array" ref="M276">IFERROR(DatumSzovegge3(INDEX(diakadat!$L$2:$L$50,MATCH(D276,diakadat!$J$2:$J$50,0),1)),"")</f>
        <v/>
      </c>
      <c r="N276" t="str" cm="1">
        <f t="array" ref="N276">IFERROR(DatumSzovegge4(INDEX(diakadat!$L$2:$L$50,MATCH(D276,diakadat!$J$2:$J$50,0),1)),"")</f>
        <v/>
      </c>
      <c r="O276" t="str">
        <f>IFERROR(INDEX(diakadat!$R$2:$R$50,MATCH(D276,diakadat!$J$2:$J$50,0),1),"")</f>
        <v/>
      </c>
      <c r="P276" t="str">
        <f>IFERROR(INDEX(diakadat!$AI$2:$AI$50,MATCH(D276,diakadat!$J$2:$J$50,0),1),"")</f>
        <v/>
      </c>
      <c r="Q276" t="str">
        <f>IFERROR(INDEX('rangsor'!$C$2:$C$343,MATCH(D276,'rangsor'!$A$2:$A$343,0),1),"")</f>
        <v/>
      </c>
      <c r="T276" t="s">
        <v>831</v>
      </c>
      <c r="U276" t="str" cm="1">
        <f t="array" ref="U276">Határozat(D276)</f>
        <v/>
      </c>
      <c r="AC276" t="str">
        <f>IFERROR(INDEX(diakadat!$U$2:$U$50,MATCH(D276,diakadat!$J$2:$J$50),1),"")</f>
        <v/>
      </c>
      <c r="AD276" t="str">
        <f>IFERROR(INDEX(diakadat!$V$2:$V$50,MATCH(D276,diakadat!$J$2:$J$50),1),"")</f>
        <v/>
      </c>
      <c r="AE276" t="str">
        <f>IFERROR(INDEX(diakadat!$W$2:$W$50,MATCH(D276,diakadat!$J$2:$J$50),1),"")</f>
        <v/>
      </c>
      <c r="AI276" t="str">
        <f>IFERROR(INDEX(diakadat!$X$2:$X$50,MATCH(D276,diakadat!$J$2:$J$50),1),"")</f>
        <v/>
      </c>
      <c r="AK276">
        <f t="shared" si="4"/>
        <v>329</v>
      </c>
      <c r="AL276" t="str" cm="1">
        <f t="array" ref="AL276">ElsoBetuNagy(R276)</f>
        <v/>
      </c>
      <c r="AO276" t="str" cm="1">
        <f t="array" ref="AO276">DatumSzovegge5(AN276)</f>
        <v>1899.</v>
      </c>
      <c r="AP276" t="str" cm="1">
        <f t="array" ref="AP276">DatumSzovegge3(AN276)</f>
        <v>december</v>
      </c>
      <c r="AQ276" t="str" cm="1">
        <f t="array" ref="AQ276">DatumSzovegge4(AN276)</f>
        <v>30.</v>
      </c>
    </row>
    <row r="277" spans="4:43" x14ac:dyDescent="0.25">
      <c r="D277" t="str" cm="1">
        <f t="array" ref="D277">SzuressNev($B$1,ROW()-1)</f>
        <v/>
      </c>
      <c r="E277">
        <f>COUNTIF($D$2:D277,D277)</f>
        <v>256</v>
      </c>
      <c r="F277" t="str" cm="1">
        <f t="array" ref="F277">ElutasitasEgyOk2(D277,E277)</f>
        <v/>
      </c>
      <c r="G277" t="str">
        <f>IFERROR(INDEX(diakadat!$I$2:$I$50,MATCH(D277,diakadat!$J$2:$J$50,0),1),"")</f>
        <v/>
      </c>
      <c r="H277" t="str">
        <f>IFERROR(INDEX(diakadat!$O$2:$O$50,MATCH(D277,diakadat!$J$2:$J$50,0),1),"")</f>
        <v/>
      </c>
      <c r="I277" t="str">
        <f>IFERROR(INDEX(diakadat!#REF!,MATCH(D277,diakadat!$J$2:$J$50,0),1),"")</f>
        <v/>
      </c>
      <c r="J277" t="str">
        <f>IFERROR(INDEX(diakadat!$K$2:$K$50,MATCH(D277,diakadat!$J$2:$J$50,0),1),"")</f>
        <v/>
      </c>
      <c r="K277" t="str" cm="1">
        <f t="array" ref="K277">IFERROR(DatumSzovegge2(INDEX(diakadat!$L$2:$L$50,MATCH(D277,diakadat!$J$2:$J$50,0),1)),"")</f>
        <v/>
      </c>
      <c r="L277" t="str" cm="1">
        <f t="array" ref="L277">IFERROR(DatumSzovegge5(INDEX(diakadat!$L$2:$L$50,MATCH(D277,diakadat!$J$2:$J$50,0),1)),"")</f>
        <v/>
      </c>
      <c r="M277" t="str" cm="1">
        <f t="array" ref="M277">IFERROR(DatumSzovegge3(INDEX(diakadat!$L$2:$L$50,MATCH(D277,diakadat!$J$2:$J$50,0),1)),"")</f>
        <v/>
      </c>
      <c r="N277" t="str" cm="1">
        <f t="array" ref="N277">IFERROR(DatumSzovegge4(INDEX(diakadat!$L$2:$L$50,MATCH(D277,diakadat!$J$2:$J$50,0),1)),"")</f>
        <v/>
      </c>
      <c r="O277" t="str">
        <f>IFERROR(INDEX(diakadat!$R$2:$R$50,MATCH(D277,diakadat!$J$2:$J$50,0),1),"")</f>
        <v/>
      </c>
      <c r="P277" t="str">
        <f>IFERROR(INDEX(diakadat!$AI$2:$AI$50,MATCH(D277,diakadat!$J$2:$J$50,0),1),"")</f>
        <v/>
      </c>
      <c r="Q277" t="str">
        <f>IFERROR(INDEX('rangsor'!$C$2:$C$343,MATCH(D277,'rangsor'!$A$2:$A$343,0),1),"")</f>
        <v/>
      </c>
      <c r="T277" t="s">
        <v>831</v>
      </c>
      <c r="U277" t="str" cm="1">
        <f t="array" ref="U277">Határozat(D277)</f>
        <v/>
      </c>
      <c r="AC277" t="str">
        <f>IFERROR(INDEX(diakadat!$U$2:$U$50,MATCH(D277,diakadat!$J$2:$J$50),1),"")</f>
        <v/>
      </c>
      <c r="AD277" t="str">
        <f>IFERROR(INDEX(diakadat!$V$2:$V$50,MATCH(D277,diakadat!$J$2:$J$50),1),"")</f>
        <v/>
      </c>
      <c r="AE277" t="str">
        <f>IFERROR(INDEX(diakadat!$W$2:$W$50,MATCH(D277,diakadat!$J$2:$J$50),1),"")</f>
        <v/>
      </c>
      <c r="AI277" t="str">
        <f>IFERROR(INDEX(diakadat!$X$2:$X$50,MATCH(D277,diakadat!$J$2:$J$50),1),"")</f>
        <v/>
      </c>
      <c r="AK277">
        <f t="shared" si="4"/>
        <v>329</v>
      </c>
      <c r="AL277" t="str" cm="1">
        <f t="array" ref="AL277">ElsoBetuNagy(R277)</f>
        <v/>
      </c>
      <c r="AO277" t="str" cm="1">
        <f t="array" ref="AO277">DatumSzovegge5(AN277)</f>
        <v>1899.</v>
      </c>
      <c r="AP277" t="str" cm="1">
        <f t="array" ref="AP277">DatumSzovegge3(AN277)</f>
        <v>december</v>
      </c>
      <c r="AQ277" t="str" cm="1">
        <f t="array" ref="AQ277">DatumSzovegge4(AN277)</f>
        <v>30.</v>
      </c>
    </row>
    <row r="278" spans="4:43" x14ac:dyDescent="0.25">
      <c r="D278" t="str" cm="1">
        <f t="array" ref="D278">SzuressNev($B$1,ROW()-1)</f>
        <v/>
      </c>
      <c r="E278">
        <f>COUNTIF($D$2:D278,D278)</f>
        <v>257</v>
      </c>
      <c r="F278" t="str" cm="1">
        <f t="array" ref="F278">ElutasitasEgyOk2(D278,E278)</f>
        <v/>
      </c>
      <c r="G278" t="str">
        <f>IFERROR(INDEX(diakadat!$I$2:$I$50,MATCH(D278,diakadat!$J$2:$J$50,0),1),"")</f>
        <v/>
      </c>
      <c r="H278" t="str">
        <f>IFERROR(INDEX(diakadat!$O$2:$O$50,MATCH(D278,diakadat!$J$2:$J$50,0),1),"")</f>
        <v/>
      </c>
      <c r="I278" t="str">
        <f>IFERROR(INDEX(diakadat!#REF!,MATCH(D278,diakadat!$J$2:$J$50,0),1),"")</f>
        <v/>
      </c>
      <c r="J278" t="str">
        <f>IFERROR(INDEX(diakadat!$K$2:$K$50,MATCH(D278,diakadat!$J$2:$J$50,0),1),"")</f>
        <v/>
      </c>
      <c r="K278" t="str" cm="1">
        <f t="array" ref="K278">IFERROR(DatumSzovegge2(INDEX(diakadat!$L$2:$L$50,MATCH(D278,diakadat!$J$2:$J$50,0),1)),"")</f>
        <v/>
      </c>
      <c r="L278" t="str" cm="1">
        <f t="array" ref="L278">IFERROR(DatumSzovegge5(INDEX(diakadat!$L$2:$L$50,MATCH(D278,diakadat!$J$2:$J$50,0),1)),"")</f>
        <v/>
      </c>
      <c r="M278" t="str" cm="1">
        <f t="array" ref="M278">IFERROR(DatumSzovegge3(INDEX(diakadat!$L$2:$L$50,MATCH(D278,diakadat!$J$2:$J$50,0),1)),"")</f>
        <v/>
      </c>
      <c r="N278" t="str" cm="1">
        <f t="array" ref="N278">IFERROR(DatumSzovegge4(INDEX(diakadat!$L$2:$L$50,MATCH(D278,diakadat!$J$2:$J$50,0),1)),"")</f>
        <v/>
      </c>
      <c r="O278" t="str">
        <f>IFERROR(INDEX(diakadat!$R$2:$R$50,MATCH(D278,diakadat!$J$2:$J$50,0),1),"")</f>
        <v/>
      </c>
      <c r="P278" t="str">
        <f>IFERROR(INDEX(diakadat!$AI$2:$AI$50,MATCH(D278,diakadat!$J$2:$J$50,0),1),"")</f>
        <v/>
      </c>
      <c r="Q278" t="str">
        <f>IFERROR(INDEX('rangsor'!$C$2:$C$343,MATCH(D278,'rangsor'!$A$2:$A$343,0),1),"")</f>
        <v/>
      </c>
      <c r="T278" t="s">
        <v>831</v>
      </c>
      <c r="U278" t="str" cm="1">
        <f t="array" ref="U278">Határozat(D278)</f>
        <v/>
      </c>
      <c r="AC278" t="str">
        <f>IFERROR(INDEX(diakadat!$U$2:$U$50,MATCH(D278,diakadat!$J$2:$J$50),1),"")</f>
        <v/>
      </c>
      <c r="AD278" t="str">
        <f>IFERROR(INDEX(diakadat!$V$2:$V$50,MATCH(D278,diakadat!$J$2:$J$50),1),"")</f>
        <v/>
      </c>
      <c r="AE278" t="str">
        <f>IFERROR(INDEX(diakadat!$W$2:$W$50,MATCH(D278,diakadat!$J$2:$J$50),1),"")</f>
        <v/>
      </c>
      <c r="AI278" t="str">
        <f>IFERROR(INDEX(diakadat!$X$2:$X$50,MATCH(D278,diakadat!$J$2:$J$50),1),"")</f>
        <v/>
      </c>
      <c r="AK278">
        <f t="shared" si="4"/>
        <v>329</v>
      </c>
      <c r="AL278" t="str" cm="1">
        <f t="array" ref="AL278">ElsoBetuNagy(R278)</f>
        <v/>
      </c>
      <c r="AO278" t="str" cm="1">
        <f t="array" ref="AO278">DatumSzovegge5(AN278)</f>
        <v>1899.</v>
      </c>
      <c r="AP278" t="str" cm="1">
        <f t="array" ref="AP278">DatumSzovegge3(AN278)</f>
        <v>december</v>
      </c>
      <c r="AQ278" t="str" cm="1">
        <f t="array" ref="AQ278">DatumSzovegge4(AN278)</f>
        <v>30.</v>
      </c>
    </row>
    <row r="279" spans="4:43" x14ac:dyDescent="0.25">
      <c r="D279" t="str" cm="1">
        <f t="array" ref="D279">SzuressNev($B$1,ROW()-1)</f>
        <v/>
      </c>
      <c r="E279">
        <f>COUNTIF($D$2:D279,D279)</f>
        <v>258</v>
      </c>
      <c r="F279" t="str" cm="1">
        <f t="array" ref="F279">ElutasitasEgyOk2(D279,E279)</f>
        <v/>
      </c>
      <c r="G279" t="str">
        <f>IFERROR(INDEX(diakadat!$I$2:$I$50,MATCH(D279,diakadat!$J$2:$J$50,0),1),"")</f>
        <v/>
      </c>
      <c r="H279" t="str">
        <f>IFERROR(INDEX(diakadat!$O$2:$O$50,MATCH(D279,diakadat!$J$2:$J$50,0),1),"")</f>
        <v/>
      </c>
      <c r="I279" t="str">
        <f>IFERROR(INDEX(diakadat!#REF!,MATCH(D279,diakadat!$J$2:$J$50,0),1),"")</f>
        <v/>
      </c>
      <c r="J279" t="str">
        <f>IFERROR(INDEX(diakadat!$K$2:$K$50,MATCH(D279,diakadat!$J$2:$J$50,0),1),"")</f>
        <v/>
      </c>
      <c r="K279" t="str" cm="1">
        <f t="array" ref="K279">IFERROR(DatumSzovegge2(INDEX(diakadat!$L$2:$L$50,MATCH(D279,diakadat!$J$2:$J$50,0),1)),"")</f>
        <v/>
      </c>
      <c r="L279" t="str" cm="1">
        <f t="array" ref="L279">IFERROR(DatumSzovegge5(INDEX(diakadat!$L$2:$L$50,MATCH(D279,diakadat!$J$2:$J$50,0),1)),"")</f>
        <v/>
      </c>
      <c r="M279" t="str" cm="1">
        <f t="array" ref="M279">IFERROR(DatumSzovegge3(INDEX(diakadat!$L$2:$L$50,MATCH(D279,diakadat!$J$2:$J$50,0),1)),"")</f>
        <v/>
      </c>
      <c r="N279" t="str" cm="1">
        <f t="array" ref="N279">IFERROR(DatumSzovegge4(INDEX(diakadat!$L$2:$L$50,MATCH(D279,diakadat!$J$2:$J$50,0),1)),"")</f>
        <v/>
      </c>
      <c r="O279" t="str">
        <f>IFERROR(INDEX(diakadat!$R$2:$R$50,MATCH(D279,diakadat!$J$2:$J$50,0),1),"")</f>
        <v/>
      </c>
      <c r="P279" t="str">
        <f>IFERROR(INDEX(diakadat!$AI$2:$AI$50,MATCH(D279,diakadat!$J$2:$J$50,0),1),"")</f>
        <v/>
      </c>
      <c r="Q279" t="str">
        <f>IFERROR(INDEX('rangsor'!$C$2:$C$343,MATCH(D279,'rangsor'!$A$2:$A$343,0),1),"")</f>
        <v/>
      </c>
      <c r="T279" t="s">
        <v>831</v>
      </c>
      <c r="U279" t="str" cm="1">
        <f t="array" ref="U279">Határozat(D279)</f>
        <v/>
      </c>
      <c r="AC279" t="str">
        <f>IFERROR(INDEX(diakadat!$U$2:$U$50,MATCH(D279,diakadat!$J$2:$J$50),1),"")</f>
        <v/>
      </c>
      <c r="AD279" t="str">
        <f>IFERROR(INDEX(diakadat!$V$2:$V$50,MATCH(D279,diakadat!$J$2:$J$50),1),"")</f>
        <v/>
      </c>
      <c r="AE279" t="str">
        <f>IFERROR(INDEX(diakadat!$W$2:$W$50,MATCH(D279,diakadat!$J$2:$J$50),1),"")</f>
        <v/>
      </c>
      <c r="AI279" t="str">
        <f>IFERROR(INDEX(diakadat!$X$2:$X$50,MATCH(D279,diakadat!$J$2:$J$50),1),"")</f>
        <v/>
      </c>
      <c r="AK279">
        <f t="shared" si="4"/>
        <v>329</v>
      </c>
      <c r="AL279" t="str" cm="1">
        <f t="array" ref="AL279">ElsoBetuNagy(R279)</f>
        <v/>
      </c>
      <c r="AO279" t="str" cm="1">
        <f t="array" ref="AO279">DatumSzovegge5(AN279)</f>
        <v>1899.</v>
      </c>
      <c r="AP279" t="str" cm="1">
        <f t="array" ref="AP279">DatumSzovegge3(AN279)</f>
        <v>december</v>
      </c>
      <c r="AQ279" t="str" cm="1">
        <f t="array" ref="AQ279">DatumSzovegge4(AN279)</f>
        <v>30.</v>
      </c>
    </row>
    <row r="280" spans="4:43" x14ac:dyDescent="0.25">
      <c r="D280" t="str" cm="1">
        <f t="array" ref="D280">SzuressNev($B$1,ROW()-1)</f>
        <v/>
      </c>
      <c r="E280">
        <f>COUNTIF($D$2:D280,D280)</f>
        <v>259</v>
      </c>
      <c r="F280" t="str" cm="1">
        <f t="array" ref="F280">ElutasitasEgyOk2(D280,E280)</f>
        <v/>
      </c>
      <c r="G280" t="str">
        <f>IFERROR(INDEX(diakadat!$I$2:$I$50,MATCH(D280,diakadat!$J$2:$J$50,0),1),"")</f>
        <v/>
      </c>
      <c r="H280" t="str">
        <f>IFERROR(INDEX(diakadat!$O$2:$O$50,MATCH(D280,diakadat!$J$2:$J$50,0),1),"")</f>
        <v/>
      </c>
      <c r="I280" t="str">
        <f>IFERROR(INDEX(diakadat!#REF!,MATCH(D280,diakadat!$J$2:$J$50,0),1),"")</f>
        <v/>
      </c>
      <c r="J280" t="str">
        <f>IFERROR(INDEX(diakadat!$K$2:$K$50,MATCH(D280,diakadat!$J$2:$J$50,0),1),"")</f>
        <v/>
      </c>
      <c r="K280" t="str" cm="1">
        <f t="array" ref="K280">IFERROR(DatumSzovegge2(INDEX(diakadat!$L$2:$L$50,MATCH(D280,diakadat!$J$2:$J$50,0),1)),"")</f>
        <v/>
      </c>
      <c r="L280" t="str" cm="1">
        <f t="array" ref="L280">IFERROR(DatumSzovegge5(INDEX(diakadat!$L$2:$L$50,MATCH(D280,diakadat!$J$2:$J$50,0),1)),"")</f>
        <v/>
      </c>
      <c r="M280" t="str" cm="1">
        <f t="array" ref="M280">IFERROR(DatumSzovegge3(INDEX(diakadat!$L$2:$L$50,MATCH(D280,diakadat!$J$2:$J$50,0),1)),"")</f>
        <v/>
      </c>
      <c r="N280" t="str" cm="1">
        <f t="array" ref="N280">IFERROR(DatumSzovegge4(INDEX(diakadat!$L$2:$L$50,MATCH(D280,diakadat!$J$2:$J$50,0),1)),"")</f>
        <v/>
      </c>
      <c r="O280" t="str">
        <f>IFERROR(INDEX(diakadat!$R$2:$R$50,MATCH(D280,diakadat!$J$2:$J$50,0),1),"")</f>
        <v/>
      </c>
      <c r="P280" t="str">
        <f>IFERROR(INDEX(diakadat!$AI$2:$AI$50,MATCH(D280,diakadat!$J$2:$J$50,0),1),"")</f>
        <v/>
      </c>
      <c r="Q280" t="str">
        <f>IFERROR(INDEX('rangsor'!$C$2:$C$343,MATCH(D280,'rangsor'!$A$2:$A$343,0),1),"")</f>
        <v/>
      </c>
      <c r="T280" t="s">
        <v>831</v>
      </c>
      <c r="U280" t="str" cm="1">
        <f t="array" ref="U280">Határozat(D280)</f>
        <v/>
      </c>
      <c r="AC280" t="str">
        <f>IFERROR(INDEX(diakadat!$U$2:$U$50,MATCH(D280,diakadat!$J$2:$J$50),1),"")</f>
        <v/>
      </c>
      <c r="AD280" t="str">
        <f>IFERROR(INDEX(diakadat!$V$2:$V$50,MATCH(D280,diakadat!$J$2:$J$50),1),"")</f>
        <v/>
      </c>
      <c r="AE280" t="str">
        <f>IFERROR(INDEX(diakadat!$W$2:$W$50,MATCH(D280,diakadat!$J$2:$J$50),1),"")</f>
        <v/>
      </c>
      <c r="AI280" t="str">
        <f>IFERROR(INDEX(diakadat!$X$2:$X$50,MATCH(D280,diakadat!$J$2:$J$50),1),"")</f>
        <v/>
      </c>
      <c r="AK280">
        <f t="shared" si="4"/>
        <v>329</v>
      </c>
      <c r="AL280" t="str" cm="1">
        <f t="array" ref="AL280">ElsoBetuNagy(R280)</f>
        <v/>
      </c>
      <c r="AO280" t="str" cm="1">
        <f t="array" ref="AO280">DatumSzovegge5(AN280)</f>
        <v>1899.</v>
      </c>
      <c r="AP280" t="str" cm="1">
        <f t="array" ref="AP280">DatumSzovegge3(AN280)</f>
        <v>december</v>
      </c>
      <c r="AQ280" t="str" cm="1">
        <f t="array" ref="AQ280">DatumSzovegge4(AN280)</f>
        <v>30.</v>
      </c>
    </row>
    <row r="281" spans="4:43" x14ac:dyDescent="0.25">
      <c r="D281" t="str" cm="1">
        <f t="array" ref="D281">SzuressNev($B$1,ROW()-1)</f>
        <v/>
      </c>
      <c r="E281">
        <f>COUNTIF($D$2:D281,D281)</f>
        <v>260</v>
      </c>
      <c r="F281" t="str" cm="1">
        <f t="array" ref="F281">ElutasitasEgyOk2(D281,E281)</f>
        <v/>
      </c>
      <c r="G281" t="str">
        <f>IFERROR(INDEX(diakadat!$I$2:$I$50,MATCH(D281,diakadat!$J$2:$J$50,0),1),"")</f>
        <v/>
      </c>
      <c r="H281" t="str">
        <f>IFERROR(INDEX(diakadat!$O$2:$O$50,MATCH(D281,diakadat!$J$2:$J$50,0),1),"")</f>
        <v/>
      </c>
      <c r="I281" t="str">
        <f>IFERROR(INDEX(diakadat!#REF!,MATCH(D281,diakadat!$J$2:$J$50,0),1),"")</f>
        <v/>
      </c>
      <c r="J281" t="str">
        <f>IFERROR(INDEX(diakadat!$K$2:$K$50,MATCH(D281,diakadat!$J$2:$J$50,0),1),"")</f>
        <v/>
      </c>
      <c r="K281" t="str" cm="1">
        <f t="array" ref="K281">IFERROR(DatumSzovegge2(INDEX(diakadat!$L$2:$L$50,MATCH(D281,diakadat!$J$2:$J$50,0),1)),"")</f>
        <v/>
      </c>
      <c r="L281" t="str" cm="1">
        <f t="array" ref="L281">IFERROR(DatumSzovegge5(INDEX(diakadat!$L$2:$L$50,MATCH(D281,diakadat!$J$2:$J$50,0),1)),"")</f>
        <v/>
      </c>
      <c r="M281" t="str" cm="1">
        <f t="array" ref="M281">IFERROR(DatumSzovegge3(INDEX(diakadat!$L$2:$L$50,MATCH(D281,diakadat!$J$2:$J$50,0),1)),"")</f>
        <v/>
      </c>
      <c r="N281" t="str" cm="1">
        <f t="array" ref="N281">IFERROR(DatumSzovegge4(INDEX(diakadat!$L$2:$L$50,MATCH(D281,diakadat!$J$2:$J$50,0),1)),"")</f>
        <v/>
      </c>
      <c r="O281" t="str">
        <f>IFERROR(INDEX(diakadat!$R$2:$R$50,MATCH(D281,diakadat!$J$2:$J$50,0),1),"")</f>
        <v/>
      </c>
      <c r="P281" t="str">
        <f>IFERROR(INDEX(diakadat!$AI$2:$AI$50,MATCH(D281,diakadat!$J$2:$J$50,0),1),"")</f>
        <v/>
      </c>
      <c r="Q281" t="str">
        <f>IFERROR(INDEX('rangsor'!$C$2:$C$343,MATCH(D281,'rangsor'!$A$2:$A$343,0),1),"")</f>
        <v/>
      </c>
      <c r="T281" t="s">
        <v>831</v>
      </c>
      <c r="U281" t="str" cm="1">
        <f t="array" ref="U281">Határozat(D281)</f>
        <v/>
      </c>
      <c r="AC281" t="str">
        <f>IFERROR(INDEX(diakadat!$U$2:$U$50,MATCH(D281,diakadat!$J$2:$J$50),1),"")</f>
        <v/>
      </c>
      <c r="AD281" t="str">
        <f>IFERROR(INDEX(diakadat!$V$2:$V$50,MATCH(D281,diakadat!$J$2:$J$50),1),"")</f>
        <v/>
      </c>
      <c r="AE281" t="str">
        <f>IFERROR(INDEX(diakadat!$W$2:$W$50,MATCH(D281,diakadat!$J$2:$J$50),1),"")</f>
        <v/>
      </c>
      <c r="AI281" t="str">
        <f>IFERROR(INDEX(diakadat!$X$2:$X$50,MATCH(D281,diakadat!$J$2:$J$50),1),"")</f>
        <v/>
      </c>
      <c r="AK281">
        <f t="shared" si="4"/>
        <v>329</v>
      </c>
      <c r="AL281" t="str" cm="1">
        <f t="array" ref="AL281">ElsoBetuNagy(R281)</f>
        <v/>
      </c>
      <c r="AO281" t="str" cm="1">
        <f t="array" ref="AO281">DatumSzovegge5(AN281)</f>
        <v>1899.</v>
      </c>
      <c r="AP281" t="str" cm="1">
        <f t="array" ref="AP281">DatumSzovegge3(AN281)</f>
        <v>december</v>
      </c>
      <c r="AQ281" t="str" cm="1">
        <f t="array" ref="AQ281">DatumSzovegge4(AN281)</f>
        <v>30.</v>
      </c>
    </row>
    <row r="282" spans="4:43" x14ac:dyDescent="0.25">
      <c r="D282" t="str" cm="1">
        <f t="array" ref="D282">SzuressNev($B$1,ROW()-1)</f>
        <v/>
      </c>
      <c r="E282">
        <f>COUNTIF($D$2:D282,D282)</f>
        <v>261</v>
      </c>
      <c r="F282" t="str" cm="1">
        <f t="array" ref="F282">ElutasitasEgyOk2(D282,E282)</f>
        <v/>
      </c>
      <c r="G282" t="str">
        <f>IFERROR(INDEX(diakadat!$I$2:$I$50,MATCH(D282,diakadat!$J$2:$J$50,0),1),"")</f>
        <v/>
      </c>
      <c r="H282" t="str">
        <f>IFERROR(INDEX(diakadat!$O$2:$O$50,MATCH(D282,diakadat!$J$2:$J$50,0),1),"")</f>
        <v/>
      </c>
      <c r="I282" t="str">
        <f>IFERROR(INDEX(diakadat!#REF!,MATCH(D282,diakadat!$J$2:$J$50,0),1),"")</f>
        <v/>
      </c>
      <c r="J282" t="str">
        <f>IFERROR(INDEX(diakadat!$K$2:$K$50,MATCH(D282,diakadat!$J$2:$J$50,0),1),"")</f>
        <v/>
      </c>
      <c r="K282" t="str" cm="1">
        <f t="array" ref="K282">IFERROR(DatumSzovegge2(INDEX(diakadat!$L$2:$L$50,MATCH(D282,diakadat!$J$2:$J$50,0),1)),"")</f>
        <v/>
      </c>
      <c r="L282" t="str" cm="1">
        <f t="array" ref="L282">IFERROR(DatumSzovegge5(INDEX(diakadat!$L$2:$L$50,MATCH(D282,diakadat!$J$2:$J$50,0),1)),"")</f>
        <v/>
      </c>
      <c r="M282" t="str" cm="1">
        <f t="array" ref="M282">IFERROR(DatumSzovegge3(INDEX(diakadat!$L$2:$L$50,MATCH(D282,diakadat!$J$2:$J$50,0),1)),"")</f>
        <v/>
      </c>
      <c r="N282" t="str" cm="1">
        <f t="array" ref="N282">IFERROR(DatumSzovegge4(INDEX(diakadat!$L$2:$L$50,MATCH(D282,diakadat!$J$2:$J$50,0),1)),"")</f>
        <v/>
      </c>
      <c r="O282" t="str">
        <f>IFERROR(INDEX(diakadat!$R$2:$R$50,MATCH(D282,diakadat!$J$2:$J$50,0),1),"")</f>
        <v/>
      </c>
      <c r="P282" t="str">
        <f>IFERROR(INDEX(diakadat!$AI$2:$AI$50,MATCH(D282,diakadat!$J$2:$J$50,0),1),"")</f>
        <v/>
      </c>
      <c r="Q282" t="str">
        <f>IFERROR(INDEX('rangsor'!$C$2:$C$343,MATCH(D282,'rangsor'!$A$2:$A$343,0),1),"")</f>
        <v/>
      </c>
      <c r="T282" t="s">
        <v>831</v>
      </c>
      <c r="U282" t="str" cm="1">
        <f t="array" ref="U282">Határozat(D282)</f>
        <v/>
      </c>
      <c r="AC282" t="str">
        <f>IFERROR(INDEX(diakadat!$U$2:$U$50,MATCH(D282,diakadat!$J$2:$J$50),1),"")</f>
        <v/>
      </c>
      <c r="AD282" t="str">
        <f>IFERROR(INDEX(diakadat!$V$2:$V$50,MATCH(D282,diakadat!$J$2:$J$50),1),"")</f>
        <v/>
      </c>
      <c r="AE282" t="str">
        <f>IFERROR(INDEX(diakadat!$W$2:$W$50,MATCH(D282,diakadat!$J$2:$J$50),1),"")</f>
        <v/>
      </c>
      <c r="AI282" t="str">
        <f>IFERROR(INDEX(diakadat!$X$2:$X$50,MATCH(D282,diakadat!$J$2:$J$50),1),"")</f>
        <v/>
      </c>
      <c r="AK282">
        <f t="shared" si="4"/>
        <v>329</v>
      </c>
      <c r="AL282" t="str" cm="1">
        <f t="array" ref="AL282">ElsoBetuNagy(R282)</f>
        <v/>
      </c>
      <c r="AO282" t="str" cm="1">
        <f t="array" ref="AO282">DatumSzovegge5(AN282)</f>
        <v>1899.</v>
      </c>
      <c r="AP282" t="str" cm="1">
        <f t="array" ref="AP282">DatumSzovegge3(AN282)</f>
        <v>december</v>
      </c>
      <c r="AQ282" t="str" cm="1">
        <f t="array" ref="AQ282">DatumSzovegge4(AN282)</f>
        <v>30.</v>
      </c>
    </row>
    <row r="283" spans="4:43" x14ac:dyDescent="0.25">
      <c r="D283" t="str" cm="1">
        <f t="array" ref="D283">SzuressNev($B$1,ROW()-1)</f>
        <v/>
      </c>
      <c r="E283">
        <f>COUNTIF($D$2:D283,D283)</f>
        <v>262</v>
      </c>
      <c r="F283" t="str" cm="1">
        <f t="array" ref="F283">ElutasitasEgyOk2(D283,E283)</f>
        <v/>
      </c>
      <c r="G283" t="str">
        <f>IFERROR(INDEX(diakadat!$I$2:$I$50,MATCH(D283,diakadat!$J$2:$J$50,0),1),"")</f>
        <v/>
      </c>
      <c r="H283" t="str">
        <f>IFERROR(INDEX(diakadat!$O$2:$O$50,MATCH(D283,diakadat!$J$2:$J$50,0),1),"")</f>
        <v/>
      </c>
      <c r="I283" t="str">
        <f>IFERROR(INDEX(diakadat!#REF!,MATCH(D283,diakadat!$J$2:$J$50,0),1),"")</f>
        <v/>
      </c>
      <c r="J283" t="str">
        <f>IFERROR(INDEX(diakadat!$K$2:$K$50,MATCH(D283,diakadat!$J$2:$J$50,0),1),"")</f>
        <v/>
      </c>
      <c r="K283" t="str" cm="1">
        <f t="array" ref="K283">IFERROR(DatumSzovegge2(INDEX(diakadat!$L$2:$L$50,MATCH(D283,diakadat!$J$2:$J$50,0),1)),"")</f>
        <v/>
      </c>
      <c r="L283" t="str" cm="1">
        <f t="array" ref="L283">IFERROR(DatumSzovegge5(INDEX(diakadat!$L$2:$L$50,MATCH(D283,diakadat!$J$2:$J$50,0),1)),"")</f>
        <v/>
      </c>
      <c r="M283" t="str" cm="1">
        <f t="array" ref="M283">IFERROR(DatumSzovegge3(INDEX(diakadat!$L$2:$L$50,MATCH(D283,diakadat!$J$2:$J$50,0),1)),"")</f>
        <v/>
      </c>
      <c r="N283" t="str" cm="1">
        <f t="array" ref="N283">IFERROR(DatumSzovegge4(INDEX(diakadat!$L$2:$L$50,MATCH(D283,diakadat!$J$2:$J$50,0),1)),"")</f>
        <v/>
      </c>
      <c r="O283" t="str">
        <f>IFERROR(INDEX(diakadat!$R$2:$R$50,MATCH(D283,diakadat!$J$2:$J$50,0),1),"")</f>
        <v/>
      </c>
      <c r="P283" t="str">
        <f>IFERROR(INDEX(diakadat!$AI$2:$AI$50,MATCH(D283,diakadat!$J$2:$J$50,0),1),"")</f>
        <v/>
      </c>
      <c r="Q283" t="str">
        <f>IFERROR(INDEX('rangsor'!$C$2:$C$343,MATCH(D283,'rangsor'!$A$2:$A$343,0),1),"")</f>
        <v/>
      </c>
      <c r="T283" t="s">
        <v>831</v>
      </c>
      <c r="U283" t="str" cm="1">
        <f t="array" ref="U283">Határozat(D283)</f>
        <v/>
      </c>
      <c r="AC283" t="str">
        <f>IFERROR(INDEX(diakadat!$U$2:$U$50,MATCH(D283,diakadat!$J$2:$J$50),1),"")</f>
        <v/>
      </c>
      <c r="AD283" t="str">
        <f>IFERROR(INDEX(diakadat!$V$2:$V$50,MATCH(D283,diakadat!$J$2:$J$50),1),"")</f>
        <v/>
      </c>
      <c r="AE283" t="str">
        <f>IFERROR(INDEX(diakadat!$W$2:$W$50,MATCH(D283,diakadat!$J$2:$J$50),1),"")</f>
        <v/>
      </c>
      <c r="AI283" t="str">
        <f>IFERROR(INDEX(diakadat!$X$2:$X$50,MATCH(D283,diakadat!$J$2:$J$50),1),"")</f>
        <v/>
      </c>
      <c r="AK283">
        <f t="shared" si="4"/>
        <v>329</v>
      </c>
      <c r="AL283" t="str" cm="1">
        <f t="array" ref="AL283">ElsoBetuNagy(R283)</f>
        <v/>
      </c>
      <c r="AO283" t="str" cm="1">
        <f t="array" ref="AO283">DatumSzovegge5(AN283)</f>
        <v>1899.</v>
      </c>
      <c r="AP283" t="str" cm="1">
        <f t="array" ref="AP283">DatumSzovegge3(AN283)</f>
        <v>december</v>
      </c>
      <c r="AQ283" t="str" cm="1">
        <f t="array" ref="AQ283">DatumSzovegge4(AN283)</f>
        <v>30.</v>
      </c>
    </row>
    <row r="284" spans="4:43" x14ac:dyDescent="0.25">
      <c r="D284" t="str" cm="1">
        <f t="array" ref="D284">SzuressNev($B$1,ROW()-1)</f>
        <v/>
      </c>
      <c r="E284">
        <f>COUNTIF($D$2:D284,D284)</f>
        <v>263</v>
      </c>
      <c r="F284" t="str" cm="1">
        <f t="array" ref="F284">ElutasitasEgyOk2(D284,E284)</f>
        <v/>
      </c>
      <c r="G284" t="str">
        <f>IFERROR(INDEX(diakadat!$I$2:$I$50,MATCH(D284,diakadat!$J$2:$J$50,0),1),"")</f>
        <v/>
      </c>
      <c r="H284" t="str">
        <f>IFERROR(INDEX(diakadat!$O$2:$O$50,MATCH(D284,diakadat!$J$2:$J$50,0),1),"")</f>
        <v/>
      </c>
      <c r="I284" t="str">
        <f>IFERROR(INDEX(diakadat!#REF!,MATCH(D284,diakadat!$J$2:$J$50,0),1),"")</f>
        <v/>
      </c>
      <c r="J284" t="str">
        <f>IFERROR(INDEX(diakadat!$K$2:$K$50,MATCH(D284,diakadat!$J$2:$J$50,0),1),"")</f>
        <v/>
      </c>
      <c r="K284" t="str" cm="1">
        <f t="array" ref="K284">IFERROR(DatumSzovegge2(INDEX(diakadat!$L$2:$L$50,MATCH(D284,diakadat!$J$2:$J$50,0),1)),"")</f>
        <v/>
      </c>
      <c r="L284" t="str" cm="1">
        <f t="array" ref="L284">IFERROR(DatumSzovegge5(INDEX(diakadat!$L$2:$L$50,MATCH(D284,diakadat!$J$2:$J$50,0),1)),"")</f>
        <v/>
      </c>
      <c r="M284" t="str" cm="1">
        <f t="array" ref="M284">IFERROR(DatumSzovegge3(INDEX(diakadat!$L$2:$L$50,MATCH(D284,diakadat!$J$2:$J$50,0),1)),"")</f>
        <v/>
      </c>
      <c r="N284" t="str" cm="1">
        <f t="array" ref="N284">IFERROR(DatumSzovegge4(INDEX(diakadat!$L$2:$L$50,MATCH(D284,diakadat!$J$2:$J$50,0),1)),"")</f>
        <v/>
      </c>
      <c r="O284" t="str">
        <f>IFERROR(INDEX(diakadat!$R$2:$R$50,MATCH(D284,diakadat!$J$2:$J$50,0),1),"")</f>
        <v/>
      </c>
      <c r="P284" t="str">
        <f>IFERROR(INDEX(diakadat!$AI$2:$AI$50,MATCH(D284,diakadat!$J$2:$J$50,0),1),"")</f>
        <v/>
      </c>
      <c r="Q284" t="str">
        <f>IFERROR(INDEX('rangsor'!$C$2:$C$343,MATCH(D284,'rangsor'!$A$2:$A$343,0),1),"")</f>
        <v/>
      </c>
      <c r="T284" t="s">
        <v>831</v>
      </c>
      <c r="U284" t="str" cm="1">
        <f t="array" ref="U284">Határozat(D284)</f>
        <v/>
      </c>
      <c r="AC284" t="str">
        <f>IFERROR(INDEX(diakadat!$U$2:$U$50,MATCH(D284,diakadat!$J$2:$J$50),1),"")</f>
        <v/>
      </c>
      <c r="AD284" t="str">
        <f>IFERROR(INDEX(diakadat!$V$2:$V$50,MATCH(D284,diakadat!$J$2:$J$50),1),"")</f>
        <v/>
      </c>
      <c r="AE284" t="str">
        <f>IFERROR(INDEX(diakadat!$W$2:$W$50,MATCH(D284,diakadat!$J$2:$J$50),1),"")</f>
        <v/>
      </c>
      <c r="AI284" t="str">
        <f>IFERROR(INDEX(diakadat!$X$2:$X$50,MATCH(D284,diakadat!$J$2:$J$50),1),"")</f>
        <v/>
      </c>
      <c r="AK284">
        <f t="shared" si="4"/>
        <v>329</v>
      </c>
      <c r="AL284" t="str" cm="1">
        <f t="array" ref="AL284">ElsoBetuNagy(R284)</f>
        <v/>
      </c>
      <c r="AO284" t="str" cm="1">
        <f t="array" ref="AO284">DatumSzovegge5(AN284)</f>
        <v>1899.</v>
      </c>
      <c r="AP284" t="str" cm="1">
        <f t="array" ref="AP284">DatumSzovegge3(AN284)</f>
        <v>december</v>
      </c>
      <c r="AQ284" t="str" cm="1">
        <f t="array" ref="AQ284">DatumSzovegge4(AN284)</f>
        <v>30.</v>
      </c>
    </row>
    <row r="285" spans="4:43" x14ac:dyDescent="0.25">
      <c r="D285" t="str" cm="1">
        <f t="array" ref="D285">SzuressNev($B$1,ROW()-1)</f>
        <v/>
      </c>
      <c r="E285">
        <f>COUNTIF($D$2:D285,D285)</f>
        <v>264</v>
      </c>
      <c r="F285" t="str" cm="1">
        <f t="array" ref="F285">ElutasitasEgyOk2(D285,E285)</f>
        <v/>
      </c>
      <c r="G285" t="str">
        <f>IFERROR(INDEX(diakadat!$I$2:$I$50,MATCH(D285,diakadat!$J$2:$J$50,0),1),"")</f>
        <v/>
      </c>
      <c r="H285" t="str">
        <f>IFERROR(INDEX(diakadat!$O$2:$O$50,MATCH(D285,diakadat!$J$2:$J$50,0),1),"")</f>
        <v/>
      </c>
      <c r="I285" t="str">
        <f>IFERROR(INDEX(diakadat!#REF!,MATCH(D285,diakadat!$J$2:$J$50,0),1),"")</f>
        <v/>
      </c>
      <c r="J285" t="str">
        <f>IFERROR(INDEX(diakadat!$K$2:$K$50,MATCH(D285,diakadat!$J$2:$J$50,0),1),"")</f>
        <v/>
      </c>
      <c r="K285" t="str" cm="1">
        <f t="array" ref="K285">IFERROR(DatumSzovegge2(INDEX(diakadat!$L$2:$L$50,MATCH(D285,diakadat!$J$2:$J$50,0),1)),"")</f>
        <v/>
      </c>
      <c r="L285" t="str" cm="1">
        <f t="array" ref="L285">IFERROR(DatumSzovegge5(INDEX(diakadat!$L$2:$L$50,MATCH(D285,diakadat!$J$2:$J$50,0),1)),"")</f>
        <v/>
      </c>
      <c r="M285" t="str" cm="1">
        <f t="array" ref="M285">IFERROR(DatumSzovegge3(INDEX(diakadat!$L$2:$L$50,MATCH(D285,diakadat!$J$2:$J$50,0),1)),"")</f>
        <v/>
      </c>
      <c r="N285" t="str" cm="1">
        <f t="array" ref="N285">IFERROR(DatumSzovegge4(INDEX(diakadat!$L$2:$L$50,MATCH(D285,diakadat!$J$2:$J$50,0),1)),"")</f>
        <v/>
      </c>
      <c r="O285" t="str">
        <f>IFERROR(INDEX(diakadat!$R$2:$R$50,MATCH(D285,diakadat!$J$2:$J$50,0),1),"")</f>
        <v/>
      </c>
      <c r="P285" t="str">
        <f>IFERROR(INDEX(diakadat!$AI$2:$AI$50,MATCH(D285,diakadat!$J$2:$J$50,0),1),"")</f>
        <v/>
      </c>
      <c r="Q285" t="str">
        <f>IFERROR(INDEX('rangsor'!$C$2:$C$343,MATCH(D285,'rangsor'!$A$2:$A$343,0),1),"")</f>
        <v/>
      </c>
      <c r="T285" t="s">
        <v>831</v>
      </c>
      <c r="U285" t="str" cm="1">
        <f t="array" ref="U285">Határozat(D285)</f>
        <v/>
      </c>
      <c r="AC285" t="str">
        <f>IFERROR(INDEX(diakadat!$U$2:$U$50,MATCH(D285,diakadat!$J$2:$J$50),1),"")</f>
        <v/>
      </c>
      <c r="AD285" t="str">
        <f>IFERROR(INDEX(diakadat!$V$2:$V$50,MATCH(D285,diakadat!$J$2:$J$50),1),"")</f>
        <v/>
      </c>
      <c r="AE285" t="str">
        <f>IFERROR(INDEX(diakadat!$W$2:$W$50,MATCH(D285,diakadat!$J$2:$J$50),1),"")</f>
        <v/>
      </c>
      <c r="AI285" t="str">
        <f>IFERROR(INDEX(diakadat!$X$2:$X$50,MATCH(D285,diakadat!$J$2:$J$50),1),"")</f>
        <v/>
      </c>
      <c r="AK285">
        <f t="shared" si="4"/>
        <v>329</v>
      </c>
      <c r="AL285" t="str" cm="1">
        <f t="array" ref="AL285">ElsoBetuNagy(R285)</f>
        <v/>
      </c>
      <c r="AO285" t="str" cm="1">
        <f t="array" ref="AO285">DatumSzovegge5(AN285)</f>
        <v>1899.</v>
      </c>
      <c r="AP285" t="str" cm="1">
        <f t="array" ref="AP285">DatumSzovegge3(AN285)</f>
        <v>december</v>
      </c>
      <c r="AQ285" t="str" cm="1">
        <f t="array" ref="AQ285">DatumSzovegge4(AN285)</f>
        <v>30.</v>
      </c>
    </row>
    <row r="286" spans="4:43" x14ac:dyDescent="0.25">
      <c r="D286" t="str" cm="1">
        <f t="array" ref="D286">SzuressNev($B$1,ROW()-1)</f>
        <v/>
      </c>
      <c r="E286">
        <f>COUNTIF($D$2:D286,D286)</f>
        <v>265</v>
      </c>
      <c r="F286" t="str" cm="1">
        <f t="array" ref="F286">ElutasitasEgyOk2(D286,E286)</f>
        <v/>
      </c>
      <c r="G286" t="str">
        <f>IFERROR(INDEX(diakadat!$I$2:$I$50,MATCH(D286,diakadat!$J$2:$J$50,0),1),"")</f>
        <v/>
      </c>
      <c r="H286" t="str">
        <f>IFERROR(INDEX(diakadat!$O$2:$O$50,MATCH(D286,diakadat!$J$2:$J$50,0),1),"")</f>
        <v/>
      </c>
      <c r="I286" t="str">
        <f>IFERROR(INDEX(diakadat!#REF!,MATCH(D286,diakadat!$J$2:$J$50,0),1),"")</f>
        <v/>
      </c>
      <c r="J286" t="str">
        <f>IFERROR(INDEX(diakadat!$K$2:$K$50,MATCH(D286,diakadat!$J$2:$J$50,0),1),"")</f>
        <v/>
      </c>
      <c r="K286" t="str" cm="1">
        <f t="array" ref="K286">IFERROR(DatumSzovegge2(INDEX(diakadat!$L$2:$L$50,MATCH(D286,diakadat!$J$2:$J$50,0),1)),"")</f>
        <v/>
      </c>
      <c r="L286" t="str" cm="1">
        <f t="array" ref="L286">IFERROR(DatumSzovegge5(INDEX(diakadat!$L$2:$L$50,MATCH(D286,diakadat!$J$2:$J$50,0),1)),"")</f>
        <v/>
      </c>
      <c r="M286" t="str" cm="1">
        <f t="array" ref="M286">IFERROR(DatumSzovegge3(INDEX(diakadat!$L$2:$L$50,MATCH(D286,diakadat!$J$2:$J$50,0),1)),"")</f>
        <v/>
      </c>
      <c r="N286" t="str" cm="1">
        <f t="array" ref="N286">IFERROR(DatumSzovegge4(INDEX(diakadat!$L$2:$L$50,MATCH(D286,diakadat!$J$2:$J$50,0),1)),"")</f>
        <v/>
      </c>
      <c r="O286" t="str">
        <f>IFERROR(INDEX(diakadat!$R$2:$R$50,MATCH(D286,diakadat!$J$2:$J$50,0),1),"")</f>
        <v/>
      </c>
      <c r="P286" t="str">
        <f>IFERROR(INDEX(diakadat!$AI$2:$AI$50,MATCH(D286,diakadat!$J$2:$J$50,0),1),"")</f>
        <v/>
      </c>
      <c r="Q286" t="str">
        <f>IFERROR(INDEX('rangsor'!$C$2:$C$343,MATCH(D286,'rangsor'!$A$2:$A$343,0),1),"")</f>
        <v/>
      </c>
      <c r="T286" t="s">
        <v>831</v>
      </c>
      <c r="U286" t="str" cm="1">
        <f t="array" ref="U286">Határozat(D286)</f>
        <v/>
      </c>
      <c r="AC286" t="str">
        <f>IFERROR(INDEX(diakadat!$U$2:$U$50,MATCH(D286,diakadat!$J$2:$J$50),1),"")</f>
        <v/>
      </c>
      <c r="AD286" t="str">
        <f>IFERROR(INDEX(diakadat!$V$2:$V$50,MATCH(D286,diakadat!$J$2:$J$50),1),"")</f>
        <v/>
      </c>
      <c r="AE286" t="str">
        <f>IFERROR(INDEX(diakadat!$W$2:$W$50,MATCH(D286,diakadat!$J$2:$J$50),1),"")</f>
        <v/>
      </c>
      <c r="AI286" t="str">
        <f>IFERROR(INDEX(diakadat!$X$2:$X$50,MATCH(D286,diakadat!$J$2:$J$50),1),"")</f>
        <v/>
      </c>
      <c r="AK286">
        <f t="shared" si="4"/>
        <v>329</v>
      </c>
      <c r="AL286" t="str" cm="1">
        <f t="array" ref="AL286">ElsoBetuNagy(R286)</f>
        <v/>
      </c>
      <c r="AO286" t="str" cm="1">
        <f t="array" ref="AO286">DatumSzovegge5(AN286)</f>
        <v>1899.</v>
      </c>
      <c r="AP286" t="str" cm="1">
        <f t="array" ref="AP286">DatumSzovegge3(AN286)</f>
        <v>december</v>
      </c>
      <c r="AQ286" t="str" cm="1">
        <f t="array" ref="AQ286">DatumSzovegge4(AN286)</f>
        <v>30.</v>
      </c>
    </row>
    <row r="287" spans="4:43" x14ac:dyDescent="0.25">
      <c r="D287" t="str" cm="1">
        <f t="array" ref="D287">SzuressNev($B$1,ROW()-1)</f>
        <v/>
      </c>
      <c r="E287">
        <f>COUNTIF($D$2:D287,D287)</f>
        <v>266</v>
      </c>
      <c r="F287" t="str" cm="1">
        <f t="array" ref="F287">ElutasitasEgyOk2(D287,E287)</f>
        <v/>
      </c>
      <c r="G287" t="str">
        <f>IFERROR(INDEX(diakadat!$I$2:$I$50,MATCH(D287,diakadat!$J$2:$J$50,0),1),"")</f>
        <v/>
      </c>
      <c r="H287" t="str">
        <f>IFERROR(INDEX(diakadat!$O$2:$O$50,MATCH(D287,diakadat!$J$2:$J$50,0),1),"")</f>
        <v/>
      </c>
      <c r="I287" t="str">
        <f>IFERROR(INDEX(diakadat!#REF!,MATCH(D287,diakadat!$J$2:$J$50,0),1),"")</f>
        <v/>
      </c>
      <c r="J287" t="str">
        <f>IFERROR(INDEX(diakadat!$K$2:$K$50,MATCH(D287,diakadat!$J$2:$J$50,0),1),"")</f>
        <v/>
      </c>
      <c r="K287" t="str" cm="1">
        <f t="array" ref="K287">IFERROR(DatumSzovegge2(INDEX(diakadat!$L$2:$L$50,MATCH(D287,diakadat!$J$2:$J$50,0),1)),"")</f>
        <v/>
      </c>
      <c r="L287" t="str" cm="1">
        <f t="array" ref="L287">IFERROR(DatumSzovegge5(INDEX(diakadat!$L$2:$L$50,MATCH(D287,diakadat!$J$2:$J$50,0),1)),"")</f>
        <v/>
      </c>
      <c r="M287" t="str" cm="1">
        <f t="array" ref="M287">IFERROR(DatumSzovegge3(INDEX(diakadat!$L$2:$L$50,MATCH(D287,diakadat!$J$2:$J$50,0),1)),"")</f>
        <v/>
      </c>
      <c r="N287" t="str" cm="1">
        <f t="array" ref="N287">IFERROR(DatumSzovegge4(INDEX(diakadat!$L$2:$L$50,MATCH(D287,diakadat!$J$2:$J$50,0),1)),"")</f>
        <v/>
      </c>
      <c r="O287" t="str">
        <f>IFERROR(INDEX(diakadat!$R$2:$R$50,MATCH(D287,diakadat!$J$2:$J$50,0),1),"")</f>
        <v/>
      </c>
      <c r="P287" t="str">
        <f>IFERROR(INDEX(diakadat!$AI$2:$AI$50,MATCH(D287,diakadat!$J$2:$J$50,0),1),"")</f>
        <v/>
      </c>
      <c r="Q287" t="str">
        <f>IFERROR(INDEX('rangsor'!$C$2:$C$343,MATCH(D287,'rangsor'!$A$2:$A$343,0),1),"")</f>
        <v/>
      </c>
      <c r="T287" t="s">
        <v>831</v>
      </c>
      <c r="U287" t="str" cm="1">
        <f t="array" ref="U287">Határozat(D287)</f>
        <v/>
      </c>
      <c r="AC287" t="str">
        <f>IFERROR(INDEX(diakadat!$U$2:$U$50,MATCH(D287,diakadat!$J$2:$J$50),1),"")</f>
        <v/>
      </c>
      <c r="AD287" t="str">
        <f>IFERROR(INDEX(diakadat!$V$2:$V$50,MATCH(D287,diakadat!$J$2:$J$50),1),"")</f>
        <v/>
      </c>
      <c r="AE287" t="str">
        <f>IFERROR(INDEX(diakadat!$W$2:$W$50,MATCH(D287,diakadat!$J$2:$J$50),1),"")</f>
        <v/>
      </c>
      <c r="AI287" t="str">
        <f>IFERROR(INDEX(diakadat!$X$2:$X$50,MATCH(D287,diakadat!$J$2:$J$50),1),"")</f>
        <v/>
      </c>
      <c r="AK287">
        <f t="shared" si="4"/>
        <v>329</v>
      </c>
      <c r="AL287" t="str" cm="1">
        <f t="array" ref="AL287">ElsoBetuNagy(R287)</f>
        <v/>
      </c>
      <c r="AO287" t="str" cm="1">
        <f t="array" ref="AO287">DatumSzovegge5(AN287)</f>
        <v>1899.</v>
      </c>
      <c r="AP287" t="str" cm="1">
        <f t="array" ref="AP287">DatumSzovegge3(AN287)</f>
        <v>december</v>
      </c>
      <c r="AQ287" t="str" cm="1">
        <f t="array" ref="AQ287">DatumSzovegge4(AN287)</f>
        <v>30.</v>
      </c>
    </row>
    <row r="288" spans="4:43" x14ac:dyDescent="0.25">
      <c r="D288" t="str" cm="1">
        <f t="array" ref="D288">SzuressNev($B$1,ROW()-1)</f>
        <v/>
      </c>
      <c r="E288">
        <f>COUNTIF($D$2:D288,D288)</f>
        <v>267</v>
      </c>
      <c r="F288" t="str" cm="1">
        <f t="array" ref="F288">ElutasitasEgyOk2(D288,E288)</f>
        <v/>
      </c>
      <c r="G288" t="str">
        <f>IFERROR(INDEX(diakadat!$I$2:$I$50,MATCH(D288,diakadat!$J$2:$J$50,0),1),"")</f>
        <v/>
      </c>
      <c r="H288" t="str">
        <f>IFERROR(INDEX(diakadat!$O$2:$O$50,MATCH(D288,diakadat!$J$2:$J$50,0),1),"")</f>
        <v/>
      </c>
      <c r="I288" t="str">
        <f>IFERROR(INDEX(diakadat!#REF!,MATCH(D288,diakadat!$J$2:$J$50,0),1),"")</f>
        <v/>
      </c>
      <c r="J288" t="str">
        <f>IFERROR(INDEX(diakadat!$K$2:$K$50,MATCH(D288,diakadat!$J$2:$J$50,0),1),"")</f>
        <v/>
      </c>
      <c r="K288" t="str" cm="1">
        <f t="array" ref="K288">IFERROR(DatumSzovegge2(INDEX(diakadat!$L$2:$L$50,MATCH(D288,diakadat!$J$2:$J$50,0),1)),"")</f>
        <v/>
      </c>
      <c r="L288" t="str" cm="1">
        <f t="array" ref="L288">IFERROR(DatumSzovegge5(INDEX(diakadat!$L$2:$L$50,MATCH(D288,diakadat!$J$2:$J$50,0),1)),"")</f>
        <v/>
      </c>
      <c r="M288" t="str" cm="1">
        <f t="array" ref="M288">IFERROR(DatumSzovegge3(INDEX(diakadat!$L$2:$L$50,MATCH(D288,diakadat!$J$2:$J$50,0),1)),"")</f>
        <v/>
      </c>
      <c r="N288" t="str" cm="1">
        <f t="array" ref="N288">IFERROR(DatumSzovegge4(INDEX(diakadat!$L$2:$L$50,MATCH(D288,diakadat!$J$2:$J$50,0),1)),"")</f>
        <v/>
      </c>
      <c r="O288" t="str">
        <f>IFERROR(INDEX(diakadat!$R$2:$R$50,MATCH(D288,diakadat!$J$2:$J$50,0),1),"")</f>
        <v/>
      </c>
      <c r="P288" t="str">
        <f>IFERROR(INDEX(diakadat!$AI$2:$AI$50,MATCH(D288,diakadat!$J$2:$J$50,0),1),"")</f>
        <v/>
      </c>
      <c r="Q288" t="str">
        <f>IFERROR(INDEX('rangsor'!$C$2:$C$343,MATCH(D288,'rangsor'!$A$2:$A$343,0),1),"")</f>
        <v/>
      </c>
      <c r="T288" t="s">
        <v>831</v>
      </c>
      <c r="U288" t="str" cm="1">
        <f t="array" ref="U288">Határozat(D288)</f>
        <v/>
      </c>
      <c r="AC288" t="str">
        <f>IFERROR(INDEX(diakadat!$U$2:$U$50,MATCH(D288,diakadat!$J$2:$J$50),1),"")</f>
        <v/>
      </c>
      <c r="AD288" t="str">
        <f>IFERROR(INDEX(diakadat!$V$2:$V$50,MATCH(D288,diakadat!$J$2:$J$50),1),"")</f>
        <v/>
      </c>
      <c r="AE288" t="str">
        <f>IFERROR(INDEX(diakadat!$W$2:$W$50,MATCH(D288,diakadat!$J$2:$J$50),1),"")</f>
        <v/>
      </c>
      <c r="AI288" t="str">
        <f>IFERROR(INDEX(diakadat!$X$2:$X$50,MATCH(D288,diakadat!$J$2:$J$50),1),"")</f>
        <v/>
      </c>
      <c r="AK288">
        <f t="shared" si="4"/>
        <v>329</v>
      </c>
      <c r="AL288" t="str" cm="1">
        <f t="array" ref="AL288">ElsoBetuNagy(R288)</f>
        <v/>
      </c>
      <c r="AO288" t="str" cm="1">
        <f t="array" ref="AO288">DatumSzovegge5(AN288)</f>
        <v>1899.</v>
      </c>
      <c r="AP288" t="str" cm="1">
        <f t="array" ref="AP288">DatumSzovegge3(AN288)</f>
        <v>december</v>
      </c>
      <c r="AQ288" t="str" cm="1">
        <f t="array" ref="AQ288">DatumSzovegge4(AN288)</f>
        <v>30.</v>
      </c>
    </row>
    <row r="289" spans="4:43" x14ac:dyDescent="0.25">
      <c r="D289" t="str" cm="1">
        <f t="array" ref="D289">SzuressNev($B$1,ROW()-1)</f>
        <v/>
      </c>
      <c r="E289">
        <f>COUNTIF($D$2:D289,D289)</f>
        <v>268</v>
      </c>
      <c r="F289" t="str" cm="1">
        <f t="array" ref="F289">ElutasitasEgyOk2(D289,E289)</f>
        <v/>
      </c>
      <c r="G289" t="str">
        <f>IFERROR(INDEX(diakadat!$I$2:$I$50,MATCH(D289,diakadat!$J$2:$J$50,0),1),"")</f>
        <v/>
      </c>
      <c r="H289" t="str">
        <f>IFERROR(INDEX(diakadat!$O$2:$O$50,MATCH(D289,diakadat!$J$2:$J$50,0),1),"")</f>
        <v/>
      </c>
      <c r="I289" t="str">
        <f>IFERROR(INDEX(diakadat!#REF!,MATCH(D289,diakadat!$J$2:$J$50,0),1),"")</f>
        <v/>
      </c>
      <c r="J289" t="str">
        <f>IFERROR(INDEX(diakadat!$K$2:$K$50,MATCH(D289,diakadat!$J$2:$J$50,0),1),"")</f>
        <v/>
      </c>
      <c r="K289" t="str" cm="1">
        <f t="array" ref="K289">IFERROR(DatumSzovegge2(INDEX(diakadat!$L$2:$L$50,MATCH(D289,diakadat!$J$2:$J$50,0),1)),"")</f>
        <v/>
      </c>
      <c r="L289" t="str" cm="1">
        <f t="array" ref="L289">IFERROR(DatumSzovegge5(INDEX(diakadat!$L$2:$L$50,MATCH(D289,diakadat!$J$2:$J$50,0),1)),"")</f>
        <v/>
      </c>
      <c r="M289" t="str" cm="1">
        <f t="array" ref="M289">IFERROR(DatumSzovegge3(INDEX(diakadat!$L$2:$L$50,MATCH(D289,diakadat!$J$2:$J$50,0),1)),"")</f>
        <v/>
      </c>
      <c r="N289" t="str" cm="1">
        <f t="array" ref="N289">IFERROR(DatumSzovegge4(INDEX(diakadat!$L$2:$L$50,MATCH(D289,diakadat!$J$2:$J$50,0),1)),"")</f>
        <v/>
      </c>
      <c r="O289" t="str">
        <f>IFERROR(INDEX(diakadat!$R$2:$R$50,MATCH(D289,diakadat!$J$2:$J$50,0),1),"")</f>
        <v/>
      </c>
      <c r="P289" t="str">
        <f>IFERROR(INDEX(diakadat!$AI$2:$AI$50,MATCH(D289,diakadat!$J$2:$J$50,0),1),"")</f>
        <v/>
      </c>
      <c r="Q289" t="str">
        <f>IFERROR(INDEX('rangsor'!$C$2:$C$343,MATCH(D289,'rangsor'!$A$2:$A$343,0),1),"")</f>
        <v/>
      </c>
      <c r="T289" t="s">
        <v>831</v>
      </c>
      <c r="U289" t="str" cm="1">
        <f t="array" ref="U289">Határozat(D289)</f>
        <v/>
      </c>
      <c r="AC289" t="str">
        <f>IFERROR(INDEX(diakadat!$U$2:$U$50,MATCH(D289,diakadat!$J$2:$J$50),1),"")</f>
        <v/>
      </c>
      <c r="AD289" t="str">
        <f>IFERROR(INDEX(diakadat!$V$2:$V$50,MATCH(D289,diakadat!$J$2:$J$50),1),"")</f>
        <v/>
      </c>
      <c r="AE289" t="str">
        <f>IFERROR(INDEX(diakadat!$W$2:$W$50,MATCH(D289,diakadat!$J$2:$J$50),1),"")</f>
        <v/>
      </c>
      <c r="AI289" t="str">
        <f>IFERROR(INDEX(diakadat!$X$2:$X$50,MATCH(D289,diakadat!$J$2:$J$50),1),"")</f>
        <v/>
      </c>
      <c r="AK289">
        <f t="shared" si="4"/>
        <v>329</v>
      </c>
      <c r="AL289" t="str" cm="1">
        <f t="array" ref="AL289">ElsoBetuNagy(R289)</f>
        <v/>
      </c>
      <c r="AO289" t="str" cm="1">
        <f t="array" ref="AO289">DatumSzovegge5(AN289)</f>
        <v>1899.</v>
      </c>
      <c r="AP289" t="str" cm="1">
        <f t="array" ref="AP289">DatumSzovegge3(AN289)</f>
        <v>december</v>
      </c>
      <c r="AQ289" t="str" cm="1">
        <f t="array" ref="AQ289">DatumSzovegge4(AN289)</f>
        <v>30.</v>
      </c>
    </row>
    <row r="290" spans="4:43" x14ac:dyDescent="0.25">
      <c r="D290" t="str" cm="1">
        <f t="array" ref="D290">SzuressNev($B$1,ROW()-1)</f>
        <v/>
      </c>
      <c r="E290">
        <f>COUNTIF($D$2:D290,D290)</f>
        <v>269</v>
      </c>
      <c r="F290" t="str" cm="1">
        <f t="array" ref="F290">ElutasitasEgyOk2(D290,E290)</f>
        <v/>
      </c>
      <c r="G290" t="str">
        <f>IFERROR(INDEX(diakadat!$I$2:$I$50,MATCH(D290,diakadat!$J$2:$J$50,0),1),"")</f>
        <v/>
      </c>
      <c r="H290" t="str">
        <f>IFERROR(INDEX(diakadat!$O$2:$O$50,MATCH(D290,diakadat!$J$2:$J$50,0),1),"")</f>
        <v/>
      </c>
      <c r="I290" t="str">
        <f>IFERROR(INDEX(diakadat!#REF!,MATCH(D290,diakadat!$J$2:$J$50,0),1),"")</f>
        <v/>
      </c>
      <c r="J290" t="str">
        <f>IFERROR(INDEX(diakadat!$K$2:$K$50,MATCH(D290,diakadat!$J$2:$J$50,0),1),"")</f>
        <v/>
      </c>
      <c r="K290" t="str" cm="1">
        <f t="array" ref="K290">IFERROR(DatumSzovegge2(INDEX(diakadat!$L$2:$L$50,MATCH(D290,diakadat!$J$2:$J$50,0),1)),"")</f>
        <v/>
      </c>
      <c r="L290" t="str" cm="1">
        <f t="array" ref="L290">IFERROR(DatumSzovegge5(INDEX(diakadat!$L$2:$L$50,MATCH(D290,diakadat!$J$2:$J$50,0),1)),"")</f>
        <v/>
      </c>
      <c r="M290" t="str" cm="1">
        <f t="array" ref="M290">IFERROR(DatumSzovegge3(INDEX(diakadat!$L$2:$L$50,MATCH(D290,diakadat!$J$2:$J$50,0),1)),"")</f>
        <v/>
      </c>
      <c r="N290" t="str" cm="1">
        <f t="array" ref="N290">IFERROR(DatumSzovegge4(INDEX(diakadat!$L$2:$L$50,MATCH(D290,diakadat!$J$2:$J$50,0),1)),"")</f>
        <v/>
      </c>
      <c r="O290" t="str">
        <f>IFERROR(INDEX(diakadat!$R$2:$R$50,MATCH(D290,diakadat!$J$2:$J$50,0),1),"")</f>
        <v/>
      </c>
      <c r="P290" t="str">
        <f>IFERROR(INDEX(diakadat!$AI$2:$AI$50,MATCH(D290,diakadat!$J$2:$J$50,0),1),"")</f>
        <v/>
      </c>
      <c r="Q290" t="str">
        <f>IFERROR(INDEX('rangsor'!$C$2:$C$343,MATCH(D290,'rangsor'!$A$2:$A$343,0),1),"")</f>
        <v/>
      </c>
      <c r="T290" t="s">
        <v>831</v>
      </c>
      <c r="U290" t="str" cm="1">
        <f t="array" ref="U290">Határozat(D290)</f>
        <v/>
      </c>
      <c r="AC290" t="str">
        <f>IFERROR(INDEX(diakadat!$U$2:$U$50,MATCH(D290,diakadat!$J$2:$J$50),1),"")</f>
        <v/>
      </c>
      <c r="AD290" t="str">
        <f>IFERROR(INDEX(diakadat!$V$2:$V$50,MATCH(D290,diakadat!$J$2:$J$50),1),"")</f>
        <v/>
      </c>
      <c r="AE290" t="str">
        <f>IFERROR(INDEX(diakadat!$W$2:$W$50,MATCH(D290,diakadat!$J$2:$J$50),1),"")</f>
        <v/>
      </c>
      <c r="AI290" t="str">
        <f>IFERROR(INDEX(diakadat!$X$2:$X$50,MATCH(D290,diakadat!$J$2:$J$50),1),"")</f>
        <v/>
      </c>
      <c r="AK290">
        <f t="shared" si="4"/>
        <v>329</v>
      </c>
      <c r="AL290" t="str" cm="1">
        <f t="array" ref="AL290">ElsoBetuNagy(R290)</f>
        <v/>
      </c>
      <c r="AO290" t="str" cm="1">
        <f t="array" ref="AO290">DatumSzovegge5(AN290)</f>
        <v>1899.</v>
      </c>
      <c r="AP290" t="str" cm="1">
        <f t="array" ref="AP290">DatumSzovegge3(AN290)</f>
        <v>december</v>
      </c>
      <c r="AQ290" t="str" cm="1">
        <f t="array" ref="AQ290">DatumSzovegge4(AN290)</f>
        <v>30.</v>
      </c>
    </row>
    <row r="291" spans="4:43" x14ac:dyDescent="0.25">
      <c r="D291" t="str" cm="1">
        <f t="array" ref="D291">SzuressNev($B$1,ROW()-1)</f>
        <v/>
      </c>
      <c r="E291">
        <f>COUNTIF($D$2:D291,D291)</f>
        <v>270</v>
      </c>
      <c r="F291" t="str" cm="1">
        <f t="array" ref="F291">ElutasitasEgyOk2(D291,E291)</f>
        <v/>
      </c>
      <c r="G291" t="str">
        <f>IFERROR(INDEX(diakadat!$I$2:$I$50,MATCH(D291,diakadat!$J$2:$J$50,0),1),"")</f>
        <v/>
      </c>
      <c r="H291" t="str">
        <f>IFERROR(INDEX(diakadat!$O$2:$O$50,MATCH(D291,diakadat!$J$2:$J$50,0),1),"")</f>
        <v/>
      </c>
      <c r="I291" t="str">
        <f>IFERROR(INDEX(diakadat!#REF!,MATCH(D291,diakadat!$J$2:$J$50,0),1),"")</f>
        <v/>
      </c>
      <c r="J291" t="str">
        <f>IFERROR(INDEX(diakadat!$K$2:$K$50,MATCH(D291,diakadat!$J$2:$J$50,0),1),"")</f>
        <v/>
      </c>
      <c r="K291" t="str" cm="1">
        <f t="array" ref="K291">IFERROR(DatumSzovegge2(INDEX(diakadat!$L$2:$L$50,MATCH(D291,diakadat!$J$2:$J$50,0),1)),"")</f>
        <v/>
      </c>
      <c r="L291" t="str" cm="1">
        <f t="array" ref="L291">IFERROR(DatumSzovegge5(INDEX(diakadat!$L$2:$L$50,MATCH(D291,diakadat!$J$2:$J$50,0),1)),"")</f>
        <v/>
      </c>
      <c r="M291" t="str" cm="1">
        <f t="array" ref="M291">IFERROR(DatumSzovegge3(INDEX(diakadat!$L$2:$L$50,MATCH(D291,diakadat!$J$2:$J$50,0),1)),"")</f>
        <v/>
      </c>
      <c r="N291" t="str" cm="1">
        <f t="array" ref="N291">IFERROR(DatumSzovegge4(INDEX(diakadat!$L$2:$L$50,MATCH(D291,diakadat!$J$2:$J$50,0),1)),"")</f>
        <v/>
      </c>
      <c r="O291" t="str">
        <f>IFERROR(INDEX(diakadat!$R$2:$R$50,MATCH(D291,diakadat!$J$2:$J$50,0),1),"")</f>
        <v/>
      </c>
      <c r="P291" t="str">
        <f>IFERROR(INDEX(diakadat!$AI$2:$AI$50,MATCH(D291,diakadat!$J$2:$J$50,0),1),"")</f>
        <v/>
      </c>
      <c r="Q291" t="str">
        <f>IFERROR(INDEX('rangsor'!$C$2:$C$343,MATCH(D291,'rangsor'!$A$2:$A$343,0),1),"")</f>
        <v/>
      </c>
      <c r="T291" t="s">
        <v>831</v>
      </c>
      <c r="U291" t="str" cm="1">
        <f t="array" ref="U291">Határozat(D291)</f>
        <v/>
      </c>
      <c r="AC291" t="str">
        <f>IFERROR(INDEX(diakadat!$U$2:$U$50,MATCH(D291,diakadat!$J$2:$J$50),1),"")</f>
        <v/>
      </c>
      <c r="AD291" t="str">
        <f>IFERROR(INDEX(diakadat!$V$2:$V$50,MATCH(D291,diakadat!$J$2:$J$50),1),"")</f>
        <v/>
      </c>
      <c r="AE291" t="str">
        <f>IFERROR(INDEX(diakadat!$W$2:$W$50,MATCH(D291,diakadat!$J$2:$J$50),1),"")</f>
        <v/>
      </c>
      <c r="AI291" t="str">
        <f>IFERROR(INDEX(diakadat!$X$2:$X$50,MATCH(D291,diakadat!$J$2:$J$50),1),"")</f>
        <v/>
      </c>
      <c r="AK291">
        <f t="shared" si="4"/>
        <v>329</v>
      </c>
      <c r="AL291" t="str" cm="1">
        <f t="array" ref="AL291">ElsoBetuNagy(R291)</f>
        <v/>
      </c>
      <c r="AO291" t="str" cm="1">
        <f t="array" ref="AO291">DatumSzovegge5(AN291)</f>
        <v>1899.</v>
      </c>
      <c r="AP291" t="str" cm="1">
        <f t="array" ref="AP291">DatumSzovegge3(AN291)</f>
        <v>december</v>
      </c>
      <c r="AQ291" t="str" cm="1">
        <f t="array" ref="AQ291">DatumSzovegge4(AN291)</f>
        <v>30.</v>
      </c>
    </row>
    <row r="292" spans="4:43" x14ac:dyDescent="0.25">
      <c r="D292" t="str" cm="1">
        <f t="array" ref="D292">SzuressNev($B$1,ROW()-1)</f>
        <v/>
      </c>
      <c r="E292">
        <f>COUNTIF($D$2:D292,D292)</f>
        <v>271</v>
      </c>
      <c r="F292" t="str" cm="1">
        <f t="array" ref="F292">ElutasitasEgyOk2(D292,E292)</f>
        <v/>
      </c>
      <c r="G292" t="str">
        <f>IFERROR(INDEX(diakadat!$I$2:$I$50,MATCH(D292,diakadat!$J$2:$J$50,0),1),"")</f>
        <v/>
      </c>
      <c r="H292" t="str">
        <f>IFERROR(INDEX(diakadat!$O$2:$O$50,MATCH(D292,diakadat!$J$2:$J$50,0),1),"")</f>
        <v/>
      </c>
      <c r="I292" t="str">
        <f>IFERROR(INDEX(diakadat!#REF!,MATCH(D292,diakadat!$J$2:$J$50,0),1),"")</f>
        <v/>
      </c>
      <c r="J292" t="str">
        <f>IFERROR(INDEX(diakadat!$K$2:$K$50,MATCH(D292,diakadat!$J$2:$J$50,0),1),"")</f>
        <v/>
      </c>
      <c r="K292" t="str" cm="1">
        <f t="array" ref="K292">IFERROR(DatumSzovegge2(INDEX(diakadat!$L$2:$L$50,MATCH(D292,diakadat!$J$2:$J$50,0),1)),"")</f>
        <v/>
      </c>
      <c r="L292" t="str" cm="1">
        <f t="array" ref="L292">IFERROR(DatumSzovegge5(INDEX(diakadat!$L$2:$L$50,MATCH(D292,diakadat!$J$2:$J$50,0),1)),"")</f>
        <v/>
      </c>
      <c r="M292" t="str" cm="1">
        <f t="array" ref="M292">IFERROR(DatumSzovegge3(INDEX(diakadat!$L$2:$L$50,MATCH(D292,diakadat!$J$2:$J$50,0),1)),"")</f>
        <v/>
      </c>
      <c r="N292" t="str" cm="1">
        <f t="array" ref="N292">IFERROR(DatumSzovegge4(INDEX(diakadat!$L$2:$L$50,MATCH(D292,diakadat!$J$2:$J$50,0),1)),"")</f>
        <v/>
      </c>
      <c r="O292" t="str">
        <f>IFERROR(INDEX(diakadat!$R$2:$R$50,MATCH(D292,diakadat!$J$2:$J$50,0),1),"")</f>
        <v/>
      </c>
      <c r="P292" t="str">
        <f>IFERROR(INDEX(diakadat!$AI$2:$AI$50,MATCH(D292,diakadat!$J$2:$J$50,0),1),"")</f>
        <v/>
      </c>
      <c r="Q292" t="str">
        <f>IFERROR(INDEX('rangsor'!$C$2:$C$343,MATCH(D292,'rangsor'!$A$2:$A$343,0),1),"")</f>
        <v/>
      </c>
      <c r="T292" t="s">
        <v>831</v>
      </c>
      <c r="U292" t="str" cm="1">
        <f t="array" ref="U292">Határozat(D292)</f>
        <v/>
      </c>
      <c r="AC292" t="str">
        <f>IFERROR(INDEX(diakadat!$U$2:$U$50,MATCH(D292,diakadat!$J$2:$J$50),1),"")</f>
        <v/>
      </c>
      <c r="AD292" t="str">
        <f>IFERROR(INDEX(diakadat!$V$2:$V$50,MATCH(D292,diakadat!$J$2:$J$50),1),"")</f>
        <v/>
      </c>
      <c r="AE292" t="str">
        <f>IFERROR(INDEX(diakadat!$W$2:$W$50,MATCH(D292,diakadat!$J$2:$J$50),1),"")</f>
        <v/>
      </c>
      <c r="AI292" t="str">
        <f>IFERROR(INDEX(diakadat!$X$2:$X$50,MATCH(D292,diakadat!$J$2:$J$50),1),"")</f>
        <v/>
      </c>
      <c r="AK292">
        <f t="shared" si="4"/>
        <v>329</v>
      </c>
      <c r="AL292" t="str" cm="1">
        <f t="array" ref="AL292">ElsoBetuNagy(R292)</f>
        <v/>
      </c>
      <c r="AO292" t="str" cm="1">
        <f t="array" ref="AO292">DatumSzovegge5(AN292)</f>
        <v>1899.</v>
      </c>
      <c r="AP292" t="str" cm="1">
        <f t="array" ref="AP292">DatumSzovegge3(AN292)</f>
        <v>december</v>
      </c>
      <c r="AQ292" t="str" cm="1">
        <f t="array" ref="AQ292">DatumSzovegge4(AN292)</f>
        <v>30.</v>
      </c>
    </row>
    <row r="293" spans="4:43" x14ac:dyDescent="0.25">
      <c r="D293" t="str" cm="1">
        <f t="array" ref="D293">SzuressNev($B$1,ROW()-1)</f>
        <v/>
      </c>
      <c r="E293">
        <f>COUNTIF($D$2:D293,D293)</f>
        <v>272</v>
      </c>
      <c r="F293" t="str" cm="1">
        <f t="array" ref="F293">ElutasitasEgyOk2(D293,E293)</f>
        <v/>
      </c>
      <c r="G293" t="str">
        <f>IFERROR(INDEX(diakadat!$I$2:$I$50,MATCH(D293,diakadat!$J$2:$J$50,0),1),"")</f>
        <v/>
      </c>
      <c r="H293" t="str">
        <f>IFERROR(INDEX(diakadat!$O$2:$O$50,MATCH(D293,diakadat!$J$2:$J$50,0),1),"")</f>
        <v/>
      </c>
      <c r="I293" t="str">
        <f>IFERROR(INDEX(diakadat!#REF!,MATCH(D293,diakadat!$J$2:$J$50,0),1),"")</f>
        <v/>
      </c>
      <c r="J293" t="str">
        <f>IFERROR(INDEX(diakadat!$K$2:$K$50,MATCH(D293,diakadat!$J$2:$J$50,0),1),"")</f>
        <v/>
      </c>
      <c r="K293" t="str" cm="1">
        <f t="array" ref="K293">IFERROR(DatumSzovegge2(INDEX(diakadat!$L$2:$L$50,MATCH(D293,diakadat!$J$2:$J$50,0),1)),"")</f>
        <v/>
      </c>
      <c r="L293" t="str" cm="1">
        <f t="array" ref="L293">IFERROR(DatumSzovegge5(INDEX(diakadat!$L$2:$L$50,MATCH(D293,diakadat!$J$2:$J$50,0),1)),"")</f>
        <v/>
      </c>
      <c r="M293" t="str" cm="1">
        <f t="array" ref="M293">IFERROR(DatumSzovegge3(INDEX(diakadat!$L$2:$L$50,MATCH(D293,diakadat!$J$2:$J$50,0),1)),"")</f>
        <v/>
      </c>
      <c r="N293" t="str" cm="1">
        <f t="array" ref="N293">IFERROR(DatumSzovegge4(INDEX(diakadat!$L$2:$L$50,MATCH(D293,diakadat!$J$2:$J$50,0),1)),"")</f>
        <v/>
      </c>
      <c r="O293" t="str">
        <f>IFERROR(INDEX(diakadat!$R$2:$R$50,MATCH(D293,diakadat!$J$2:$J$50,0),1),"")</f>
        <v/>
      </c>
      <c r="P293" t="str">
        <f>IFERROR(INDEX(diakadat!$AI$2:$AI$50,MATCH(D293,diakadat!$J$2:$J$50,0),1),"")</f>
        <v/>
      </c>
      <c r="Q293" t="str">
        <f>IFERROR(INDEX('rangsor'!$C$2:$C$343,MATCH(D293,'rangsor'!$A$2:$A$343,0),1),"")</f>
        <v/>
      </c>
      <c r="T293" t="s">
        <v>831</v>
      </c>
      <c r="U293" t="str" cm="1">
        <f t="array" ref="U293">Határozat(D293)</f>
        <v/>
      </c>
      <c r="AC293" t="str">
        <f>IFERROR(INDEX(diakadat!$U$2:$U$50,MATCH(D293,diakadat!$J$2:$J$50),1),"")</f>
        <v/>
      </c>
      <c r="AD293" t="str">
        <f>IFERROR(INDEX(diakadat!$V$2:$V$50,MATCH(D293,diakadat!$J$2:$J$50),1),"")</f>
        <v/>
      </c>
      <c r="AE293" t="str">
        <f>IFERROR(INDEX(diakadat!$W$2:$W$50,MATCH(D293,diakadat!$J$2:$J$50),1),"")</f>
        <v/>
      </c>
      <c r="AI293" t="str">
        <f>IFERROR(INDEX(diakadat!$X$2:$X$50,MATCH(D293,diakadat!$J$2:$J$50),1),"")</f>
        <v/>
      </c>
      <c r="AK293">
        <f t="shared" si="4"/>
        <v>329</v>
      </c>
      <c r="AL293" t="str" cm="1">
        <f t="array" ref="AL293">ElsoBetuNagy(R293)</f>
        <v/>
      </c>
      <c r="AO293" t="str" cm="1">
        <f t="array" ref="AO293">DatumSzovegge5(AN293)</f>
        <v>1899.</v>
      </c>
      <c r="AP293" t="str" cm="1">
        <f t="array" ref="AP293">DatumSzovegge3(AN293)</f>
        <v>december</v>
      </c>
      <c r="AQ293" t="str" cm="1">
        <f t="array" ref="AQ293">DatumSzovegge4(AN293)</f>
        <v>30.</v>
      </c>
    </row>
    <row r="294" spans="4:43" x14ac:dyDescent="0.25">
      <c r="D294" t="str" cm="1">
        <f t="array" ref="D294">SzuressNev($B$1,ROW()-1)</f>
        <v/>
      </c>
      <c r="E294">
        <f>COUNTIF($D$2:D294,D294)</f>
        <v>273</v>
      </c>
      <c r="F294" t="str" cm="1">
        <f t="array" ref="F294">ElutasitasEgyOk2(D294,E294)</f>
        <v/>
      </c>
      <c r="G294" t="str">
        <f>IFERROR(INDEX(diakadat!$I$2:$I$50,MATCH(D294,diakadat!$J$2:$J$50,0),1),"")</f>
        <v/>
      </c>
      <c r="H294" t="str">
        <f>IFERROR(INDEX(diakadat!$O$2:$O$50,MATCH(D294,diakadat!$J$2:$J$50,0),1),"")</f>
        <v/>
      </c>
      <c r="I294" t="str">
        <f>IFERROR(INDEX(diakadat!#REF!,MATCH(D294,diakadat!$J$2:$J$50,0),1),"")</f>
        <v/>
      </c>
      <c r="J294" t="str">
        <f>IFERROR(INDEX(diakadat!$K$2:$K$50,MATCH(D294,diakadat!$J$2:$J$50,0),1),"")</f>
        <v/>
      </c>
      <c r="K294" t="str" cm="1">
        <f t="array" ref="K294">IFERROR(DatumSzovegge2(INDEX(diakadat!$L$2:$L$50,MATCH(D294,diakadat!$J$2:$J$50,0),1)),"")</f>
        <v/>
      </c>
      <c r="L294" t="str" cm="1">
        <f t="array" ref="L294">IFERROR(DatumSzovegge5(INDEX(diakadat!$L$2:$L$50,MATCH(D294,diakadat!$J$2:$J$50,0),1)),"")</f>
        <v/>
      </c>
      <c r="M294" t="str" cm="1">
        <f t="array" ref="M294">IFERROR(DatumSzovegge3(INDEX(diakadat!$L$2:$L$50,MATCH(D294,diakadat!$J$2:$J$50,0),1)),"")</f>
        <v/>
      </c>
      <c r="N294" t="str" cm="1">
        <f t="array" ref="N294">IFERROR(DatumSzovegge4(INDEX(diakadat!$L$2:$L$50,MATCH(D294,diakadat!$J$2:$J$50,0),1)),"")</f>
        <v/>
      </c>
      <c r="O294" t="str">
        <f>IFERROR(INDEX(diakadat!$R$2:$R$50,MATCH(D294,diakadat!$J$2:$J$50,0),1),"")</f>
        <v/>
      </c>
      <c r="P294" t="str">
        <f>IFERROR(INDEX(diakadat!$AI$2:$AI$50,MATCH(D294,diakadat!$J$2:$J$50,0),1),"")</f>
        <v/>
      </c>
      <c r="Q294" t="str">
        <f>IFERROR(INDEX('rangsor'!$C$2:$C$343,MATCH(D294,'rangsor'!$A$2:$A$343,0),1),"")</f>
        <v/>
      </c>
      <c r="T294" t="s">
        <v>831</v>
      </c>
      <c r="U294" t="str" cm="1">
        <f t="array" ref="U294">Határozat(D294)</f>
        <v/>
      </c>
      <c r="AC294" t="str">
        <f>IFERROR(INDEX(diakadat!$U$2:$U$50,MATCH(D294,diakadat!$J$2:$J$50),1),"")</f>
        <v/>
      </c>
      <c r="AD294" t="str">
        <f>IFERROR(INDEX(diakadat!$V$2:$V$50,MATCH(D294,diakadat!$J$2:$J$50),1),"")</f>
        <v/>
      </c>
      <c r="AE294" t="str">
        <f>IFERROR(INDEX(diakadat!$W$2:$W$50,MATCH(D294,diakadat!$J$2:$J$50),1),"")</f>
        <v/>
      </c>
      <c r="AI294" t="str">
        <f>IFERROR(INDEX(diakadat!$X$2:$X$50,MATCH(D294,diakadat!$J$2:$J$50),1),"")</f>
        <v/>
      </c>
      <c r="AK294">
        <f t="shared" si="4"/>
        <v>329</v>
      </c>
      <c r="AL294" t="str" cm="1">
        <f t="array" ref="AL294">ElsoBetuNagy(R294)</f>
        <v/>
      </c>
      <c r="AO294" t="str" cm="1">
        <f t="array" ref="AO294">DatumSzovegge5(AN294)</f>
        <v>1899.</v>
      </c>
      <c r="AP294" t="str" cm="1">
        <f t="array" ref="AP294">DatumSzovegge3(AN294)</f>
        <v>december</v>
      </c>
      <c r="AQ294" t="str" cm="1">
        <f t="array" ref="AQ294">DatumSzovegge4(AN294)</f>
        <v>30.</v>
      </c>
    </row>
    <row r="295" spans="4:43" x14ac:dyDescent="0.25">
      <c r="D295" t="str" cm="1">
        <f t="array" ref="D295">SzuressNev($B$1,ROW()-1)</f>
        <v/>
      </c>
      <c r="E295">
        <f>COUNTIF($D$2:D295,D295)</f>
        <v>274</v>
      </c>
      <c r="F295" t="str" cm="1">
        <f t="array" ref="F295">ElutasitasEgyOk2(D295,E295)</f>
        <v/>
      </c>
      <c r="G295" t="str">
        <f>IFERROR(INDEX(diakadat!$I$2:$I$50,MATCH(D295,diakadat!$J$2:$J$50,0),1),"")</f>
        <v/>
      </c>
      <c r="H295" t="str">
        <f>IFERROR(INDEX(diakadat!$O$2:$O$50,MATCH(D295,diakadat!$J$2:$J$50,0),1),"")</f>
        <v/>
      </c>
      <c r="I295" t="str">
        <f>IFERROR(INDEX(diakadat!#REF!,MATCH(D295,diakadat!$J$2:$J$50,0),1),"")</f>
        <v/>
      </c>
      <c r="J295" t="str">
        <f>IFERROR(INDEX(diakadat!$K$2:$K$50,MATCH(D295,diakadat!$J$2:$J$50,0),1),"")</f>
        <v/>
      </c>
      <c r="K295" t="str" cm="1">
        <f t="array" ref="K295">IFERROR(DatumSzovegge2(INDEX(diakadat!$L$2:$L$50,MATCH(D295,diakadat!$J$2:$J$50,0),1)),"")</f>
        <v/>
      </c>
      <c r="L295" t="str" cm="1">
        <f t="array" ref="L295">IFERROR(DatumSzovegge5(INDEX(diakadat!$L$2:$L$50,MATCH(D295,diakadat!$J$2:$J$50,0),1)),"")</f>
        <v/>
      </c>
      <c r="M295" t="str" cm="1">
        <f t="array" ref="M295">IFERROR(DatumSzovegge3(INDEX(diakadat!$L$2:$L$50,MATCH(D295,diakadat!$J$2:$J$50,0),1)),"")</f>
        <v/>
      </c>
      <c r="N295" t="str" cm="1">
        <f t="array" ref="N295">IFERROR(DatumSzovegge4(INDEX(diakadat!$L$2:$L$50,MATCH(D295,diakadat!$J$2:$J$50,0),1)),"")</f>
        <v/>
      </c>
      <c r="O295" t="str">
        <f>IFERROR(INDEX(diakadat!$R$2:$R$50,MATCH(D295,diakadat!$J$2:$J$50,0),1),"")</f>
        <v/>
      </c>
      <c r="P295" t="str">
        <f>IFERROR(INDEX(diakadat!$AI$2:$AI$50,MATCH(D295,diakadat!$J$2:$J$50,0),1),"")</f>
        <v/>
      </c>
      <c r="Q295" t="str">
        <f>IFERROR(INDEX('rangsor'!$C$2:$C$343,MATCH(D295,'rangsor'!$A$2:$A$343,0),1),"")</f>
        <v/>
      </c>
      <c r="T295" t="s">
        <v>831</v>
      </c>
      <c r="U295" t="str" cm="1">
        <f t="array" ref="U295">Határozat(D295)</f>
        <v/>
      </c>
      <c r="AC295" t="str">
        <f>IFERROR(INDEX(diakadat!$U$2:$U$50,MATCH(D295,diakadat!$J$2:$J$50),1),"")</f>
        <v/>
      </c>
      <c r="AD295" t="str">
        <f>IFERROR(INDEX(diakadat!$V$2:$V$50,MATCH(D295,diakadat!$J$2:$J$50),1),"")</f>
        <v/>
      </c>
      <c r="AE295" t="str">
        <f>IFERROR(INDEX(diakadat!$W$2:$W$50,MATCH(D295,diakadat!$J$2:$J$50),1),"")</f>
        <v/>
      </c>
      <c r="AI295" t="str">
        <f>IFERROR(INDEX(diakadat!$X$2:$X$50,MATCH(D295,diakadat!$J$2:$J$50),1),"")</f>
        <v/>
      </c>
      <c r="AK295">
        <f t="shared" si="4"/>
        <v>329</v>
      </c>
      <c r="AL295" t="str" cm="1">
        <f t="array" ref="AL295">ElsoBetuNagy(R295)</f>
        <v/>
      </c>
      <c r="AO295" t="str" cm="1">
        <f t="array" ref="AO295">DatumSzovegge5(AN295)</f>
        <v>1899.</v>
      </c>
      <c r="AP295" t="str" cm="1">
        <f t="array" ref="AP295">DatumSzovegge3(AN295)</f>
        <v>december</v>
      </c>
      <c r="AQ295" t="str" cm="1">
        <f t="array" ref="AQ295">DatumSzovegge4(AN295)</f>
        <v>30.</v>
      </c>
    </row>
    <row r="296" spans="4:43" x14ac:dyDescent="0.25">
      <c r="D296" t="str" cm="1">
        <f t="array" ref="D296">SzuressNev($B$1,ROW()-1)</f>
        <v/>
      </c>
      <c r="E296">
        <f>COUNTIF($D$2:D296,D296)</f>
        <v>275</v>
      </c>
      <c r="F296" t="str" cm="1">
        <f t="array" ref="F296">ElutasitasEgyOk2(D296,E296)</f>
        <v/>
      </c>
      <c r="G296" t="str">
        <f>IFERROR(INDEX(diakadat!$I$2:$I$50,MATCH(D296,diakadat!$J$2:$J$50,0),1),"")</f>
        <v/>
      </c>
      <c r="H296" t="str">
        <f>IFERROR(INDEX(diakadat!$O$2:$O$50,MATCH(D296,diakadat!$J$2:$J$50,0),1),"")</f>
        <v/>
      </c>
      <c r="I296" t="str">
        <f>IFERROR(INDEX(diakadat!#REF!,MATCH(D296,diakadat!$J$2:$J$50,0),1),"")</f>
        <v/>
      </c>
      <c r="J296" t="str">
        <f>IFERROR(INDEX(diakadat!$K$2:$K$50,MATCH(D296,diakadat!$J$2:$J$50,0),1),"")</f>
        <v/>
      </c>
      <c r="K296" t="str" cm="1">
        <f t="array" ref="K296">IFERROR(DatumSzovegge2(INDEX(diakadat!$L$2:$L$50,MATCH(D296,diakadat!$J$2:$J$50,0),1)),"")</f>
        <v/>
      </c>
      <c r="L296" t="str" cm="1">
        <f t="array" ref="L296">IFERROR(DatumSzovegge5(INDEX(diakadat!$L$2:$L$50,MATCH(D296,diakadat!$J$2:$J$50,0),1)),"")</f>
        <v/>
      </c>
      <c r="M296" t="str" cm="1">
        <f t="array" ref="M296">IFERROR(DatumSzovegge3(INDEX(diakadat!$L$2:$L$50,MATCH(D296,diakadat!$J$2:$J$50,0),1)),"")</f>
        <v/>
      </c>
      <c r="N296" t="str" cm="1">
        <f t="array" ref="N296">IFERROR(DatumSzovegge4(INDEX(diakadat!$L$2:$L$50,MATCH(D296,diakadat!$J$2:$J$50,0),1)),"")</f>
        <v/>
      </c>
      <c r="O296" t="str">
        <f>IFERROR(INDEX(diakadat!$R$2:$R$50,MATCH(D296,diakadat!$J$2:$J$50,0),1),"")</f>
        <v/>
      </c>
      <c r="P296" t="str">
        <f>IFERROR(INDEX(diakadat!$AI$2:$AI$50,MATCH(D296,diakadat!$J$2:$J$50,0),1),"")</f>
        <v/>
      </c>
      <c r="Q296" t="str">
        <f>IFERROR(INDEX('rangsor'!$C$2:$C$343,MATCH(D296,'rangsor'!$A$2:$A$343,0),1),"")</f>
        <v/>
      </c>
      <c r="T296" t="s">
        <v>831</v>
      </c>
      <c r="U296" t="str" cm="1">
        <f t="array" ref="U296">Határozat(D296)</f>
        <v/>
      </c>
      <c r="AC296" t="str">
        <f>IFERROR(INDEX(diakadat!$U$2:$U$50,MATCH(D296,diakadat!$J$2:$J$50),1),"")</f>
        <v/>
      </c>
      <c r="AD296" t="str">
        <f>IFERROR(INDEX(diakadat!$V$2:$V$50,MATCH(D296,diakadat!$J$2:$J$50),1),"")</f>
        <v/>
      </c>
      <c r="AE296" t="str">
        <f>IFERROR(INDEX(diakadat!$W$2:$W$50,MATCH(D296,diakadat!$J$2:$J$50),1),"")</f>
        <v/>
      </c>
      <c r="AI296" t="str">
        <f>IFERROR(INDEX(diakadat!$X$2:$X$50,MATCH(D296,diakadat!$J$2:$J$50),1),"")</f>
        <v/>
      </c>
      <c r="AK296">
        <f t="shared" si="4"/>
        <v>329</v>
      </c>
      <c r="AL296" t="str" cm="1">
        <f t="array" ref="AL296">ElsoBetuNagy(R296)</f>
        <v/>
      </c>
      <c r="AO296" t="str" cm="1">
        <f t="array" ref="AO296">DatumSzovegge5(AN296)</f>
        <v>1899.</v>
      </c>
      <c r="AP296" t="str" cm="1">
        <f t="array" ref="AP296">DatumSzovegge3(AN296)</f>
        <v>december</v>
      </c>
      <c r="AQ296" t="str" cm="1">
        <f t="array" ref="AQ296">DatumSzovegge4(AN296)</f>
        <v>30.</v>
      </c>
    </row>
    <row r="297" spans="4:43" x14ac:dyDescent="0.25">
      <c r="D297" t="str" cm="1">
        <f t="array" ref="D297">SzuressNev($B$1,ROW()-1)</f>
        <v/>
      </c>
      <c r="E297">
        <f>COUNTIF($D$2:D297,D297)</f>
        <v>276</v>
      </c>
      <c r="F297" t="str" cm="1">
        <f t="array" ref="F297">ElutasitasEgyOk2(D297,E297)</f>
        <v/>
      </c>
      <c r="G297" t="str">
        <f>IFERROR(INDEX(diakadat!$I$2:$I$50,MATCH(D297,diakadat!$J$2:$J$50,0),1),"")</f>
        <v/>
      </c>
      <c r="H297" t="str">
        <f>IFERROR(INDEX(diakadat!$O$2:$O$50,MATCH(D297,diakadat!$J$2:$J$50,0),1),"")</f>
        <v/>
      </c>
      <c r="I297" t="str">
        <f>IFERROR(INDEX(diakadat!#REF!,MATCH(D297,diakadat!$J$2:$J$50,0),1),"")</f>
        <v/>
      </c>
      <c r="J297" t="str">
        <f>IFERROR(INDEX(diakadat!$K$2:$K$50,MATCH(D297,diakadat!$J$2:$J$50,0),1),"")</f>
        <v/>
      </c>
      <c r="K297" t="str" cm="1">
        <f t="array" ref="K297">IFERROR(DatumSzovegge2(INDEX(diakadat!$L$2:$L$50,MATCH(D297,diakadat!$J$2:$J$50,0),1)),"")</f>
        <v/>
      </c>
      <c r="L297" t="str" cm="1">
        <f t="array" ref="L297">IFERROR(DatumSzovegge5(INDEX(diakadat!$L$2:$L$50,MATCH(D297,diakadat!$J$2:$J$50,0),1)),"")</f>
        <v/>
      </c>
      <c r="M297" t="str" cm="1">
        <f t="array" ref="M297">IFERROR(DatumSzovegge3(INDEX(diakadat!$L$2:$L$50,MATCH(D297,diakadat!$J$2:$J$50,0),1)),"")</f>
        <v/>
      </c>
      <c r="N297" t="str" cm="1">
        <f t="array" ref="N297">IFERROR(DatumSzovegge4(INDEX(diakadat!$L$2:$L$50,MATCH(D297,diakadat!$J$2:$J$50,0),1)),"")</f>
        <v/>
      </c>
      <c r="O297" t="str">
        <f>IFERROR(INDEX(diakadat!$R$2:$R$50,MATCH(D297,diakadat!$J$2:$J$50,0),1),"")</f>
        <v/>
      </c>
      <c r="P297" t="str">
        <f>IFERROR(INDEX(diakadat!$AI$2:$AI$50,MATCH(D297,diakadat!$J$2:$J$50,0),1),"")</f>
        <v/>
      </c>
      <c r="Q297" t="str">
        <f>IFERROR(INDEX('rangsor'!$C$2:$C$343,MATCH(D297,'rangsor'!$A$2:$A$343,0),1),"")</f>
        <v/>
      </c>
      <c r="T297" t="s">
        <v>831</v>
      </c>
      <c r="U297" t="str" cm="1">
        <f t="array" ref="U297">Határozat(D297)</f>
        <v/>
      </c>
      <c r="AC297" t="str">
        <f>IFERROR(INDEX(diakadat!$U$2:$U$50,MATCH(D297,diakadat!$J$2:$J$50),1),"")</f>
        <v/>
      </c>
      <c r="AD297" t="str">
        <f>IFERROR(INDEX(diakadat!$V$2:$V$50,MATCH(D297,diakadat!$J$2:$J$50),1),"")</f>
        <v/>
      </c>
      <c r="AE297" t="str">
        <f>IFERROR(INDEX(diakadat!$W$2:$W$50,MATCH(D297,diakadat!$J$2:$J$50),1),"")</f>
        <v/>
      </c>
      <c r="AI297" t="str">
        <f>IFERROR(INDEX(diakadat!$X$2:$X$50,MATCH(D297,diakadat!$J$2:$J$50),1),"")</f>
        <v/>
      </c>
      <c r="AK297">
        <f t="shared" si="4"/>
        <v>329</v>
      </c>
      <c r="AL297" t="str" cm="1">
        <f t="array" ref="AL297">ElsoBetuNagy(R297)</f>
        <v/>
      </c>
      <c r="AO297" t="str" cm="1">
        <f t="array" ref="AO297">DatumSzovegge5(AN297)</f>
        <v>1899.</v>
      </c>
      <c r="AP297" t="str" cm="1">
        <f t="array" ref="AP297">DatumSzovegge3(AN297)</f>
        <v>december</v>
      </c>
      <c r="AQ297" t="str" cm="1">
        <f t="array" ref="AQ297">DatumSzovegge4(AN297)</f>
        <v>30.</v>
      </c>
    </row>
    <row r="298" spans="4:43" x14ac:dyDescent="0.25">
      <c r="D298" t="str" cm="1">
        <f t="array" ref="D298">SzuressNev($B$1,ROW()-1)</f>
        <v/>
      </c>
      <c r="E298">
        <f>COUNTIF($D$2:D298,D298)</f>
        <v>277</v>
      </c>
      <c r="F298" t="str" cm="1">
        <f t="array" ref="F298">ElutasitasEgyOk2(D298,E298)</f>
        <v/>
      </c>
      <c r="G298" t="str">
        <f>IFERROR(INDEX(diakadat!$I$2:$I$50,MATCH(D298,diakadat!$J$2:$J$50,0),1),"")</f>
        <v/>
      </c>
      <c r="H298" t="str">
        <f>IFERROR(INDEX(diakadat!$O$2:$O$50,MATCH(D298,diakadat!$J$2:$J$50,0),1),"")</f>
        <v/>
      </c>
      <c r="I298" t="str">
        <f>IFERROR(INDEX(diakadat!#REF!,MATCH(D298,diakadat!$J$2:$J$50,0),1),"")</f>
        <v/>
      </c>
      <c r="J298" t="str">
        <f>IFERROR(INDEX(diakadat!$K$2:$K$50,MATCH(D298,diakadat!$J$2:$J$50,0),1),"")</f>
        <v/>
      </c>
      <c r="K298" t="str" cm="1">
        <f t="array" ref="K298">IFERROR(DatumSzovegge2(INDEX(diakadat!$L$2:$L$50,MATCH(D298,diakadat!$J$2:$J$50,0),1)),"")</f>
        <v/>
      </c>
      <c r="L298" t="str" cm="1">
        <f t="array" ref="L298">IFERROR(DatumSzovegge5(INDEX(diakadat!$L$2:$L$50,MATCH(D298,diakadat!$J$2:$J$50,0),1)),"")</f>
        <v/>
      </c>
      <c r="M298" t="str" cm="1">
        <f t="array" ref="M298">IFERROR(DatumSzovegge3(INDEX(diakadat!$L$2:$L$50,MATCH(D298,diakadat!$J$2:$J$50,0),1)),"")</f>
        <v/>
      </c>
      <c r="N298" t="str" cm="1">
        <f t="array" ref="N298">IFERROR(DatumSzovegge4(INDEX(diakadat!$L$2:$L$50,MATCH(D298,diakadat!$J$2:$J$50,0),1)),"")</f>
        <v/>
      </c>
      <c r="O298" t="str">
        <f>IFERROR(INDEX(diakadat!$R$2:$R$50,MATCH(D298,diakadat!$J$2:$J$50,0),1),"")</f>
        <v/>
      </c>
      <c r="P298" t="str">
        <f>IFERROR(INDEX(diakadat!$AI$2:$AI$50,MATCH(D298,diakadat!$J$2:$J$50,0),1),"")</f>
        <v/>
      </c>
      <c r="Q298" t="str">
        <f>IFERROR(INDEX('rangsor'!$C$2:$C$343,MATCH(D298,'rangsor'!$A$2:$A$343,0),1),"")</f>
        <v/>
      </c>
      <c r="T298" t="s">
        <v>831</v>
      </c>
      <c r="U298" t="str" cm="1">
        <f t="array" ref="U298">Határozat(D298)</f>
        <v/>
      </c>
      <c r="AC298" t="str">
        <f>IFERROR(INDEX(diakadat!$U$2:$U$50,MATCH(D298,diakadat!$J$2:$J$50),1),"")</f>
        <v/>
      </c>
      <c r="AD298" t="str">
        <f>IFERROR(INDEX(diakadat!$V$2:$V$50,MATCH(D298,diakadat!$J$2:$J$50),1),"")</f>
        <v/>
      </c>
      <c r="AE298" t="str">
        <f>IFERROR(INDEX(diakadat!$W$2:$W$50,MATCH(D298,diakadat!$J$2:$J$50),1),"")</f>
        <v/>
      </c>
      <c r="AI298" t="str">
        <f>IFERROR(INDEX(diakadat!$X$2:$X$50,MATCH(D298,diakadat!$J$2:$J$50),1),"")</f>
        <v/>
      </c>
      <c r="AK298">
        <f t="shared" si="4"/>
        <v>329</v>
      </c>
      <c r="AL298" t="str" cm="1">
        <f t="array" ref="AL298">ElsoBetuNagy(R298)</f>
        <v/>
      </c>
      <c r="AO298" t="str" cm="1">
        <f t="array" ref="AO298">DatumSzovegge5(AN298)</f>
        <v>1899.</v>
      </c>
      <c r="AP298" t="str" cm="1">
        <f t="array" ref="AP298">DatumSzovegge3(AN298)</f>
        <v>december</v>
      </c>
      <c r="AQ298" t="str" cm="1">
        <f t="array" ref="AQ298">DatumSzovegge4(AN298)</f>
        <v>30.</v>
      </c>
    </row>
    <row r="299" spans="4:43" x14ac:dyDescent="0.25">
      <c r="D299" t="str" cm="1">
        <f t="array" ref="D299">SzuressNev($B$1,ROW()-1)</f>
        <v/>
      </c>
      <c r="E299">
        <f>COUNTIF($D$2:D299,D299)</f>
        <v>278</v>
      </c>
      <c r="F299" t="str" cm="1">
        <f t="array" ref="F299">ElutasitasEgyOk2(D299,E299)</f>
        <v/>
      </c>
      <c r="G299" t="str">
        <f>IFERROR(INDEX(diakadat!$I$2:$I$50,MATCH(D299,diakadat!$J$2:$J$50,0),1),"")</f>
        <v/>
      </c>
      <c r="H299" t="str">
        <f>IFERROR(INDEX(diakadat!$O$2:$O$50,MATCH(D299,diakadat!$J$2:$J$50,0),1),"")</f>
        <v/>
      </c>
      <c r="I299" t="str">
        <f>IFERROR(INDEX(diakadat!#REF!,MATCH(D299,diakadat!$J$2:$J$50,0),1),"")</f>
        <v/>
      </c>
      <c r="J299" t="str">
        <f>IFERROR(INDEX(diakadat!$K$2:$K$50,MATCH(D299,diakadat!$J$2:$J$50,0),1),"")</f>
        <v/>
      </c>
      <c r="K299" t="str" cm="1">
        <f t="array" ref="K299">IFERROR(DatumSzovegge2(INDEX(diakadat!$L$2:$L$50,MATCH(D299,diakadat!$J$2:$J$50,0),1)),"")</f>
        <v/>
      </c>
      <c r="L299" t="str" cm="1">
        <f t="array" ref="L299">IFERROR(DatumSzovegge5(INDEX(diakadat!$L$2:$L$50,MATCH(D299,diakadat!$J$2:$J$50,0),1)),"")</f>
        <v/>
      </c>
      <c r="M299" t="str" cm="1">
        <f t="array" ref="M299">IFERROR(DatumSzovegge3(INDEX(diakadat!$L$2:$L$50,MATCH(D299,diakadat!$J$2:$J$50,0),1)),"")</f>
        <v/>
      </c>
      <c r="N299" t="str" cm="1">
        <f t="array" ref="N299">IFERROR(DatumSzovegge4(INDEX(diakadat!$L$2:$L$50,MATCH(D299,diakadat!$J$2:$J$50,0),1)),"")</f>
        <v/>
      </c>
      <c r="O299" t="str">
        <f>IFERROR(INDEX(diakadat!$R$2:$R$50,MATCH(D299,diakadat!$J$2:$J$50,0),1),"")</f>
        <v/>
      </c>
      <c r="P299" t="str">
        <f>IFERROR(INDEX(diakadat!$AI$2:$AI$50,MATCH(D299,diakadat!$J$2:$J$50,0),1),"")</f>
        <v/>
      </c>
      <c r="Q299" t="str">
        <f>IFERROR(INDEX('rangsor'!$C$2:$C$343,MATCH(D299,'rangsor'!$A$2:$A$343,0),1),"")</f>
        <v/>
      </c>
      <c r="T299" t="s">
        <v>831</v>
      </c>
      <c r="U299" t="str" cm="1">
        <f t="array" ref="U299">Határozat(D299)</f>
        <v/>
      </c>
      <c r="AC299" t="str">
        <f>IFERROR(INDEX(diakadat!$U$2:$U$50,MATCH(D299,diakadat!$J$2:$J$50),1),"")</f>
        <v/>
      </c>
      <c r="AD299" t="str">
        <f>IFERROR(INDEX(diakadat!$V$2:$V$50,MATCH(D299,diakadat!$J$2:$J$50),1),"")</f>
        <v/>
      </c>
      <c r="AE299" t="str">
        <f>IFERROR(INDEX(diakadat!$W$2:$W$50,MATCH(D299,diakadat!$J$2:$J$50),1),"")</f>
        <v/>
      </c>
      <c r="AI299" t="str">
        <f>IFERROR(INDEX(diakadat!$X$2:$X$50,MATCH(D299,diakadat!$J$2:$J$50),1),"")</f>
        <v/>
      </c>
      <c r="AK299">
        <f t="shared" si="4"/>
        <v>329</v>
      </c>
      <c r="AL299" t="str" cm="1">
        <f t="array" ref="AL299">ElsoBetuNagy(R299)</f>
        <v/>
      </c>
      <c r="AO299" t="str" cm="1">
        <f t="array" ref="AO299">DatumSzovegge5(AN299)</f>
        <v>1899.</v>
      </c>
      <c r="AP299" t="str" cm="1">
        <f t="array" ref="AP299">DatumSzovegge3(AN299)</f>
        <v>december</v>
      </c>
      <c r="AQ299" t="str" cm="1">
        <f t="array" ref="AQ299">DatumSzovegge4(AN299)</f>
        <v>30.</v>
      </c>
    </row>
    <row r="300" spans="4:43" x14ac:dyDescent="0.25">
      <c r="D300" t="str" cm="1">
        <f t="array" ref="D300">SzuressNev($B$1,ROW()-1)</f>
        <v/>
      </c>
      <c r="E300">
        <f>COUNTIF($D$2:D300,D300)</f>
        <v>279</v>
      </c>
      <c r="F300" t="str" cm="1">
        <f t="array" ref="F300">ElutasitasEgyOk2(D300,E300)</f>
        <v/>
      </c>
      <c r="G300" t="str">
        <f>IFERROR(INDEX(diakadat!$I$2:$I$50,MATCH(D300,diakadat!$J$2:$J$50,0),1),"")</f>
        <v/>
      </c>
      <c r="H300" t="str">
        <f>IFERROR(INDEX(diakadat!$O$2:$O$50,MATCH(D300,diakadat!$J$2:$J$50,0),1),"")</f>
        <v/>
      </c>
      <c r="I300" t="str">
        <f>IFERROR(INDEX(diakadat!#REF!,MATCH(D300,diakadat!$J$2:$J$50,0),1),"")</f>
        <v/>
      </c>
      <c r="J300" t="str">
        <f>IFERROR(INDEX(diakadat!$K$2:$K$50,MATCH(D300,diakadat!$J$2:$J$50,0),1),"")</f>
        <v/>
      </c>
      <c r="K300" t="str" cm="1">
        <f t="array" ref="K300">IFERROR(DatumSzovegge2(INDEX(diakadat!$L$2:$L$50,MATCH(D300,diakadat!$J$2:$J$50,0),1)),"")</f>
        <v/>
      </c>
      <c r="L300" t="str" cm="1">
        <f t="array" ref="L300">IFERROR(DatumSzovegge5(INDEX(diakadat!$L$2:$L$50,MATCH(D300,diakadat!$J$2:$J$50,0),1)),"")</f>
        <v/>
      </c>
      <c r="M300" t="str" cm="1">
        <f t="array" ref="M300">IFERROR(DatumSzovegge3(INDEX(diakadat!$L$2:$L$50,MATCH(D300,diakadat!$J$2:$J$50,0),1)),"")</f>
        <v/>
      </c>
      <c r="N300" t="str" cm="1">
        <f t="array" ref="N300">IFERROR(DatumSzovegge4(INDEX(diakadat!$L$2:$L$50,MATCH(D300,diakadat!$J$2:$J$50,0),1)),"")</f>
        <v/>
      </c>
      <c r="O300" t="str">
        <f>IFERROR(INDEX(diakadat!$R$2:$R$50,MATCH(D300,diakadat!$J$2:$J$50,0),1),"")</f>
        <v/>
      </c>
      <c r="P300" t="str">
        <f>IFERROR(INDEX(diakadat!$AI$2:$AI$50,MATCH(D300,diakadat!$J$2:$J$50,0),1),"")</f>
        <v/>
      </c>
      <c r="Q300" t="str">
        <f>IFERROR(INDEX('rangsor'!$C$2:$C$343,MATCH(D300,'rangsor'!$A$2:$A$343,0),1),"")</f>
        <v/>
      </c>
      <c r="T300" t="s">
        <v>831</v>
      </c>
      <c r="U300" t="str" cm="1">
        <f t="array" ref="U300">Határozat(D300)</f>
        <v/>
      </c>
      <c r="AC300" t="str">
        <f>IFERROR(INDEX(diakadat!$U$2:$U$50,MATCH(D300,diakadat!$J$2:$J$50),1),"")</f>
        <v/>
      </c>
      <c r="AD300" t="str">
        <f>IFERROR(INDEX(diakadat!$V$2:$V$50,MATCH(D300,diakadat!$J$2:$J$50),1),"")</f>
        <v/>
      </c>
      <c r="AE300" t="str">
        <f>IFERROR(INDEX(diakadat!$W$2:$W$50,MATCH(D300,diakadat!$J$2:$J$50),1),"")</f>
        <v/>
      </c>
      <c r="AI300" t="str">
        <f>IFERROR(INDEX(diakadat!$X$2:$X$50,MATCH(D300,diakadat!$J$2:$J$50),1),"")</f>
        <v/>
      </c>
      <c r="AK300">
        <f t="shared" si="4"/>
        <v>329</v>
      </c>
      <c r="AL300" t="str" cm="1">
        <f t="array" ref="AL300">ElsoBetuNagy(R300)</f>
        <v/>
      </c>
      <c r="AO300" t="str" cm="1">
        <f t="array" ref="AO300">DatumSzovegge5(AN300)</f>
        <v>1899.</v>
      </c>
      <c r="AP300" t="str" cm="1">
        <f t="array" ref="AP300">DatumSzovegge3(AN300)</f>
        <v>december</v>
      </c>
      <c r="AQ300" t="str" cm="1">
        <f t="array" ref="AQ300">DatumSzovegge4(AN300)</f>
        <v>30.</v>
      </c>
    </row>
    <row r="301" spans="4:43" x14ac:dyDescent="0.25">
      <c r="D301" t="str" cm="1">
        <f t="array" ref="D301">SzuressNev($B$1,ROW()-1)</f>
        <v/>
      </c>
      <c r="E301">
        <f>COUNTIF($D$2:D301,D301)</f>
        <v>280</v>
      </c>
      <c r="F301" t="str" cm="1">
        <f t="array" ref="F301">ElutasitasEgyOk2(D301,E301)</f>
        <v/>
      </c>
      <c r="G301" t="str">
        <f>IFERROR(INDEX(diakadat!$I$2:$I$50,MATCH(D301,diakadat!$J$2:$J$50,0),1),"")</f>
        <v/>
      </c>
      <c r="H301" t="str">
        <f>IFERROR(INDEX(diakadat!$O$2:$O$50,MATCH(D301,diakadat!$J$2:$J$50,0),1),"")</f>
        <v/>
      </c>
      <c r="I301" t="str">
        <f>IFERROR(INDEX(diakadat!#REF!,MATCH(D301,diakadat!$J$2:$J$50,0),1),"")</f>
        <v/>
      </c>
      <c r="J301" t="str">
        <f>IFERROR(INDEX(diakadat!$K$2:$K$50,MATCH(D301,diakadat!$J$2:$J$50,0),1),"")</f>
        <v/>
      </c>
      <c r="K301" t="str" cm="1">
        <f t="array" ref="K301">IFERROR(DatumSzovegge2(INDEX(diakadat!$L$2:$L$50,MATCH(D301,diakadat!$J$2:$J$50,0),1)),"")</f>
        <v/>
      </c>
      <c r="L301" t="str" cm="1">
        <f t="array" ref="L301">IFERROR(DatumSzovegge5(INDEX(diakadat!$L$2:$L$50,MATCH(D301,diakadat!$J$2:$J$50,0),1)),"")</f>
        <v/>
      </c>
      <c r="M301" t="str" cm="1">
        <f t="array" ref="M301">IFERROR(DatumSzovegge3(INDEX(diakadat!$L$2:$L$50,MATCH(D301,diakadat!$J$2:$J$50,0),1)),"")</f>
        <v/>
      </c>
      <c r="N301" t="str" cm="1">
        <f t="array" ref="N301">IFERROR(DatumSzovegge4(INDEX(diakadat!$L$2:$L$50,MATCH(D301,diakadat!$J$2:$J$50,0),1)),"")</f>
        <v/>
      </c>
      <c r="O301" t="str">
        <f>IFERROR(INDEX(diakadat!$R$2:$R$50,MATCH(D301,diakadat!$J$2:$J$50,0),1),"")</f>
        <v/>
      </c>
      <c r="P301" t="str">
        <f>IFERROR(INDEX(diakadat!$AI$2:$AI$50,MATCH(D301,diakadat!$J$2:$J$50,0),1),"")</f>
        <v/>
      </c>
      <c r="Q301" t="str">
        <f>IFERROR(INDEX('rangsor'!$C$2:$C$343,MATCH(D301,'rangsor'!$A$2:$A$343,0),1),"")</f>
        <v/>
      </c>
      <c r="T301" t="s">
        <v>831</v>
      </c>
      <c r="U301" t="str" cm="1">
        <f t="array" ref="U301">Határozat(D301)</f>
        <v/>
      </c>
      <c r="AC301" t="str">
        <f>IFERROR(INDEX(diakadat!$U$2:$U$50,MATCH(D301,diakadat!$J$2:$J$50),1),"")</f>
        <v/>
      </c>
      <c r="AD301" t="str">
        <f>IFERROR(INDEX(diakadat!$V$2:$V$50,MATCH(D301,diakadat!$J$2:$J$50),1),"")</f>
        <v/>
      </c>
      <c r="AE301" t="str">
        <f>IFERROR(INDEX(diakadat!$W$2:$W$50,MATCH(D301,diakadat!$J$2:$J$50),1),"")</f>
        <v/>
      </c>
      <c r="AI301" t="str">
        <f>IFERROR(INDEX(diakadat!$X$2:$X$50,MATCH(D301,diakadat!$J$2:$J$50),1),"")</f>
        <v/>
      </c>
      <c r="AK301">
        <f t="shared" si="4"/>
        <v>329</v>
      </c>
      <c r="AL301" t="str" cm="1">
        <f t="array" ref="AL301">ElsoBetuNagy(R301)</f>
        <v/>
      </c>
      <c r="AO301" t="str" cm="1">
        <f t="array" ref="AO301">DatumSzovegge5(AN301)</f>
        <v>1899.</v>
      </c>
      <c r="AP301" t="str" cm="1">
        <f t="array" ref="AP301">DatumSzovegge3(AN301)</f>
        <v>december</v>
      </c>
      <c r="AQ301" t="str" cm="1">
        <f t="array" ref="AQ301">DatumSzovegge4(AN301)</f>
        <v>30.</v>
      </c>
    </row>
    <row r="302" spans="4:43" x14ac:dyDescent="0.25">
      <c r="D302" t="str" cm="1">
        <f t="array" ref="D302">SzuressNev($B$1,ROW()-1)</f>
        <v/>
      </c>
      <c r="E302">
        <f>COUNTIF($D$2:D302,D302)</f>
        <v>281</v>
      </c>
      <c r="F302" t="str" cm="1">
        <f t="array" ref="F302">ElutasitasEgyOk2(D302,E302)</f>
        <v/>
      </c>
      <c r="G302" t="str">
        <f>IFERROR(INDEX(diakadat!$I$2:$I$50,MATCH(D302,diakadat!$J$2:$J$50,0),1),"")</f>
        <v/>
      </c>
      <c r="H302" t="str">
        <f>IFERROR(INDEX(diakadat!$O$2:$O$50,MATCH(D302,diakadat!$J$2:$J$50,0),1),"")</f>
        <v/>
      </c>
      <c r="I302" t="str">
        <f>IFERROR(INDEX(diakadat!#REF!,MATCH(D302,diakadat!$J$2:$J$50,0),1),"")</f>
        <v/>
      </c>
      <c r="J302" t="str">
        <f>IFERROR(INDEX(diakadat!$K$2:$K$50,MATCH(D302,diakadat!$J$2:$J$50,0),1),"")</f>
        <v/>
      </c>
      <c r="K302" t="str" cm="1">
        <f t="array" ref="K302">IFERROR(DatumSzovegge2(INDEX(diakadat!$L$2:$L$50,MATCH(D302,diakadat!$J$2:$J$50,0),1)),"")</f>
        <v/>
      </c>
      <c r="L302" t="str" cm="1">
        <f t="array" ref="L302">IFERROR(DatumSzovegge5(INDEX(diakadat!$L$2:$L$50,MATCH(D302,diakadat!$J$2:$J$50,0),1)),"")</f>
        <v/>
      </c>
      <c r="M302" t="str" cm="1">
        <f t="array" ref="M302">IFERROR(DatumSzovegge3(INDEX(diakadat!$L$2:$L$50,MATCH(D302,diakadat!$J$2:$J$50,0),1)),"")</f>
        <v/>
      </c>
      <c r="N302" t="str" cm="1">
        <f t="array" ref="N302">IFERROR(DatumSzovegge4(INDEX(diakadat!$L$2:$L$50,MATCH(D302,diakadat!$J$2:$J$50,0),1)),"")</f>
        <v/>
      </c>
      <c r="O302" t="str">
        <f>IFERROR(INDEX(diakadat!$R$2:$R$50,MATCH(D302,diakadat!$J$2:$J$50,0),1),"")</f>
        <v/>
      </c>
      <c r="P302" t="str">
        <f>IFERROR(INDEX(diakadat!$AI$2:$AI$50,MATCH(D302,diakadat!$J$2:$J$50,0),1),"")</f>
        <v/>
      </c>
      <c r="Q302" t="str">
        <f>IFERROR(INDEX('rangsor'!$C$2:$C$343,MATCH(D302,'rangsor'!$A$2:$A$343,0),1),"")</f>
        <v/>
      </c>
      <c r="T302" t="s">
        <v>831</v>
      </c>
      <c r="U302" t="str" cm="1">
        <f t="array" ref="U302">Határozat(D302)</f>
        <v/>
      </c>
      <c r="AC302" t="str">
        <f>IFERROR(INDEX(diakadat!$U$2:$U$50,MATCH(D302,diakadat!$J$2:$J$50),1),"")</f>
        <v/>
      </c>
      <c r="AD302" t="str">
        <f>IFERROR(INDEX(diakadat!$V$2:$V$50,MATCH(D302,diakadat!$J$2:$J$50),1),"")</f>
        <v/>
      </c>
      <c r="AE302" t="str">
        <f>IFERROR(INDEX(diakadat!$W$2:$W$50,MATCH(D302,diakadat!$J$2:$J$50),1),"")</f>
        <v/>
      </c>
      <c r="AI302" t="str">
        <f>IFERROR(INDEX(diakadat!$X$2:$X$50,MATCH(D302,diakadat!$J$2:$J$50),1),"")</f>
        <v/>
      </c>
      <c r="AK302">
        <f t="shared" si="4"/>
        <v>329</v>
      </c>
      <c r="AL302" t="str" cm="1">
        <f t="array" ref="AL302">ElsoBetuNagy(R302)</f>
        <v/>
      </c>
      <c r="AO302" t="str" cm="1">
        <f t="array" ref="AO302">DatumSzovegge5(AN302)</f>
        <v>1899.</v>
      </c>
      <c r="AP302" t="str" cm="1">
        <f t="array" ref="AP302">DatumSzovegge3(AN302)</f>
        <v>december</v>
      </c>
      <c r="AQ302" t="str" cm="1">
        <f t="array" ref="AQ302">DatumSzovegge4(AN302)</f>
        <v>30.</v>
      </c>
    </row>
    <row r="303" spans="4:43" x14ac:dyDescent="0.25">
      <c r="D303" t="str" cm="1">
        <f t="array" ref="D303">SzuressNev($B$1,ROW()-1)</f>
        <v/>
      </c>
      <c r="E303">
        <f>COUNTIF($D$2:D303,D303)</f>
        <v>282</v>
      </c>
      <c r="F303" t="str" cm="1">
        <f t="array" ref="F303">ElutasitasEgyOk2(D303,E303)</f>
        <v/>
      </c>
      <c r="G303" t="str">
        <f>IFERROR(INDEX(diakadat!$I$2:$I$50,MATCH(D303,diakadat!$J$2:$J$50,0),1),"")</f>
        <v/>
      </c>
      <c r="H303" t="str">
        <f>IFERROR(INDEX(diakadat!$O$2:$O$50,MATCH(D303,diakadat!$J$2:$J$50,0),1),"")</f>
        <v/>
      </c>
      <c r="I303" t="str">
        <f>IFERROR(INDEX(diakadat!#REF!,MATCH(D303,diakadat!$J$2:$J$50,0),1),"")</f>
        <v/>
      </c>
      <c r="J303" t="str">
        <f>IFERROR(INDEX(diakadat!$K$2:$K$50,MATCH(D303,diakadat!$J$2:$J$50,0),1),"")</f>
        <v/>
      </c>
      <c r="K303" t="str" cm="1">
        <f t="array" ref="K303">IFERROR(DatumSzovegge2(INDEX(diakadat!$L$2:$L$50,MATCH(D303,diakadat!$J$2:$J$50,0),1)),"")</f>
        <v/>
      </c>
      <c r="L303" t="str" cm="1">
        <f t="array" ref="L303">IFERROR(DatumSzovegge5(INDEX(diakadat!$L$2:$L$50,MATCH(D303,diakadat!$J$2:$J$50,0),1)),"")</f>
        <v/>
      </c>
      <c r="M303" t="str" cm="1">
        <f t="array" ref="M303">IFERROR(DatumSzovegge3(INDEX(diakadat!$L$2:$L$50,MATCH(D303,diakadat!$J$2:$J$50,0),1)),"")</f>
        <v/>
      </c>
      <c r="N303" t="str" cm="1">
        <f t="array" ref="N303">IFERROR(DatumSzovegge4(INDEX(diakadat!$L$2:$L$50,MATCH(D303,diakadat!$J$2:$J$50,0),1)),"")</f>
        <v/>
      </c>
      <c r="O303" t="str">
        <f>IFERROR(INDEX(diakadat!$R$2:$R$50,MATCH(D303,diakadat!$J$2:$J$50,0),1),"")</f>
        <v/>
      </c>
      <c r="P303" t="str">
        <f>IFERROR(INDEX(diakadat!$AI$2:$AI$50,MATCH(D303,diakadat!$J$2:$J$50,0),1),"")</f>
        <v/>
      </c>
      <c r="Q303" t="str">
        <f>IFERROR(INDEX('rangsor'!$C$2:$C$343,MATCH(D303,'rangsor'!$A$2:$A$343,0),1),"")</f>
        <v/>
      </c>
      <c r="T303" t="s">
        <v>831</v>
      </c>
      <c r="U303" t="str" cm="1">
        <f t="array" ref="U303">Határozat(D303)</f>
        <v/>
      </c>
      <c r="AC303" t="str">
        <f>IFERROR(INDEX(diakadat!$U$2:$U$50,MATCH(D303,diakadat!$J$2:$J$50),1),"")</f>
        <v/>
      </c>
      <c r="AD303" t="str">
        <f>IFERROR(INDEX(diakadat!$V$2:$V$50,MATCH(D303,diakadat!$J$2:$J$50),1),"")</f>
        <v/>
      </c>
      <c r="AE303" t="str">
        <f>IFERROR(INDEX(diakadat!$W$2:$W$50,MATCH(D303,diakadat!$J$2:$J$50),1),"")</f>
        <v/>
      </c>
      <c r="AI303" t="str">
        <f>IFERROR(INDEX(diakadat!$X$2:$X$50,MATCH(D303,diakadat!$J$2:$J$50),1),"")</f>
        <v/>
      </c>
      <c r="AK303">
        <f t="shared" si="4"/>
        <v>329</v>
      </c>
      <c r="AL303" t="str" cm="1">
        <f t="array" ref="AL303">ElsoBetuNagy(R303)</f>
        <v/>
      </c>
      <c r="AO303" t="str" cm="1">
        <f t="array" ref="AO303">DatumSzovegge5(AN303)</f>
        <v>1899.</v>
      </c>
      <c r="AP303" t="str" cm="1">
        <f t="array" ref="AP303">DatumSzovegge3(AN303)</f>
        <v>december</v>
      </c>
      <c r="AQ303" t="str" cm="1">
        <f t="array" ref="AQ303">DatumSzovegge4(AN303)</f>
        <v>30.</v>
      </c>
    </row>
    <row r="304" spans="4:43" x14ac:dyDescent="0.25">
      <c r="D304" t="str" cm="1">
        <f t="array" ref="D304">SzuressNev($B$1,ROW()-1)</f>
        <v/>
      </c>
      <c r="E304">
        <f>COUNTIF($D$2:D304,D304)</f>
        <v>283</v>
      </c>
      <c r="F304" t="str" cm="1">
        <f t="array" ref="F304">ElutasitasEgyOk2(D304,E304)</f>
        <v/>
      </c>
      <c r="G304" t="str">
        <f>IFERROR(INDEX(diakadat!$I$2:$I$50,MATCH(D304,diakadat!$J$2:$J$50,0),1),"")</f>
        <v/>
      </c>
      <c r="H304" t="str">
        <f>IFERROR(INDEX(diakadat!$O$2:$O$50,MATCH(D304,diakadat!$J$2:$J$50,0),1),"")</f>
        <v/>
      </c>
      <c r="I304" t="str">
        <f>IFERROR(INDEX(diakadat!#REF!,MATCH(D304,diakadat!$J$2:$J$50,0),1),"")</f>
        <v/>
      </c>
      <c r="J304" t="str">
        <f>IFERROR(INDEX(diakadat!$K$2:$K$50,MATCH(D304,diakadat!$J$2:$J$50,0),1),"")</f>
        <v/>
      </c>
      <c r="K304" t="str" cm="1">
        <f t="array" ref="K304">IFERROR(DatumSzovegge2(INDEX(diakadat!$L$2:$L$50,MATCH(D304,diakadat!$J$2:$J$50,0),1)),"")</f>
        <v/>
      </c>
      <c r="L304" t="str" cm="1">
        <f t="array" ref="L304">IFERROR(DatumSzovegge5(INDEX(diakadat!$L$2:$L$50,MATCH(D304,diakadat!$J$2:$J$50,0),1)),"")</f>
        <v/>
      </c>
      <c r="M304" t="str" cm="1">
        <f t="array" ref="M304">IFERROR(DatumSzovegge3(INDEX(diakadat!$L$2:$L$50,MATCH(D304,diakadat!$J$2:$J$50,0),1)),"")</f>
        <v/>
      </c>
      <c r="N304" t="str" cm="1">
        <f t="array" ref="N304">IFERROR(DatumSzovegge4(INDEX(diakadat!$L$2:$L$50,MATCH(D304,diakadat!$J$2:$J$50,0),1)),"")</f>
        <v/>
      </c>
      <c r="O304" t="str">
        <f>IFERROR(INDEX(diakadat!$R$2:$R$50,MATCH(D304,diakadat!$J$2:$J$50,0),1),"")</f>
        <v/>
      </c>
      <c r="P304" t="str">
        <f>IFERROR(INDEX(diakadat!$AI$2:$AI$50,MATCH(D304,diakadat!$J$2:$J$50,0),1),"")</f>
        <v/>
      </c>
      <c r="Q304" t="str">
        <f>IFERROR(INDEX('rangsor'!$C$2:$C$343,MATCH(D304,'rangsor'!$A$2:$A$343,0),1),"")</f>
        <v/>
      </c>
      <c r="T304" t="s">
        <v>831</v>
      </c>
      <c r="U304" t="str" cm="1">
        <f t="array" ref="U304">Határozat(D304)</f>
        <v/>
      </c>
      <c r="AC304" t="str">
        <f>IFERROR(INDEX(diakadat!$U$2:$U$50,MATCH(D304,diakadat!$J$2:$J$50),1),"")</f>
        <v/>
      </c>
      <c r="AD304" t="str">
        <f>IFERROR(INDEX(diakadat!$V$2:$V$50,MATCH(D304,diakadat!$J$2:$J$50),1),"")</f>
        <v/>
      </c>
      <c r="AE304" t="str">
        <f>IFERROR(INDEX(diakadat!$W$2:$W$50,MATCH(D304,diakadat!$J$2:$J$50),1),"")</f>
        <v/>
      </c>
      <c r="AI304" t="str">
        <f>IFERROR(INDEX(diakadat!$X$2:$X$50,MATCH(D304,diakadat!$J$2:$J$50),1),"")</f>
        <v/>
      </c>
      <c r="AK304">
        <f t="shared" si="4"/>
        <v>329</v>
      </c>
      <c r="AL304" t="str" cm="1">
        <f t="array" ref="AL304">ElsoBetuNagy(R304)</f>
        <v/>
      </c>
      <c r="AO304" t="str" cm="1">
        <f t="array" ref="AO304">DatumSzovegge5(AN304)</f>
        <v>1899.</v>
      </c>
      <c r="AP304" t="str" cm="1">
        <f t="array" ref="AP304">DatumSzovegge3(AN304)</f>
        <v>december</v>
      </c>
      <c r="AQ304" t="str" cm="1">
        <f t="array" ref="AQ304">DatumSzovegge4(AN304)</f>
        <v>30.</v>
      </c>
    </row>
    <row r="305" spans="4:43" x14ac:dyDescent="0.25">
      <c r="D305" t="str" cm="1">
        <f t="array" ref="D305">SzuressNev($B$1,ROW()-1)</f>
        <v/>
      </c>
      <c r="E305">
        <f>COUNTIF($D$2:D305,D305)</f>
        <v>284</v>
      </c>
      <c r="F305" t="str" cm="1">
        <f t="array" ref="F305">ElutasitasEgyOk2(D305,E305)</f>
        <v/>
      </c>
      <c r="G305" t="str">
        <f>IFERROR(INDEX(diakadat!$I$2:$I$50,MATCH(D305,diakadat!$J$2:$J$50,0),1),"")</f>
        <v/>
      </c>
      <c r="H305" t="str">
        <f>IFERROR(INDEX(diakadat!$O$2:$O$50,MATCH(D305,diakadat!$J$2:$J$50,0),1),"")</f>
        <v/>
      </c>
      <c r="I305" t="str">
        <f>IFERROR(INDEX(diakadat!#REF!,MATCH(D305,diakadat!$J$2:$J$50,0),1),"")</f>
        <v/>
      </c>
      <c r="J305" t="str">
        <f>IFERROR(INDEX(diakadat!$K$2:$K$50,MATCH(D305,diakadat!$J$2:$J$50,0),1),"")</f>
        <v/>
      </c>
      <c r="K305" t="str" cm="1">
        <f t="array" ref="K305">IFERROR(DatumSzovegge2(INDEX(diakadat!$L$2:$L$50,MATCH(D305,diakadat!$J$2:$J$50,0),1)),"")</f>
        <v/>
      </c>
      <c r="L305" t="str" cm="1">
        <f t="array" ref="L305">IFERROR(DatumSzovegge5(INDEX(diakadat!$L$2:$L$50,MATCH(D305,diakadat!$J$2:$J$50,0),1)),"")</f>
        <v/>
      </c>
      <c r="M305" t="str" cm="1">
        <f t="array" ref="M305">IFERROR(DatumSzovegge3(INDEX(diakadat!$L$2:$L$50,MATCH(D305,diakadat!$J$2:$J$50,0),1)),"")</f>
        <v/>
      </c>
      <c r="N305" t="str" cm="1">
        <f t="array" ref="N305">IFERROR(DatumSzovegge4(INDEX(diakadat!$L$2:$L$50,MATCH(D305,diakadat!$J$2:$J$50,0),1)),"")</f>
        <v/>
      </c>
      <c r="O305" t="str">
        <f>IFERROR(INDEX(diakadat!$R$2:$R$50,MATCH(D305,diakadat!$J$2:$J$50,0),1),"")</f>
        <v/>
      </c>
      <c r="P305" t="str">
        <f>IFERROR(INDEX(diakadat!$AI$2:$AI$50,MATCH(D305,diakadat!$J$2:$J$50,0),1),"")</f>
        <v/>
      </c>
      <c r="Q305" t="str">
        <f>IFERROR(INDEX('rangsor'!$C$2:$C$343,MATCH(D305,'rangsor'!$A$2:$A$343,0),1),"")</f>
        <v/>
      </c>
      <c r="T305" t="s">
        <v>831</v>
      </c>
      <c r="U305" t="str" cm="1">
        <f t="array" ref="U305">Határozat(D305)</f>
        <v/>
      </c>
      <c r="AC305" t="str">
        <f>IFERROR(INDEX(diakadat!$U$2:$U$50,MATCH(D305,diakadat!$J$2:$J$50),1),"")</f>
        <v/>
      </c>
      <c r="AD305" t="str">
        <f>IFERROR(INDEX(diakadat!$V$2:$V$50,MATCH(D305,diakadat!$J$2:$J$50),1),"")</f>
        <v/>
      </c>
      <c r="AE305" t="str">
        <f>IFERROR(INDEX(diakadat!$W$2:$W$50,MATCH(D305,diakadat!$J$2:$J$50),1),"")</f>
        <v/>
      </c>
      <c r="AI305" t="str">
        <f>IFERROR(INDEX(diakadat!$X$2:$X$50,MATCH(D305,diakadat!$J$2:$J$50),1),"")</f>
        <v/>
      </c>
      <c r="AK305">
        <f t="shared" si="4"/>
        <v>329</v>
      </c>
      <c r="AL305" t="str" cm="1">
        <f t="array" ref="AL305">ElsoBetuNagy(R305)</f>
        <v/>
      </c>
      <c r="AO305" t="str" cm="1">
        <f t="array" ref="AO305">DatumSzovegge5(AN305)</f>
        <v>1899.</v>
      </c>
      <c r="AP305" t="str" cm="1">
        <f t="array" ref="AP305">DatumSzovegge3(AN305)</f>
        <v>december</v>
      </c>
      <c r="AQ305" t="str" cm="1">
        <f t="array" ref="AQ305">DatumSzovegge4(AN305)</f>
        <v>30.</v>
      </c>
    </row>
    <row r="306" spans="4:43" x14ac:dyDescent="0.25">
      <c r="D306" t="str" cm="1">
        <f t="array" ref="D306">SzuressNev($B$1,ROW()-1)</f>
        <v/>
      </c>
      <c r="E306">
        <f>COUNTIF($D$2:D306,D306)</f>
        <v>285</v>
      </c>
      <c r="F306" t="str" cm="1">
        <f t="array" ref="F306">ElutasitasEgyOk2(D306,E306)</f>
        <v/>
      </c>
      <c r="G306" t="str">
        <f>IFERROR(INDEX(diakadat!$I$2:$I$50,MATCH(D306,diakadat!$J$2:$J$50,0),1),"")</f>
        <v/>
      </c>
      <c r="H306" t="str">
        <f>IFERROR(INDEX(diakadat!$O$2:$O$50,MATCH(D306,diakadat!$J$2:$J$50,0),1),"")</f>
        <v/>
      </c>
      <c r="I306" t="str">
        <f>IFERROR(INDEX(diakadat!#REF!,MATCH(D306,diakadat!$J$2:$J$50,0),1),"")</f>
        <v/>
      </c>
      <c r="J306" t="str">
        <f>IFERROR(INDEX(diakadat!$K$2:$K$50,MATCH(D306,diakadat!$J$2:$J$50,0),1),"")</f>
        <v/>
      </c>
      <c r="K306" t="str" cm="1">
        <f t="array" ref="K306">IFERROR(DatumSzovegge2(INDEX(diakadat!$L$2:$L$50,MATCH(D306,diakadat!$J$2:$J$50,0),1)),"")</f>
        <v/>
      </c>
      <c r="L306" t="str" cm="1">
        <f t="array" ref="L306">IFERROR(DatumSzovegge5(INDEX(diakadat!$L$2:$L$50,MATCH(D306,diakadat!$J$2:$J$50,0),1)),"")</f>
        <v/>
      </c>
      <c r="M306" t="str" cm="1">
        <f t="array" ref="M306">IFERROR(DatumSzovegge3(INDEX(diakadat!$L$2:$L$50,MATCH(D306,diakadat!$J$2:$J$50,0),1)),"")</f>
        <v/>
      </c>
      <c r="N306" t="str" cm="1">
        <f t="array" ref="N306">IFERROR(DatumSzovegge4(INDEX(diakadat!$L$2:$L$50,MATCH(D306,diakadat!$J$2:$J$50,0),1)),"")</f>
        <v/>
      </c>
      <c r="O306" t="str">
        <f>IFERROR(INDEX(diakadat!$R$2:$R$50,MATCH(D306,diakadat!$J$2:$J$50,0),1),"")</f>
        <v/>
      </c>
      <c r="P306" t="str">
        <f>IFERROR(INDEX(diakadat!$AI$2:$AI$50,MATCH(D306,diakadat!$J$2:$J$50,0),1),"")</f>
        <v/>
      </c>
      <c r="Q306" t="str">
        <f>IFERROR(INDEX('rangsor'!$C$2:$C$343,MATCH(D306,'rangsor'!$A$2:$A$343,0),1),"")</f>
        <v/>
      </c>
      <c r="T306" t="s">
        <v>831</v>
      </c>
      <c r="U306" t="str" cm="1">
        <f t="array" ref="U306">Határozat(D306)</f>
        <v/>
      </c>
      <c r="AC306" t="str">
        <f>IFERROR(INDEX(diakadat!$U$2:$U$50,MATCH(D306,diakadat!$J$2:$J$50),1),"")</f>
        <v/>
      </c>
      <c r="AD306" t="str">
        <f>IFERROR(INDEX(diakadat!$V$2:$V$50,MATCH(D306,diakadat!$J$2:$J$50),1),"")</f>
        <v/>
      </c>
      <c r="AE306" t="str">
        <f>IFERROR(INDEX(diakadat!$W$2:$W$50,MATCH(D306,diakadat!$J$2:$J$50),1),"")</f>
        <v/>
      </c>
      <c r="AI306" t="str">
        <f>IFERROR(INDEX(diakadat!$X$2:$X$50,MATCH(D306,diakadat!$J$2:$J$50),1),"")</f>
        <v/>
      </c>
      <c r="AK306">
        <f t="shared" si="4"/>
        <v>329</v>
      </c>
      <c r="AL306" t="str" cm="1">
        <f t="array" ref="AL306">ElsoBetuNagy(R306)</f>
        <v/>
      </c>
      <c r="AO306" t="str" cm="1">
        <f t="array" ref="AO306">DatumSzovegge5(AN306)</f>
        <v>1899.</v>
      </c>
      <c r="AP306" t="str" cm="1">
        <f t="array" ref="AP306">DatumSzovegge3(AN306)</f>
        <v>december</v>
      </c>
      <c r="AQ306" t="str" cm="1">
        <f t="array" ref="AQ306">DatumSzovegge4(AN306)</f>
        <v>30.</v>
      </c>
    </row>
    <row r="307" spans="4:43" x14ac:dyDescent="0.25">
      <c r="D307" t="str" cm="1">
        <f t="array" ref="D307">SzuressNev($B$1,ROW()-1)</f>
        <v/>
      </c>
      <c r="E307">
        <f>COUNTIF($D$2:D307,D307)</f>
        <v>286</v>
      </c>
      <c r="F307" t="str" cm="1">
        <f t="array" ref="F307">ElutasitasEgyOk2(D307,E307)</f>
        <v/>
      </c>
      <c r="G307" t="str">
        <f>IFERROR(INDEX(diakadat!$I$2:$I$50,MATCH(D307,diakadat!$J$2:$J$50,0),1),"")</f>
        <v/>
      </c>
      <c r="H307" t="str">
        <f>IFERROR(INDEX(diakadat!$O$2:$O$50,MATCH(D307,diakadat!$J$2:$J$50,0),1),"")</f>
        <v/>
      </c>
      <c r="I307" t="str">
        <f>IFERROR(INDEX(diakadat!#REF!,MATCH(D307,diakadat!$J$2:$J$50,0),1),"")</f>
        <v/>
      </c>
      <c r="J307" t="str">
        <f>IFERROR(INDEX(diakadat!$K$2:$K$50,MATCH(D307,diakadat!$J$2:$J$50,0),1),"")</f>
        <v/>
      </c>
      <c r="K307" t="str" cm="1">
        <f t="array" ref="K307">IFERROR(DatumSzovegge2(INDEX(diakadat!$L$2:$L$50,MATCH(D307,diakadat!$J$2:$J$50,0),1)),"")</f>
        <v/>
      </c>
      <c r="L307" t="str" cm="1">
        <f t="array" ref="L307">IFERROR(DatumSzovegge5(INDEX(diakadat!$L$2:$L$50,MATCH(D307,diakadat!$J$2:$J$50,0),1)),"")</f>
        <v/>
      </c>
      <c r="M307" t="str" cm="1">
        <f t="array" ref="M307">IFERROR(DatumSzovegge3(INDEX(diakadat!$L$2:$L$50,MATCH(D307,diakadat!$J$2:$J$50,0),1)),"")</f>
        <v/>
      </c>
      <c r="N307" t="str" cm="1">
        <f t="array" ref="N307">IFERROR(DatumSzovegge4(INDEX(diakadat!$L$2:$L$50,MATCH(D307,diakadat!$J$2:$J$50,0),1)),"")</f>
        <v/>
      </c>
      <c r="O307" t="str">
        <f>IFERROR(INDEX(diakadat!$R$2:$R$50,MATCH(D307,diakadat!$J$2:$J$50,0),1),"")</f>
        <v/>
      </c>
      <c r="P307" t="str">
        <f>IFERROR(INDEX(diakadat!$AI$2:$AI$50,MATCH(D307,diakadat!$J$2:$J$50,0),1),"")</f>
        <v/>
      </c>
      <c r="Q307" t="str">
        <f>IFERROR(INDEX('rangsor'!$C$2:$C$343,MATCH(D307,'rangsor'!$A$2:$A$343,0),1),"")</f>
        <v/>
      </c>
      <c r="T307" t="s">
        <v>831</v>
      </c>
      <c r="U307" t="str" cm="1">
        <f t="array" ref="U307">Határozat(D307)</f>
        <v/>
      </c>
      <c r="AC307" t="str">
        <f>IFERROR(INDEX(diakadat!$U$2:$U$50,MATCH(D307,diakadat!$J$2:$J$50),1),"")</f>
        <v/>
      </c>
      <c r="AD307" t="str">
        <f>IFERROR(INDEX(diakadat!$V$2:$V$50,MATCH(D307,diakadat!$J$2:$J$50),1),"")</f>
        <v/>
      </c>
      <c r="AE307" t="str">
        <f>IFERROR(INDEX(diakadat!$W$2:$W$50,MATCH(D307,diakadat!$J$2:$J$50),1),"")</f>
        <v/>
      </c>
      <c r="AI307" t="str">
        <f>IFERROR(INDEX(diakadat!$X$2:$X$50,MATCH(D307,diakadat!$J$2:$J$50),1),"")</f>
        <v/>
      </c>
      <c r="AK307">
        <f t="shared" si="4"/>
        <v>329</v>
      </c>
      <c r="AL307" t="str" cm="1">
        <f t="array" ref="AL307">ElsoBetuNagy(R307)</f>
        <v/>
      </c>
      <c r="AO307" t="str" cm="1">
        <f t="array" ref="AO307">DatumSzovegge5(AN307)</f>
        <v>1899.</v>
      </c>
      <c r="AP307" t="str" cm="1">
        <f t="array" ref="AP307">DatumSzovegge3(AN307)</f>
        <v>december</v>
      </c>
      <c r="AQ307" t="str" cm="1">
        <f t="array" ref="AQ307">DatumSzovegge4(AN307)</f>
        <v>30.</v>
      </c>
    </row>
    <row r="308" spans="4:43" x14ac:dyDescent="0.25">
      <c r="D308" t="str" cm="1">
        <f t="array" ref="D308">SzuressNev($B$1,ROW()-1)</f>
        <v/>
      </c>
      <c r="E308">
        <f>COUNTIF($D$2:D308,D308)</f>
        <v>287</v>
      </c>
      <c r="F308" t="str" cm="1">
        <f t="array" ref="F308">ElutasitasEgyOk2(D308,E308)</f>
        <v/>
      </c>
      <c r="G308" t="str">
        <f>IFERROR(INDEX(diakadat!$I$2:$I$50,MATCH(D308,diakadat!$J$2:$J$50,0),1),"")</f>
        <v/>
      </c>
      <c r="H308" t="str">
        <f>IFERROR(INDEX(diakadat!$O$2:$O$50,MATCH(D308,diakadat!$J$2:$J$50,0),1),"")</f>
        <v/>
      </c>
      <c r="I308" t="str">
        <f>IFERROR(INDEX(diakadat!#REF!,MATCH(D308,diakadat!$J$2:$J$50,0),1),"")</f>
        <v/>
      </c>
      <c r="J308" t="str">
        <f>IFERROR(INDEX(diakadat!$K$2:$K$50,MATCH(D308,diakadat!$J$2:$J$50,0),1),"")</f>
        <v/>
      </c>
      <c r="K308" t="str" cm="1">
        <f t="array" ref="K308">IFERROR(DatumSzovegge2(INDEX(diakadat!$L$2:$L$50,MATCH(D308,diakadat!$J$2:$J$50,0),1)),"")</f>
        <v/>
      </c>
      <c r="L308" t="str" cm="1">
        <f t="array" ref="L308">IFERROR(DatumSzovegge5(INDEX(diakadat!$L$2:$L$50,MATCH(D308,diakadat!$J$2:$J$50,0),1)),"")</f>
        <v/>
      </c>
      <c r="M308" t="str" cm="1">
        <f t="array" ref="M308">IFERROR(DatumSzovegge3(INDEX(diakadat!$L$2:$L$50,MATCH(D308,diakadat!$J$2:$J$50,0),1)),"")</f>
        <v/>
      </c>
      <c r="N308" t="str" cm="1">
        <f t="array" ref="N308">IFERROR(DatumSzovegge4(INDEX(diakadat!$L$2:$L$50,MATCH(D308,diakadat!$J$2:$J$50,0),1)),"")</f>
        <v/>
      </c>
      <c r="O308" t="str">
        <f>IFERROR(INDEX(diakadat!$R$2:$R$50,MATCH(D308,diakadat!$J$2:$J$50,0),1),"")</f>
        <v/>
      </c>
      <c r="P308" t="str">
        <f>IFERROR(INDEX(diakadat!$AI$2:$AI$50,MATCH(D308,diakadat!$J$2:$J$50,0),1),"")</f>
        <v/>
      </c>
      <c r="Q308" t="str">
        <f>IFERROR(INDEX('rangsor'!$C$2:$C$343,MATCH(D308,'rangsor'!$A$2:$A$343,0),1),"")</f>
        <v/>
      </c>
      <c r="T308" t="s">
        <v>831</v>
      </c>
      <c r="U308" t="str" cm="1">
        <f t="array" ref="U308">Határozat(D308)</f>
        <v/>
      </c>
      <c r="AC308" t="str">
        <f>IFERROR(INDEX(diakadat!$U$2:$U$50,MATCH(D308,diakadat!$J$2:$J$50),1),"")</f>
        <v/>
      </c>
      <c r="AD308" t="str">
        <f>IFERROR(INDEX(diakadat!$V$2:$V$50,MATCH(D308,diakadat!$J$2:$J$50),1),"")</f>
        <v/>
      </c>
      <c r="AE308" t="str">
        <f>IFERROR(INDEX(diakadat!$W$2:$W$50,MATCH(D308,diakadat!$J$2:$J$50),1),"")</f>
        <v/>
      </c>
      <c r="AI308" t="str">
        <f>IFERROR(INDEX(diakadat!$X$2:$X$50,MATCH(D308,diakadat!$J$2:$J$50),1),"")</f>
        <v/>
      </c>
      <c r="AK308">
        <f t="shared" si="4"/>
        <v>329</v>
      </c>
      <c r="AL308" t="str" cm="1">
        <f t="array" ref="AL308">ElsoBetuNagy(R308)</f>
        <v/>
      </c>
      <c r="AO308" t="str" cm="1">
        <f t="array" ref="AO308">DatumSzovegge5(AN308)</f>
        <v>1899.</v>
      </c>
      <c r="AP308" t="str" cm="1">
        <f t="array" ref="AP308">DatumSzovegge3(AN308)</f>
        <v>december</v>
      </c>
      <c r="AQ308" t="str" cm="1">
        <f t="array" ref="AQ308">DatumSzovegge4(AN308)</f>
        <v>30.</v>
      </c>
    </row>
    <row r="309" spans="4:43" x14ac:dyDescent="0.25">
      <c r="D309" t="str" cm="1">
        <f t="array" ref="D309">SzuressNev($B$1,ROW()-1)</f>
        <v/>
      </c>
      <c r="E309">
        <f>COUNTIF($D$2:D309,D309)</f>
        <v>288</v>
      </c>
      <c r="F309" t="str" cm="1">
        <f t="array" ref="F309">ElutasitasEgyOk2(D309,E309)</f>
        <v/>
      </c>
      <c r="G309" t="str">
        <f>IFERROR(INDEX(diakadat!$I$2:$I$50,MATCH(D309,diakadat!$J$2:$J$50,0),1),"")</f>
        <v/>
      </c>
      <c r="H309" t="str">
        <f>IFERROR(INDEX(diakadat!$O$2:$O$50,MATCH(D309,diakadat!$J$2:$J$50,0),1),"")</f>
        <v/>
      </c>
      <c r="I309" t="str">
        <f>IFERROR(INDEX(diakadat!#REF!,MATCH(D309,diakadat!$J$2:$J$50,0),1),"")</f>
        <v/>
      </c>
      <c r="J309" t="str">
        <f>IFERROR(INDEX(diakadat!$K$2:$K$50,MATCH(D309,diakadat!$J$2:$J$50,0),1),"")</f>
        <v/>
      </c>
      <c r="K309" t="str" cm="1">
        <f t="array" ref="K309">IFERROR(DatumSzovegge2(INDEX(diakadat!$L$2:$L$50,MATCH(D309,diakadat!$J$2:$J$50,0),1)),"")</f>
        <v/>
      </c>
      <c r="L309" t="str" cm="1">
        <f t="array" ref="L309">IFERROR(DatumSzovegge5(INDEX(diakadat!$L$2:$L$50,MATCH(D309,diakadat!$J$2:$J$50,0),1)),"")</f>
        <v/>
      </c>
      <c r="M309" t="str" cm="1">
        <f t="array" ref="M309">IFERROR(DatumSzovegge3(INDEX(diakadat!$L$2:$L$50,MATCH(D309,diakadat!$J$2:$J$50,0),1)),"")</f>
        <v/>
      </c>
      <c r="N309" t="str" cm="1">
        <f t="array" ref="N309">IFERROR(DatumSzovegge4(INDEX(diakadat!$L$2:$L$50,MATCH(D309,diakadat!$J$2:$J$50,0),1)),"")</f>
        <v/>
      </c>
      <c r="O309" t="str">
        <f>IFERROR(INDEX(diakadat!$R$2:$R$50,MATCH(D309,diakadat!$J$2:$J$50,0),1),"")</f>
        <v/>
      </c>
      <c r="P309" t="str">
        <f>IFERROR(INDEX(diakadat!$AI$2:$AI$50,MATCH(D309,diakadat!$J$2:$J$50,0),1),"")</f>
        <v/>
      </c>
      <c r="Q309" t="str">
        <f>IFERROR(INDEX('rangsor'!$C$2:$C$343,MATCH(D309,'rangsor'!$A$2:$A$343,0),1),"")</f>
        <v/>
      </c>
      <c r="T309" t="s">
        <v>831</v>
      </c>
      <c r="U309" t="str" cm="1">
        <f t="array" ref="U309">Határozat(D309)</f>
        <v/>
      </c>
      <c r="AC309" t="str">
        <f>IFERROR(INDEX(diakadat!$U$2:$U$50,MATCH(D309,diakadat!$J$2:$J$50),1),"")</f>
        <v/>
      </c>
      <c r="AD309" t="str">
        <f>IFERROR(INDEX(diakadat!$V$2:$V$50,MATCH(D309,diakadat!$J$2:$J$50),1),"")</f>
        <v/>
      </c>
      <c r="AE309" t="str">
        <f>IFERROR(INDEX(diakadat!$W$2:$W$50,MATCH(D309,diakadat!$J$2:$J$50),1),"")</f>
        <v/>
      </c>
      <c r="AI309" t="str">
        <f>IFERROR(INDEX(diakadat!$X$2:$X$50,MATCH(D309,diakadat!$J$2:$J$50),1),"")</f>
        <v/>
      </c>
      <c r="AK309">
        <f t="shared" si="4"/>
        <v>329</v>
      </c>
      <c r="AL309" t="str" cm="1">
        <f t="array" ref="AL309">ElsoBetuNagy(R309)</f>
        <v/>
      </c>
      <c r="AO309" t="str" cm="1">
        <f t="array" ref="AO309">DatumSzovegge5(AN309)</f>
        <v>1899.</v>
      </c>
      <c r="AP309" t="str" cm="1">
        <f t="array" ref="AP309">DatumSzovegge3(AN309)</f>
        <v>december</v>
      </c>
      <c r="AQ309" t="str" cm="1">
        <f t="array" ref="AQ309">DatumSzovegge4(AN309)</f>
        <v>30.</v>
      </c>
    </row>
    <row r="310" spans="4:43" x14ac:dyDescent="0.25">
      <c r="D310" t="str" cm="1">
        <f t="array" ref="D310">SzuressNev($B$1,ROW()-1)</f>
        <v/>
      </c>
      <c r="E310">
        <f>COUNTIF($D$2:D310,D310)</f>
        <v>289</v>
      </c>
      <c r="F310" t="str" cm="1">
        <f t="array" ref="F310">ElutasitasEgyOk2(D310,E310)</f>
        <v/>
      </c>
      <c r="G310" t="str">
        <f>IFERROR(INDEX(diakadat!$I$2:$I$50,MATCH(D310,diakadat!$J$2:$J$50,0),1),"")</f>
        <v/>
      </c>
      <c r="H310" t="str">
        <f>IFERROR(INDEX(diakadat!$O$2:$O$50,MATCH(D310,diakadat!$J$2:$J$50,0),1),"")</f>
        <v/>
      </c>
      <c r="I310" t="str">
        <f>IFERROR(INDEX(diakadat!#REF!,MATCH(D310,diakadat!$J$2:$J$50,0),1),"")</f>
        <v/>
      </c>
      <c r="J310" t="str">
        <f>IFERROR(INDEX(diakadat!$K$2:$K$50,MATCH(D310,diakadat!$J$2:$J$50,0),1),"")</f>
        <v/>
      </c>
      <c r="K310" t="str" cm="1">
        <f t="array" ref="K310">IFERROR(DatumSzovegge2(INDEX(diakadat!$L$2:$L$50,MATCH(D310,diakadat!$J$2:$J$50,0),1)),"")</f>
        <v/>
      </c>
      <c r="L310" t="str" cm="1">
        <f t="array" ref="L310">IFERROR(DatumSzovegge5(INDEX(diakadat!$L$2:$L$50,MATCH(D310,diakadat!$J$2:$J$50,0),1)),"")</f>
        <v/>
      </c>
      <c r="M310" t="str" cm="1">
        <f t="array" ref="M310">IFERROR(DatumSzovegge3(INDEX(diakadat!$L$2:$L$50,MATCH(D310,diakadat!$J$2:$J$50,0),1)),"")</f>
        <v/>
      </c>
      <c r="N310" t="str" cm="1">
        <f t="array" ref="N310">IFERROR(DatumSzovegge4(INDEX(diakadat!$L$2:$L$50,MATCH(D310,diakadat!$J$2:$J$50,0),1)),"")</f>
        <v/>
      </c>
      <c r="O310" t="str">
        <f>IFERROR(INDEX(diakadat!$R$2:$R$50,MATCH(D310,diakadat!$J$2:$J$50,0),1),"")</f>
        <v/>
      </c>
      <c r="P310" t="str">
        <f>IFERROR(INDEX(diakadat!$AI$2:$AI$50,MATCH(D310,diakadat!$J$2:$J$50,0),1),"")</f>
        <v/>
      </c>
      <c r="Q310" t="str">
        <f>IFERROR(INDEX('rangsor'!$C$2:$C$343,MATCH(D310,'rangsor'!$A$2:$A$343,0),1),"")</f>
        <v/>
      </c>
      <c r="T310" t="s">
        <v>831</v>
      </c>
      <c r="U310" t="str" cm="1">
        <f t="array" ref="U310">Határozat(D310)</f>
        <v/>
      </c>
      <c r="AC310" t="str">
        <f>IFERROR(INDEX(diakadat!$U$2:$U$50,MATCH(D310,diakadat!$J$2:$J$50),1),"")</f>
        <v/>
      </c>
      <c r="AD310" t="str">
        <f>IFERROR(INDEX(diakadat!$V$2:$V$50,MATCH(D310,diakadat!$J$2:$J$50),1),"")</f>
        <v/>
      </c>
      <c r="AE310" t="str">
        <f>IFERROR(INDEX(diakadat!$W$2:$W$50,MATCH(D310,diakadat!$J$2:$J$50),1),"")</f>
        <v/>
      </c>
      <c r="AI310" t="str">
        <f>IFERROR(INDEX(diakadat!$X$2:$X$50,MATCH(D310,diakadat!$J$2:$J$50),1),"")</f>
        <v/>
      </c>
      <c r="AK310">
        <f t="shared" si="4"/>
        <v>329</v>
      </c>
      <c r="AL310" t="str" cm="1">
        <f t="array" ref="AL310">ElsoBetuNagy(R310)</f>
        <v/>
      </c>
      <c r="AO310" t="str" cm="1">
        <f t="array" ref="AO310">DatumSzovegge5(AN310)</f>
        <v>1899.</v>
      </c>
      <c r="AP310" t="str" cm="1">
        <f t="array" ref="AP310">DatumSzovegge3(AN310)</f>
        <v>december</v>
      </c>
      <c r="AQ310" t="str" cm="1">
        <f t="array" ref="AQ310">DatumSzovegge4(AN310)</f>
        <v>30.</v>
      </c>
    </row>
    <row r="311" spans="4:43" x14ac:dyDescent="0.25">
      <c r="D311" t="str" cm="1">
        <f t="array" ref="D311">SzuressNev($B$1,ROW()-1)</f>
        <v/>
      </c>
      <c r="E311">
        <f>COUNTIF($D$2:D311,D311)</f>
        <v>290</v>
      </c>
      <c r="F311" t="str" cm="1">
        <f t="array" ref="F311">ElutasitasEgyOk2(D311,E311)</f>
        <v/>
      </c>
      <c r="G311" t="str">
        <f>IFERROR(INDEX(diakadat!$I$2:$I$50,MATCH(D311,diakadat!$J$2:$J$50,0),1),"")</f>
        <v/>
      </c>
      <c r="H311" t="str">
        <f>IFERROR(INDEX(diakadat!$O$2:$O$50,MATCH(D311,diakadat!$J$2:$J$50,0),1),"")</f>
        <v/>
      </c>
      <c r="I311" t="str">
        <f>IFERROR(INDEX(diakadat!#REF!,MATCH(D311,diakadat!$J$2:$J$50,0),1),"")</f>
        <v/>
      </c>
      <c r="J311" t="str">
        <f>IFERROR(INDEX(diakadat!$K$2:$K$50,MATCH(D311,diakadat!$J$2:$J$50,0),1),"")</f>
        <v/>
      </c>
      <c r="K311" t="str" cm="1">
        <f t="array" ref="K311">IFERROR(DatumSzovegge2(INDEX(diakadat!$L$2:$L$50,MATCH(D311,diakadat!$J$2:$J$50,0),1)),"")</f>
        <v/>
      </c>
      <c r="L311" t="str" cm="1">
        <f t="array" ref="L311">IFERROR(DatumSzovegge5(INDEX(diakadat!$L$2:$L$50,MATCH(D311,diakadat!$J$2:$J$50,0),1)),"")</f>
        <v/>
      </c>
      <c r="M311" t="str" cm="1">
        <f t="array" ref="M311">IFERROR(DatumSzovegge3(INDEX(diakadat!$L$2:$L$50,MATCH(D311,diakadat!$J$2:$J$50,0),1)),"")</f>
        <v/>
      </c>
      <c r="N311" t="str" cm="1">
        <f t="array" ref="N311">IFERROR(DatumSzovegge4(INDEX(diakadat!$L$2:$L$50,MATCH(D311,diakadat!$J$2:$J$50,0),1)),"")</f>
        <v/>
      </c>
      <c r="O311" t="str">
        <f>IFERROR(INDEX(diakadat!$R$2:$R$50,MATCH(D311,diakadat!$J$2:$J$50,0),1),"")</f>
        <v/>
      </c>
      <c r="P311" t="str">
        <f>IFERROR(INDEX(diakadat!$AI$2:$AI$50,MATCH(D311,diakadat!$J$2:$J$50,0),1),"")</f>
        <v/>
      </c>
      <c r="Q311" t="str">
        <f>IFERROR(INDEX('rangsor'!$C$2:$C$343,MATCH(D311,'rangsor'!$A$2:$A$343,0),1),"")</f>
        <v/>
      </c>
      <c r="T311" t="s">
        <v>831</v>
      </c>
      <c r="U311" t="str" cm="1">
        <f t="array" ref="U311">Határozat(D311)</f>
        <v/>
      </c>
      <c r="AC311" t="str">
        <f>IFERROR(INDEX(diakadat!$U$2:$U$50,MATCH(D311,diakadat!$J$2:$J$50),1),"")</f>
        <v/>
      </c>
      <c r="AD311" t="str">
        <f>IFERROR(INDEX(diakadat!$V$2:$V$50,MATCH(D311,diakadat!$J$2:$J$50),1),"")</f>
        <v/>
      </c>
      <c r="AE311" t="str">
        <f>IFERROR(INDEX(diakadat!$W$2:$W$50,MATCH(D311,diakadat!$J$2:$J$50),1),"")</f>
        <v/>
      </c>
      <c r="AI311" t="str">
        <f>IFERROR(INDEX(diakadat!$X$2:$X$50,MATCH(D311,diakadat!$J$2:$J$50),1),"")</f>
        <v/>
      </c>
      <c r="AK311">
        <f t="shared" si="4"/>
        <v>329</v>
      </c>
      <c r="AL311" t="str" cm="1">
        <f t="array" ref="AL311">ElsoBetuNagy(R311)</f>
        <v/>
      </c>
      <c r="AO311" t="str" cm="1">
        <f t="array" ref="AO311">DatumSzovegge5(AN311)</f>
        <v>1899.</v>
      </c>
      <c r="AP311" t="str" cm="1">
        <f t="array" ref="AP311">DatumSzovegge3(AN311)</f>
        <v>december</v>
      </c>
      <c r="AQ311" t="str" cm="1">
        <f t="array" ref="AQ311">DatumSzovegge4(AN311)</f>
        <v>30.</v>
      </c>
    </row>
    <row r="312" spans="4:43" x14ac:dyDescent="0.25">
      <c r="D312" t="str" cm="1">
        <f t="array" ref="D312">SzuressNev($B$1,ROW()-1)</f>
        <v/>
      </c>
      <c r="E312">
        <f>COUNTIF($D$2:D312,D312)</f>
        <v>291</v>
      </c>
      <c r="F312" t="str" cm="1">
        <f t="array" ref="F312">ElutasitasEgyOk2(D312,E312)</f>
        <v/>
      </c>
      <c r="G312" t="str">
        <f>IFERROR(INDEX(diakadat!$I$2:$I$50,MATCH(D312,diakadat!$J$2:$J$50,0),1),"")</f>
        <v/>
      </c>
      <c r="H312" t="str">
        <f>IFERROR(INDEX(diakadat!$O$2:$O$50,MATCH(D312,diakadat!$J$2:$J$50,0),1),"")</f>
        <v/>
      </c>
      <c r="I312" t="str">
        <f>IFERROR(INDEX(diakadat!#REF!,MATCH(D312,diakadat!$J$2:$J$50,0),1),"")</f>
        <v/>
      </c>
      <c r="J312" t="str">
        <f>IFERROR(INDEX(diakadat!$K$2:$K$50,MATCH(D312,diakadat!$J$2:$J$50,0),1),"")</f>
        <v/>
      </c>
      <c r="K312" t="str" cm="1">
        <f t="array" ref="K312">IFERROR(DatumSzovegge2(INDEX(diakadat!$L$2:$L$50,MATCH(D312,diakadat!$J$2:$J$50,0),1)),"")</f>
        <v/>
      </c>
      <c r="L312" t="str" cm="1">
        <f t="array" ref="L312">IFERROR(DatumSzovegge5(INDEX(diakadat!$L$2:$L$50,MATCH(D312,diakadat!$J$2:$J$50,0),1)),"")</f>
        <v/>
      </c>
      <c r="M312" t="str" cm="1">
        <f t="array" ref="M312">IFERROR(DatumSzovegge3(INDEX(diakadat!$L$2:$L$50,MATCH(D312,diakadat!$J$2:$J$50,0),1)),"")</f>
        <v/>
      </c>
      <c r="N312" t="str" cm="1">
        <f t="array" ref="N312">IFERROR(DatumSzovegge4(INDEX(diakadat!$L$2:$L$50,MATCH(D312,diakadat!$J$2:$J$50,0),1)),"")</f>
        <v/>
      </c>
      <c r="O312" t="str">
        <f>IFERROR(INDEX(diakadat!$R$2:$R$50,MATCH(D312,diakadat!$J$2:$J$50,0),1),"")</f>
        <v/>
      </c>
      <c r="P312" t="str">
        <f>IFERROR(INDEX(diakadat!$AI$2:$AI$50,MATCH(D312,diakadat!$J$2:$J$50,0),1),"")</f>
        <v/>
      </c>
      <c r="Q312" t="str">
        <f>IFERROR(INDEX('rangsor'!$C$2:$C$343,MATCH(D312,'rangsor'!$A$2:$A$343,0),1),"")</f>
        <v/>
      </c>
      <c r="T312" t="s">
        <v>831</v>
      </c>
      <c r="U312" t="str" cm="1">
        <f t="array" ref="U312">Határozat(D312)</f>
        <v/>
      </c>
      <c r="AC312" t="str">
        <f>IFERROR(INDEX(diakadat!$U$2:$U$50,MATCH(D312,diakadat!$J$2:$J$50),1),"")</f>
        <v/>
      </c>
      <c r="AD312" t="str">
        <f>IFERROR(INDEX(diakadat!$V$2:$V$50,MATCH(D312,diakadat!$J$2:$J$50),1),"")</f>
        <v/>
      </c>
      <c r="AE312" t="str">
        <f>IFERROR(INDEX(diakadat!$W$2:$W$50,MATCH(D312,diakadat!$J$2:$J$50),1),"")</f>
        <v/>
      </c>
      <c r="AI312" t="str">
        <f>IFERROR(INDEX(diakadat!$X$2:$X$50,MATCH(D312,diakadat!$J$2:$J$50),1),"")</f>
        <v/>
      </c>
      <c r="AK312">
        <f t="shared" si="4"/>
        <v>329</v>
      </c>
      <c r="AL312" t="str" cm="1">
        <f t="array" ref="AL312">ElsoBetuNagy(R312)</f>
        <v/>
      </c>
      <c r="AO312" t="str" cm="1">
        <f t="array" ref="AO312">DatumSzovegge5(AN312)</f>
        <v>1899.</v>
      </c>
      <c r="AP312" t="str" cm="1">
        <f t="array" ref="AP312">DatumSzovegge3(AN312)</f>
        <v>december</v>
      </c>
      <c r="AQ312" t="str" cm="1">
        <f t="array" ref="AQ312">DatumSzovegge4(AN312)</f>
        <v>30.</v>
      </c>
    </row>
    <row r="313" spans="4:43" x14ac:dyDescent="0.25">
      <c r="D313" t="str" cm="1">
        <f t="array" ref="D313">SzuressNev($B$1,ROW()-1)</f>
        <v/>
      </c>
      <c r="E313">
        <f>COUNTIF($D$2:D313,D313)</f>
        <v>292</v>
      </c>
      <c r="F313" t="str" cm="1">
        <f t="array" ref="F313">ElutasitasEgyOk2(D313,E313)</f>
        <v/>
      </c>
      <c r="G313" t="str">
        <f>IFERROR(INDEX(diakadat!$I$2:$I$50,MATCH(D313,diakadat!$J$2:$J$50,0),1),"")</f>
        <v/>
      </c>
      <c r="H313" t="str">
        <f>IFERROR(INDEX(diakadat!$O$2:$O$50,MATCH(D313,diakadat!$J$2:$J$50,0),1),"")</f>
        <v/>
      </c>
      <c r="I313" t="str">
        <f>IFERROR(INDEX(diakadat!#REF!,MATCH(D313,diakadat!$J$2:$J$50,0),1),"")</f>
        <v/>
      </c>
      <c r="J313" t="str">
        <f>IFERROR(INDEX(diakadat!$K$2:$K$50,MATCH(D313,diakadat!$J$2:$J$50,0),1),"")</f>
        <v/>
      </c>
      <c r="K313" t="str" cm="1">
        <f t="array" ref="K313">IFERROR(DatumSzovegge2(INDEX(diakadat!$L$2:$L$50,MATCH(D313,diakadat!$J$2:$J$50,0),1)),"")</f>
        <v/>
      </c>
      <c r="L313" t="str" cm="1">
        <f t="array" ref="L313">IFERROR(DatumSzovegge5(INDEX(diakadat!$L$2:$L$50,MATCH(D313,diakadat!$J$2:$J$50,0),1)),"")</f>
        <v/>
      </c>
      <c r="M313" t="str" cm="1">
        <f t="array" ref="M313">IFERROR(DatumSzovegge3(INDEX(diakadat!$L$2:$L$50,MATCH(D313,diakadat!$J$2:$J$50,0),1)),"")</f>
        <v/>
      </c>
      <c r="N313" t="str" cm="1">
        <f t="array" ref="N313">IFERROR(DatumSzovegge4(INDEX(diakadat!$L$2:$L$50,MATCH(D313,diakadat!$J$2:$J$50,0),1)),"")</f>
        <v/>
      </c>
      <c r="O313" t="str">
        <f>IFERROR(INDEX(diakadat!$R$2:$R$50,MATCH(D313,diakadat!$J$2:$J$50,0),1),"")</f>
        <v/>
      </c>
      <c r="P313" t="str">
        <f>IFERROR(INDEX(diakadat!$AI$2:$AI$50,MATCH(D313,diakadat!$J$2:$J$50,0),1),"")</f>
        <v/>
      </c>
      <c r="Q313" t="str">
        <f>IFERROR(INDEX('rangsor'!$C$2:$C$343,MATCH(D313,'rangsor'!$A$2:$A$343,0),1),"")</f>
        <v/>
      </c>
      <c r="T313" t="s">
        <v>831</v>
      </c>
      <c r="U313" t="str" cm="1">
        <f t="array" ref="U313">Határozat(D313)</f>
        <v/>
      </c>
      <c r="AC313" t="str">
        <f>IFERROR(INDEX(diakadat!$U$2:$U$50,MATCH(D313,diakadat!$J$2:$J$50),1),"")</f>
        <v/>
      </c>
      <c r="AD313" t="str">
        <f>IFERROR(INDEX(diakadat!$V$2:$V$50,MATCH(D313,diakadat!$J$2:$J$50),1),"")</f>
        <v/>
      </c>
      <c r="AE313" t="str">
        <f>IFERROR(INDEX(diakadat!$W$2:$W$50,MATCH(D313,diakadat!$J$2:$J$50),1),"")</f>
        <v/>
      </c>
      <c r="AI313" t="str">
        <f>IFERROR(INDEX(diakadat!$X$2:$X$50,MATCH(D313,diakadat!$J$2:$J$50),1),"")</f>
        <v/>
      </c>
      <c r="AK313">
        <f t="shared" si="4"/>
        <v>329</v>
      </c>
      <c r="AL313" t="str" cm="1">
        <f t="array" ref="AL313">ElsoBetuNagy(R313)</f>
        <v/>
      </c>
      <c r="AO313" t="str" cm="1">
        <f t="array" ref="AO313">DatumSzovegge5(AN313)</f>
        <v>1899.</v>
      </c>
      <c r="AP313" t="str" cm="1">
        <f t="array" ref="AP313">DatumSzovegge3(AN313)</f>
        <v>december</v>
      </c>
      <c r="AQ313" t="str" cm="1">
        <f t="array" ref="AQ313">DatumSzovegge4(AN313)</f>
        <v>30.</v>
      </c>
    </row>
    <row r="314" spans="4:43" x14ac:dyDescent="0.25">
      <c r="D314" t="str" cm="1">
        <f t="array" ref="D314">SzuressNev($B$1,ROW()-1)</f>
        <v/>
      </c>
      <c r="E314">
        <f>COUNTIF($D$2:D314,D314)</f>
        <v>293</v>
      </c>
      <c r="F314" t="str" cm="1">
        <f t="array" ref="F314">ElutasitasEgyOk2(D314,E314)</f>
        <v/>
      </c>
      <c r="G314" t="str">
        <f>IFERROR(INDEX(diakadat!$I$2:$I$50,MATCH(D314,diakadat!$J$2:$J$50,0),1),"")</f>
        <v/>
      </c>
      <c r="H314" t="str">
        <f>IFERROR(INDEX(diakadat!$O$2:$O$50,MATCH(D314,diakadat!$J$2:$J$50,0),1),"")</f>
        <v/>
      </c>
      <c r="I314" t="str">
        <f>IFERROR(INDEX(diakadat!#REF!,MATCH(D314,diakadat!$J$2:$J$50,0),1),"")</f>
        <v/>
      </c>
      <c r="J314" t="str">
        <f>IFERROR(INDEX(diakadat!$K$2:$K$50,MATCH(D314,diakadat!$J$2:$J$50,0),1),"")</f>
        <v/>
      </c>
      <c r="K314" t="str" cm="1">
        <f t="array" ref="K314">IFERROR(DatumSzovegge2(INDEX(diakadat!$L$2:$L$50,MATCH(D314,diakadat!$J$2:$J$50,0),1)),"")</f>
        <v/>
      </c>
      <c r="L314" t="str" cm="1">
        <f t="array" ref="L314">IFERROR(DatumSzovegge5(INDEX(diakadat!$L$2:$L$50,MATCH(D314,diakadat!$J$2:$J$50,0),1)),"")</f>
        <v/>
      </c>
      <c r="M314" t="str" cm="1">
        <f t="array" ref="M314">IFERROR(DatumSzovegge3(INDEX(diakadat!$L$2:$L$50,MATCH(D314,diakadat!$J$2:$J$50,0),1)),"")</f>
        <v/>
      </c>
      <c r="N314" t="str" cm="1">
        <f t="array" ref="N314">IFERROR(DatumSzovegge4(INDEX(diakadat!$L$2:$L$50,MATCH(D314,diakadat!$J$2:$J$50,0),1)),"")</f>
        <v/>
      </c>
      <c r="O314" t="str">
        <f>IFERROR(INDEX(diakadat!$R$2:$R$50,MATCH(D314,diakadat!$J$2:$J$50,0),1),"")</f>
        <v/>
      </c>
      <c r="P314" t="str">
        <f>IFERROR(INDEX(diakadat!$AI$2:$AI$50,MATCH(D314,diakadat!$J$2:$J$50,0),1),"")</f>
        <v/>
      </c>
      <c r="Q314" t="str">
        <f>IFERROR(INDEX('rangsor'!$C$2:$C$343,MATCH(D314,'rangsor'!$A$2:$A$343,0),1),"")</f>
        <v/>
      </c>
      <c r="T314" t="s">
        <v>831</v>
      </c>
      <c r="U314" t="str" cm="1">
        <f t="array" ref="U314">Határozat(D314)</f>
        <v/>
      </c>
      <c r="AC314" t="str">
        <f>IFERROR(INDEX(diakadat!$U$2:$U$50,MATCH(D314,diakadat!$J$2:$J$50),1),"")</f>
        <v/>
      </c>
      <c r="AD314" t="str">
        <f>IFERROR(INDEX(diakadat!$V$2:$V$50,MATCH(D314,diakadat!$J$2:$J$50),1),"")</f>
        <v/>
      </c>
      <c r="AE314" t="str">
        <f>IFERROR(INDEX(diakadat!$W$2:$W$50,MATCH(D314,diakadat!$J$2:$J$50),1),"")</f>
        <v/>
      </c>
      <c r="AI314" t="str">
        <f>IFERROR(INDEX(diakadat!$X$2:$X$50,MATCH(D314,diakadat!$J$2:$J$50),1),"")</f>
        <v/>
      </c>
      <c r="AK314">
        <f t="shared" si="4"/>
        <v>329</v>
      </c>
      <c r="AL314" t="str" cm="1">
        <f t="array" ref="AL314">ElsoBetuNagy(R314)</f>
        <v/>
      </c>
      <c r="AO314" t="str" cm="1">
        <f t="array" ref="AO314">DatumSzovegge5(AN314)</f>
        <v>1899.</v>
      </c>
      <c r="AP314" t="str" cm="1">
        <f t="array" ref="AP314">DatumSzovegge3(AN314)</f>
        <v>december</v>
      </c>
      <c r="AQ314" t="str" cm="1">
        <f t="array" ref="AQ314">DatumSzovegge4(AN314)</f>
        <v>30.</v>
      </c>
    </row>
    <row r="315" spans="4:43" x14ac:dyDescent="0.25">
      <c r="D315" t="str" cm="1">
        <f t="array" ref="D315">SzuressNev($B$1,ROW()-1)</f>
        <v/>
      </c>
      <c r="E315">
        <f>COUNTIF($D$2:D315,D315)</f>
        <v>294</v>
      </c>
      <c r="F315" t="str" cm="1">
        <f t="array" ref="F315">ElutasitasEgyOk2(D315,E315)</f>
        <v/>
      </c>
      <c r="G315" t="str">
        <f>IFERROR(INDEX(diakadat!$I$2:$I$50,MATCH(D315,diakadat!$J$2:$J$50,0),1),"")</f>
        <v/>
      </c>
      <c r="H315" t="str">
        <f>IFERROR(INDEX(diakadat!$O$2:$O$50,MATCH(D315,diakadat!$J$2:$J$50,0),1),"")</f>
        <v/>
      </c>
      <c r="I315" t="str">
        <f>IFERROR(INDEX(diakadat!#REF!,MATCH(D315,diakadat!$J$2:$J$50,0),1),"")</f>
        <v/>
      </c>
      <c r="J315" t="str">
        <f>IFERROR(INDEX(diakadat!$K$2:$K$50,MATCH(D315,diakadat!$J$2:$J$50,0),1),"")</f>
        <v/>
      </c>
      <c r="K315" t="str" cm="1">
        <f t="array" ref="K315">IFERROR(DatumSzovegge2(INDEX(diakadat!$L$2:$L$50,MATCH(D315,diakadat!$J$2:$J$50,0),1)),"")</f>
        <v/>
      </c>
      <c r="L315" t="str" cm="1">
        <f t="array" ref="L315">IFERROR(DatumSzovegge5(INDEX(diakadat!$L$2:$L$50,MATCH(D315,diakadat!$J$2:$J$50,0),1)),"")</f>
        <v/>
      </c>
      <c r="M315" t="str" cm="1">
        <f t="array" ref="M315">IFERROR(DatumSzovegge3(INDEX(diakadat!$L$2:$L$50,MATCH(D315,diakadat!$J$2:$J$50,0),1)),"")</f>
        <v/>
      </c>
      <c r="N315" t="str" cm="1">
        <f t="array" ref="N315">IFERROR(DatumSzovegge4(INDEX(diakadat!$L$2:$L$50,MATCH(D315,diakadat!$J$2:$J$50,0),1)),"")</f>
        <v/>
      </c>
      <c r="O315" t="str">
        <f>IFERROR(INDEX(diakadat!$R$2:$R$50,MATCH(D315,diakadat!$J$2:$J$50,0),1),"")</f>
        <v/>
      </c>
      <c r="P315" t="str">
        <f>IFERROR(INDEX(diakadat!$AI$2:$AI$50,MATCH(D315,diakadat!$J$2:$J$50,0),1),"")</f>
        <v/>
      </c>
      <c r="Q315" t="str">
        <f>IFERROR(INDEX('rangsor'!$C$2:$C$343,MATCH(D315,'rangsor'!$A$2:$A$343,0),1),"")</f>
        <v/>
      </c>
      <c r="T315" t="s">
        <v>831</v>
      </c>
      <c r="U315" t="str" cm="1">
        <f t="array" ref="U315">Határozat(D315)</f>
        <v/>
      </c>
      <c r="AC315" t="str">
        <f>IFERROR(INDEX(diakadat!$U$2:$U$50,MATCH(D315,diakadat!$J$2:$J$50),1),"")</f>
        <v/>
      </c>
      <c r="AD315" t="str">
        <f>IFERROR(INDEX(diakadat!$V$2:$V$50,MATCH(D315,diakadat!$J$2:$J$50),1),"")</f>
        <v/>
      </c>
      <c r="AE315" t="str">
        <f>IFERROR(INDEX(diakadat!$W$2:$W$50,MATCH(D315,diakadat!$J$2:$J$50),1),"")</f>
        <v/>
      </c>
      <c r="AI315" t="str">
        <f>IFERROR(INDEX(diakadat!$X$2:$X$50,MATCH(D315,diakadat!$J$2:$J$50),1),"")</f>
        <v/>
      </c>
      <c r="AK315">
        <f t="shared" si="4"/>
        <v>329</v>
      </c>
      <c r="AL315" t="str" cm="1">
        <f t="array" ref="AL315">ElsoBetuNagy(R315)</f>
        <v/>
      </c>
      <c r="AO315" t="str" cm="1">
        <f t="array" ref="AO315">DatumSzovegge5(AN315)</f>
        <v>1899.</v>
      </c>
      <c r="AP315" t="str" cm="1">
        <f t="array" ref="AP315">DatumSzovegge3(AN315)</f>
        <v>december</v>
      </c>
      <c r="AQ315" t="str" cm="1">
        <f t="array" ref="AQ315">DatumSzovegge4(AN315)</f>
        <v>30.</v>
      </c>
    </row>
    <row r="316" spans="4:43" x14ac:dyDescent="0.25">
      <c r="D316" t="str" cm="1">
        <f t="array" ref="D316">SzuressNev($B$1,ROW()-1)</f>
        <v/>
      </c>
      <c r="E316">
        <f>COUNTIF($D$2:D316,D316)</f>
        <v>295</v>
      </c>
      <c r="F316" t="str" cm="1">
        <f t="array" ref="F316">ElutasitasEgyOk2(D316,E316)</f>
        <v/>
      </c>
      <c r="G316" t="str">
        <f>IFERROR(INDEX(diakadat!$I$2:$I$50,MATCH(D316,diakadat!$J$2:$J$50,0),1),"")</f>
        <v/>
      </c>
      <c r="H316" t="str">
        <f>IFERROR(INDEX(diakadat!$O$2:$O$50,MATCH(D316,diakadat!$J$2:$J$50,0),1),"")</f>
        <v/>
      </c>
      <c r="I316" t="str">
        <f>IFERROR(INDEX(diakadat!#REF!,MATCH(D316,diakadat!$J$2:$J$50,0),1),"")</f>
        <v/>
      </c>
      <c r="J316" t="str">
        <f>IFERROR(INDEX(diakadat!$K$2:$K$50,MATCH(D316,diakadat!$J$2:$J$50,0),1),"")</f>
        <v/>
      </c>
      <c r="K316" t="str" cm="1">
        <f t="array" ref="K316">IFERROR(DatumSzovegge2(INDEX(diakadat!$L$2:$L$50,MATCH(D316,diakadat!$J$2:$J$50,0),1)),"")</f>
        <v/>
      </c>
      <c r="L316" t="str" cm="1">
        <f t="array" ref="L316">IFERROR(DatumSzovegge5(INDEX(diakadat!$L$2:$L$50,MATCH(D316,diakadat!$J$2:$J$50,0),1)),"")</f>
        <v/>
      </c>
      <c r="M316" t="str" cm="1">
        <f t="array" ref="M316">IFERROR(DatumSzovegge3(INDEX(diakadat!$L$2:$L$50,MATCH(D316,diakadat!$J$2:$J$50,0),1)),"")</f>
        <v/>
      </c>
      <c r="N316" t="str" cm="1">
        <f t="array" ref="N316">IFERROR(DatumSzovegge4(INDEX(diakadat!$L$2:$L$50,MATCH(D316,diakadat!$J$2:$J$50,0),1)),"")</f>
        <v/>
      </c>
      <c r="O316" t="str">
        <f>IFERROR(INDEX(diakadat!$R$2:$R$50,MATCH(D316,diakadat!$J$2:$J$50,0),1),"")</f>
        <v/>
      </c>
      <c r="P316" t="str">
        <f>IFERROR(INDEX(diakadat!$AI$2:$AI$50,MATCH(D316,diakadat!$J$2:$J$50,0),1),"")</f>
        <v/>
      </c>
      <c r="Q316" t="str">
        <f>IFERROR(INDEX('rangsor'!$C$2:$C$343,MATCH(D316,'rangsor'!$A$2:$A$343,0),1),"")</f>
        <v/>
      </c>
      <c r="T316" t="s">
        <v>831</v>
      </c>
      <c r="U316" t="str" cm="1">
        <f t="array" ref="U316">Határozat(D316)</f>
        <v/>
      </c>
      <c r="AC316" t="str">
        <f>IFERROR(INDEX(diakadat!$U$2:$U$50,MATCH(D316,diakadat!$J$2:$J$50),1),"")</f>
        <v/>
      </c>
      <c r="AD316" t="str">
        <f>IFERROR(INDEX(diakadat!$V$2:$V$50,MATCH(D316,diakadat!$J$2:$J$50),1),"")</f>
        <v/>
      </c>
      <c r="AE316" t="str">
        <f>IFERROR(INDEX(diakadat!$W$2:$W$50,MATCH(D316,diakadat!$J$2:$J$50),1),"")</f>
        <v/>
      </c>
      <c r="AI316" t="str">
        <f>IFERROR(INDEX(diakadat!$X$2:$X$50,MATCH(D316,diakadat!$J$2:$J$50),1),"")</f>
        <v/>
      </c>
      <c r="AK316">
        <f t="shared" si="4"/>
        <v>329</v>
      </c>
      <c r="AL316" t="str" cm="1">
        <f t="array" ref="AL316">ElsoBetuNagy(R316)</f>
        <v/>
      </c>
      <c r="AO316" t="str" cm="1">
        <f t="array" ref="AO316">DatumSzovegge5(AN316)</f>
        <v>1899.</v>
      </c>
      <c r="AP316" t="str" cm="1">
        <f t="array" ref="AP316">DatumSzovegge3(AN316)</f>
        <v>december</v>
      </c>
      <c r="AQ316" t="str" cm="1">
        <f t="array" ref="AQ316">DatumSzovegge4(AN316)</f>
        <v>30.</v>
      </c>
    </row>
    <row r="317" spans="4:43" x14ac:dyDescent="0.25">
      <c r="D317" t="str" cm="1">
        <f t="array" ref="D317">SzuressNev($B$1,ROW()-1)</f>
        <v/>
      </c>
      <c r="E317">
        <f>COUNTIF($D$2:D317,D317)</f>
        <v>296</v>
      </c>
      <c r="F317" t="str" cm="1">
        <f t="array" ref="F317">ElutasitasEgyOk2(D317,E317)</f>
        <v/>
      </c>
      <c r="G317" t="str">
        <f>IFERROR(INDEX(diakadat!$I$2:$I$50,MATCH(D317,diakadat!$J$2:$J$50,0),1),"")</f>
        <v/>
      </c>
      <c r="H317" t="str">
        <f>IFERROR(INDEX(diakadat!$O$2:$O$50,MATCH(D317,diakadat!$J$2:$J$50,0),1),"")</f>
        <v/>
      </c>
      <c r="I317" t="str">
        <f>IFERROR(INDEX(diakadat!#REF!,MATCH(D317,diakadat!$J$2:$J$50,0),1),"")</f>
        <v/>
      </c>
      <c r="J317" t="str">
        <f>IFERROR(INDEX(diakadat!$K$2:$K$50,MATCH(D317,diakadat!$J$2:$J$50,0),1),"")</f>
        <v/>
      </c>
      <c r="K317" t="str" cm="1">
        <f t="array" ref="K317">IFERROR(DatumSzovegge2(INDEX(diakadat!$L$2:$L$50,MATCH(D317,diakadat!$J$2:$J$50,0),1)),"")</f>
        <v/>
      </c>
      <c r="L317" t="str" cm="1">
        <f t="array" ref="L317">IFERROR(DatumSzovegge5(INDEX(diakadat!$L$2:$L$50,MATCH(D317,diakadat!$J$2:$J$50,0),1)),"")</f>
        <v/>
      </c>
      <c r="M317" t="str" cm="1">
        <f t="array" ref="M317">IFERROR(DatumSzovegge3(INDEX(diakadat!$L$2:$L$50,MATCH(D317,diakadat!$J$2:$J$50,0),1)),"")</f>
        <v/>
      </c>
      <c r="N317" t="str" cm="1">
        <f t="array" ref="N317">IFERROR(DatumSzovegge4(INDEX(diakadat!$L$2:$L$50,MATCH(D317,diakadat!$J$2:$J$50,0),1)),"")</f>
        <v/>
      </c>
      <c r="O317" t="str">
        <f>IFERROR(INDEX(diakadat!$R$2:$R$50,MATCH(D317,diakadat!$J$2:$J$50,0),1),"")</f>
        <v/>
      </c>
      <c r="P317" t="str">
        <f>IFERROR(INDEX(diakadat!$AI$2:$AI$50,MATCH(D317,diakadat!$J$2:$J$50,0),1),"")</f>
        <v/>
      </c>
      <c r="Q317" t="str">
        <f>IFERROR(INDEX('rangsor'!$C$2:$C$343,MATCH(D317,'rangsor'!$A$2:$A$343,0),1),"")</f>
        <v/>
      </c>
      <c r="T317" t="s">
        <v>831</v>
      </c>
      <c r="U317" t="str" cm="1">
        <f t="array" ref="U317">Határozat(D317)</f>
        <v/>
      </c>
      <c r="AC317" t="str">
        <f>IFERROR(INDEX(diakadat!$U$2:$U$50,MATCH(D317,diakadat!$J$2:$J$50),1),"")</f>
        <v/>
      </c>
      <c r="AD317" t="str">
        <f>IFERROR(INDEX(diakadat!$V$2:$V$50,MATCH(D317,diakadat!$J$2:$J$50),1),"")</f>
        <v/>
      </c>
      <c r="AE317" t="str">
        <f>IFERROR(INDEX(diakadat!$W$2:$W$50,MATCH(D317,diakadat!$J$2:$J$50),1),"")</f>
        <v/>
      </c>
      <c r="AI317" t="str">
        <f>IFERROR(INDEX(diakadat!$X$2:$X$50,MATCH(D317,diakadat!$J$2:$J$50),1),"")</f>
        <v/>
      </c>
      <c r="AK317">
        <f t="shared" si="4"/>
        <v>329</v>
      </c>
      <c r="AL317" t="str" cm="1">
        <f t="array" ref="AL317">ElsoBetuNagy(R317)</f>
        <v/>
      </c>
      <c r="AO317" t="str" cm="1">
        <f t="array" ref="AO317">DatumSzovegge5(AN317)</f>
        <v>1899.</v>
      </c>
      <c r="AP317" t="str" cm="1">
        <f t="array" ref="AP317">DatumSzovegge3(AN317)</f>
        <v>december</v>
      </c>
      <c r="AQ317" t="str" cm="1">
        <f t="array" ref="AQ317">DatumSzovegge4(AN317)</f>
        <v>30.</v>
      </c>
    </row>
    <row r="318" spans="4:43" x14ac:dyDescent="0.25">
      <c r="D318" t="str" cm="1">
        <f t="array" ref="D318">SzuressNev($B$1,ROW()-1)</f>
        <v/>
      </c>
      <c r="E318">
        <f>COUNTIF($D$2:D318,D318)</f>
        <v>297</v>
      </c>
      <c r="F318" t="str" cm="1">
        <f t="array" ref="F318">ElutasitasEgyOk2(D318,E318)</f>
        <v/>
      </c>
      <c r="G318" t="str">
        <f>IFERROR(INDEX(diakadat!$I$2:$I$50,MATCH(D318,diakadat!$J$2:$J$50,0),1),"")</f>
        <v/>
      </c>
      <c r="H318" t="str">
        <f>IFERROR(INDEX(diakadat!$O$2:$O$50,MATCH(D318,diakadat!$J$2:$J$50,0),1),"")</f>
        <v/>
      </c>
      <c r="I318" t="str">
        <f>IFERROR(INDEX(diakadat!#REF!,MATCH(D318,diakadat!$J$2:$J$50,0),1),"")</f>
        <v/>
      </c>
      <c r="J318" t="str">
        <f>IFERROR(INDEX(diakadat!$K$2:$K$50,MATCH(D318,diakadat!$J$2:$J$50,0),1),"")</f>
        <v/>
      </c>
      <c r="K318" t="str" cm="1">
        <f t="array" ref="K318">IFERROR(DatumSzovegge2(INDEX(diakadat!$L$2:$L$50,MATCH(D318,diakadat!$J$2:$J$50,0),1)),"")</f>
        <v/>
      </c>
      <c r="L318" t="str" cm="1">
        <f t="array" ref="L318">IFERROR(DatumSzovegge5(INDEX(diakadat!$L$2:$L$50,MATCH(D318,diakadat!$J$2:$J$50,0),1)),"")</f>
        <v/>
      </c>
      <c r="M318" t="str" cm="1">
        <f t="array" ref="M318">IFERROR(DatumSzovegge3(INDEX(diakadat!$L$2:$L$50,MATCH(D318,diakadat!$J$2:$J$50,0),1)),"")</f>
        <v/>
      </c>
      <c r="N318" t="str" cm="1">
        <f t="array" ref="N318">IFERROR(DatumSzovegge4(INDEX(diakadat!$L$2:$L$50,MATCH(D318,diakadat!$J$2:$J$50,0),1)),"")</f>
        <v/>
      </c>
      <c r="O318" t="str">
        <f>IFERROR(INDEX(diakadat!$R$2:$R$50,MATCH(D318,diakadat!$J$2:$J$50,0),1),"")</f>
        <v/>
      </c>
      <c r="P318" t="str">
        <f>IFERROR(INDEX(diakadat!$AI$2:$AI$50,MATCH(D318,diakadat!$J$2:$J$50,0),1),"")</f>
        <v/>
      </c>
      <c r="Q318" t="str">
        <f>IFERROR(INDEX('rangsor'!$C$2:$C$343,MATCH(D318,'rangsor'!$A$2:$A$343,0),1),"")</f>
        <v/>
      </c>
      <c r="T318" t="s">
        <v>831</v>
      </c>
      <c r="U318" t="str" cm="1">
        <f t="array" ref="U318">Határozat(D318)</f>
        <v/>
      </c>
      <c r="AC318" t="str">
        <f>IFERROR(INDEX(diakadat!$U$2:$U$50,MATCH(D318,diakadat!$J$2:$J$50),1),"")</f>
        <v/>
      </c>
      <c r="AD318" t="str">
        <f>IFERROR(INDEX(diakadat!$V$2:$V$50,MATCH(D318,diakadat!$J$2:$J$50),1),"")</f>
        <v/>
      </c>
      <c r="AE318" t="str">
        <f>IFERROR(INDEX(diakadat!$W$2:$W$50,MATCH(D318,diakadat!$J$2:$J$50),1),"")</f>
        <v/>
      </c>
      <c r="AI318" t="str">
        <f>IFERROR(INDEX(diakadat!$X$2:$X$50,MATCH(D318,diakadat!$J$2:$J$50),1),"")</f>
        <v/>
      </c>
      <c r="AK318">
        <f t="shared" si="4"/>
        <v>329</v>
      </c>
      <c r="AL318" t="str" cm="1">
        <f t="array" ref="AL318">ElsoBetuNagy(R318)</f>
        <v/>
      </c>
      <c r="AO318" t="str" cm="1">
        <f t="array" ref="AO318">DatumSzovegge5(AN318)</f>
        <v>1899.</v>
      </c>
      <c r="AP318" t="str" cm="1">
        <f t="array" ref="AP318">DatumSzovegge3(AN318)</f>
        <v>december</v>
      </c>
      <c r="AQ318" t="str" cm="1">
        <f t="array" ref="AQ318">DatumSzovegge4(AN318)</f>
        <v>30.</v>
      </c>
    </row>
    <row r="319" spans="4:43" x14ac:dyDescent="0.25">
      <c r="D319" t="str" cm="1">
        <f t="array" ref="D319">SzuressNev($B$1,ROW()-1)</f>
        <v/>
      </c>
      <c r="E319">
        <f>COUNTIF($D$2:D319,D319)</f>
        <v>298</v>
      </c>
      <c r="F319" t="str" cm="1">
        <f t="array" ref="F319">ElutasitasEgyOk2(D319,E319)</f>
        <v/>
      </c>
      <c r="G319" t="str">
        <f>IFERROR(INDEX(diakadat!$I$2:$I$50,MATCH(D319,diakadat!$J$2:$J$50,0),1),"")</f>
        <v/>
      </c>
      <c r="H319" t="str">
        <f>IFERROR(INDEX(diakadat!$O$2:$O$50,MATCH(D319,diakadat!$J$2:$J$50,0),1),"")</f>
        <v/>
      </c>
      <c r="I319" t="str">
        <f>IFERROR(INDEX(diakadat!#REF!,MATCH(D319,diakadat!$J$2:$J$50,0),1),"")</f>
        <v/>
      </c>
      <c r="J319" t="str">
        <f>IFERROR(INDEX(diakadat!$K$2:$K$50,MATCH(D319,diakadat!$J$2:$J$50,0),1),"")</f>
        <v/>
      </c>
      <c r="K319" t="str" cm="1">
        <f t="array" ref="K319">IFERROR(DatumSzovegge2(INDEX(diakadat!$L$2:$L$50,MATCH(D319,diakadat!$J$2:$J$50,0),1)),"")</f>
        <v/>
      </c>
      <c r="L319" t="str" cm="1">
        <f t="array" ref="L319">IFERROR(DatumSzovegge5(INDEX(diakadat!$L$2:$L$50,MATCH(D319,diakadat!$J$2:$J$50,0),1)),"")</f>
        <v/>
      </c>
      <c r="M319" t="str" cm="1">
        <f t="array" ref="M319">IFERROR(DatumSzovegge3(INDEX(diakadat!$L$2:$L$50,MATCH(D319,diakadat!$J$2:$J$50,0),1)),"")</f>
        <v/>
      </c>
      <c r="N319" t="str" cm="1">
        <f t="array" ref="N319">IFERROR(DatumSzovegge4(INDEX(diakadat!$L$2:$L$50,MATCH(D319,diakadat!$J$2:$J$50,0),1)),"")</f>
        <v/>
      </c>
      <c r="O319" t="str">
        <f>IFERROR(INDEX(diakadat!$R$2:$R$50,MATCH(D319,diakadat!$J$2:$J$50,0),1),"")</f>
        <v/>
      </c>
      <c r="P319" t="str">
        <f>IFERROR(INDEX(diakadat!$AI$2:$AI$50,MATCH(D319,diakadat!$J$2:$J$50,0),1),"")</f>
        <v/>
      </c>
      <c r="Q319" t="str">
        <f>IFERROR(INDEX('rangsor'!$C$2:$C$343,MATCH(D319,'rangsor'!$A$2:$A$343,0),1),"")</f>
        <v/>
      </c>
      <c r="T319" t="s">
        <v>831</v>
      </c>
      <c r="U319" t="str" cm="1">
        <f t="array" ref="U319">Határozat(D319)</f>
        <v/>
      </c>
      <c r="AC319" t="str">
        <f>IFERROR(INDEX(diakadat!$U$2:$U$50,MATCH(D319,diakadat!$J$2:$J$50),1),"")</f>
        <v/>
      </c>
      <c r="AD319" t="str">
        <f>IFERROR(INDEX(diakadat!$V$2:$V$50,MATCH(D319,diakadat!$J$2:$J$50),1),"")</f>
        <v/>
      </c>
      <c r="AE319" t="str">
        <f>IFERROR(INDEX(diakadat!$W$2:$W$50,MATCH(D319,diakadat!$J$2:$J$50),1),"")</f>
        <v/>
      </c>
      <c r="AI319" t="str">
        <f>IFERROR(INDEX(diakadat!$X$2:$X$50,MATCH(D319,diakadat!$J$2:$J$50),1),"")</f>
        <v/>
      </c>
      <c r="AK319">
        <f t="shared" si="4"/>
        <v>329</v>
      </c>
      <c r="AL319" t="str" cm="1">
        <f t="array" ref="AL319">ElsoBetuNagy(R319)</f>
        <v/>
      </c>
      <c r="AO319" t="str" cm="1">
        <f t="array" ref="AO319">DatumSzovegge5(AN319)</f>
        <v>1899.</v>
      </c>
      <c r="AP319" t="str" cm="1">
        <f t="array" ref="AP319">DatumSzovegge3(AN319)</f>
        <v>december</v>
      </c>
      <c r="AQ319" t="str" cm="1">
        <f t="array" ref="AQ319">DatumSzovegge4(AN319)</f>
        <v>30.</v>
      </c>
    </row>
    <row r="320" spans="4:43" x14ac:dyDescent="0.25">
      <c r="D320" t="str" cm="1">
        <f t="array" ref="D320">SzuressNev($B$1,ROW()-1)</f>
        <v/>
      </c>
      <c r="E320">
        <f>COUNTIF($D$2:D320,D320)</f>
        <v>299</v>
      </c>
      <c r="F320" t="str" cm="1">
        <f t="array" ref="F320">ElutasitasEgyOk2(D320,E320)</f>
        <v/>
      </c>
      <c r="G320" t="str">
        <f>IFERROR(INDEX(diakadat!$I$2:$I$50,MATCH(D320,diakadat!$J$2:$J$50,0),1),"")</f>
        <v/>
      </c>
      <c r="H320" t="str">
        <f>IFERROR(INDEX(diakadat!$O$2:$O$50,MATCH(D320,diakadat!$J$2:$J$50,0),1),"")</f>
        <v/>
      </c>
      <c r="I320" t="str">
        <f>IFERROR(INDEX(diakadat!#REF!,MATCH(D320,diakadat!$J$2:$J$50,0),1),"")</f>
        <v/>
      </c>
      <c r="J320" t="str">
        <f>IFERROR(INDEX(diakadat!$K$2:$K$50,MATCH(D320,diakadat!$J$2:$J$50,0),1),"")</f>
        <v/>
      </c>
      <c r="K320" t="str" cm="1">
        <f t="array" ref="K320">IFERROR(DatumSzovegge2(INDEX(diakadat!$L$2:$L$50,MATCH(D320,diakadat!$J$2:$J$50,0),1)),"")</f>
        <v/>
      </c>
      <c r="L320" t="str" cm="1">
        <f t="array" ref="L320">IFERROR(DatumSzovegge5(INDEX(diakadat!$L$2:$L$50,MATCH(D320,diakadat!$J$2:$J$50,0),1)),"")</f>
        <v/>
      </c>
      <c r="M320" t="str" cm="1">
        <f t="array" ref="M320">IFERROR(DatumSzovegge3(INDEX(diakadat!$L$2:$L$50,MATCH(D320,diakadat!$J$2:$J$50,0),1)),"")</f>
        <v/>
      </c>
      <c r="N320" t="str" cm="1">
        <f t="array" ref="N320">IFERROR(DatumSzovegge4(INDEX(diakadat!$L$2:$L$50,MATCH(D320,diakadat!$J$2:$J$50,0),1)),"")</f>
        <v/>
      </c>
      <c r="O320" t="str">
        <f>IFERROR(INDEX(diakadat!$R$2:$R$50,MATCH(D320,diakadat!$J$2:$J$50,0),1),"")</f>
        <v/>
      </c>
      <c r="P320" t="str">
        <f>IFERROR(INDEX(diakadat!$AI$2:$AI$50,MATCH(D320,diakadat!$J$2:$J$50,0),1),"")</f>
        <v/>
      </c>
      <c r="Q320" t="str">
        <f>IFERROR(INDEX('rangsor'!$C$2:$C$343,MATCH(D320,'rangsor'!$A$2:$A$343,0),1),"")</f>
        <v/>
      </c>
      <c r="T320" t="s">
        <v>831</v>
      </c>
      <c r="U320" t="str" cm="1">
        <f t="array" ref="U320">Határozat(D320)</f>
        <v/>
      </c>
      <c r="AC320" t="str">
        <f>IFERROR(INDEX(diakadat!$U$2:$U$50,MATCH(D320,diakadat!$J$2:$J$50),1),"")</f>
        <v/>
      </c>
      <c r="AD320" t="str">
        <f>IFERROR(INDEX(diakadat!$V$2:$V$50,MATCH(D320,diakadat!$J$2:$J$50),1),"")</f>
        <v/>
      </c>
      <c r="AE320" t="str">
        <f>IFERROR(INDEX(diakadat!$W$2:$W$50,MATCH(D320,diakadat!$J$2:$J$50),1),"")</f>
        <v/>
      </c>
      <c r="AI320" t="str">
        <f>IFERROR(INDEX(diakadat!$X$2:$X$50,MATCH(D320,diakadat!$J$2:$J$50),1),"")</f>
        <v/>
      </c>
      <c r="AK320">
        <f t="shared" si="4"/>
        <v>329</v>
      </c>
      <c r="AL320" t="str" cm="1">
        <f t="array" ref="AL320">ElsoBetuNagy(R320)</f>
        <v/>
      </c>
      <c r="AO320" t="str" cm="1">
        <f t="array" ref="AO320">DatumSzovegge5(AN320)</f>
        <v>1899.</v>
      </c>
      <c r="AP320" t="str" cm="1">
        <f t="array" ref="AP320">DatumSzovegge3(AN320)</f>
        <v>december</v>
      </c>
      <c r="AQ320" t="str" cm="1">
        <f t="array" ref="AQ320">DatumSzovegge4(AN320)</f>
        <v>30.</v>
      </c>
    </row>
    <row r="321" spans="4:43" x14ac:dyDescent="0.25">
      <c r="D321" t="str" cm="1">
        <f t="array" ref="D321">SzuressNev($B$1,ROW()-1)</f>
        <v/>
      </c>
      <c r="E321">
        <f>COUNTIF($D$2:D321,D321)</f>
        <v>300</v>
      </c>
      <c r="F321" t="str" cm="1">
        <f t="array" ref="F321">ElutasitasEgyOk2(D321,E321)</f>
        <v/>
      </c>
      <c r="G321" t="str">
        <f>IFERROR(INDEX(diakadat!$I$2:$I$50,MATCH(D321,diakadat!$J$2:$J$50,0),1),"")</f>
        <v/>
      </c>
      <c r="H321" t="str">
        <f>IFERROR(INDEX(diakadat!$O$2:$O$50,MATCH(D321,diakadat!$J$2:$J$50,0),1),"")</f>
        <v/>
      </c>
      <c r="I321" t="str">
        <f>IFERROR(INDEX(diakadat!#REF!,MATCH(D321,diakadat!$J$2:$J$50,0),1),"")</f>
        <v/>
      </c>
      <c r="J321" t="str">
        <f>IFERROR(INDEX(diakadat!$K$2:$K$50,MATCH(D321,diakadat!$J$2:$J$50,0),1),"")</f>
        <v/>
      </c>
      <c r="K321" t="str" cm="1">
        <f t="array" ref="K321">IFERROR(DatumSzovegge2(INDEX(diakadat!$L$2:$L$50,MATCH(D321,diakadat!$J$2:$J$50,0),1)),"")</f>
        <v/>
      </c>
      <c r="L321" t="str" cm="1">
        <f t="array" ref="L321">IFERROR(DatumSzovegge5(INDEX(diakadat!$L$2:$L$50,MATCH(D321,diakadat!$J$2:$J$50,0),1)),"")</f>
        <v/>
      </c>
      <c r="M321" t="str" cm="1">
        <f t="array" ref="M321">IFERROR(DatumSzovegge3(INDEX(diakadat!$L$2:$L$50,MATCH(D321,diakadat!$J$2:$J$50,0),1)),"")</f>
        <v/>
      </c>
      <c r="N321" t="str" cm="1">
        <f t="array" ref="N321">IFERROR(DatumSzovegge4(INDEX(diakadat!$L$2:$L$50,MATCH(D321,diakadat!$J$2:$J$50,0),1)),"")</f>
        <v/>
      </c>
      <c r="O321" t="str">
        <f>IFERROR(INDEX(diakadat!$R$2:$R$50,MATCH(D321,diakadat!$J$2:$J$50,0),1),"")</f>
        <v/>
      </c>
      <c r="P321" t="str">
        <f>IFERROR(INDEX(diakadat!$AI$2:$AI$50,MATCH(D321,diakadat!$J$2:$J$50,0),1),"")</f>
        <v/>
      </c>
      <c r="Q321" t="str">
        <f>IFERROR(INDEX('rangsor'!$C$2:$C$343,MATCH(D321,'rangsor'!$A$2:$A$343,0),1),"")</f>
        <v/>
      </c>
      <c r="T321" t="s">
        <v>831</v>
      </c>
      <c r="U321" t="str" cm="1">
        <f t="array" ref="U321">Határozat(D321)</f>
        <v/>
      </c>
      <c r="AC321" t="str">
        <f>IFERROR(INDEX(diakadat!$U$2:$U$50,MATCH(D321,diakadat!$J$2:$J$50),1),"")</f>
        <v/>
      </c>
      <c r="AD321" t="str">
        <f>IFERROR(INDEX(diakadat!$V$2:$V$50,MATCH(D321,diakadat!$J$2:$J$50),1),"")</f>
        <v/>
      </c>
      <c r="AE321" t="str">
        <f>IFERROR(INDEX(diakadat!$W$2:$W$50,MATCH(D321,diakadat!$J$2:$J$50),1),"")</f>
        <v/>
      </c>
      <c r="AI321" t="str">
        <f>IFERROR(INDEX(diakadat!$X$2:$X$50,MATCH(D321,diakadat!$J$2:$J$50),1),"")</f>
        <v/>
      </c>
      <c r="AK321">
        <f t="shared" si="4"/>
        <v>329</v>
      </c>
      <c r="AL321" t="str" cm="1">
        <f t="array" ref="AL321">ElsoBetuNagy(R321)</f>
        <v/>
      </c>
      <c r="AO321" t="str" cm="1">
        <f t="array" ref="AO321">DatumSzovegge5(AN321)</f>
        <v>1899.</v>
      </c>
      <c r="AP321" t="str" cm="1">
        <f t="array" ref="AP321">DatumSzovegge3(AN321)</f>
        <v>december</v>
      </c>
      <c r="AQ321" t="str" cm="1">
        <f t="array" ref="AQ321">DatumSzovegge4(AN321)</f>
        <v>30.</v>
      </c>
    </row>
    <row r="322" spans="4:43" x14ac:dyDescent="0.25">
      <c r="D322" t="str" cm="1">
        <f t="array" ref="D322">SzuressNev($B$1,ROW()-1)</f>
        <v/>
      </c>
      <c r="E322">
        <f>COUNTIF($D$2:D322,D322)</f>
        <v>301</v>
      </c>
      <c r="F322" t="str" cm="1">
        <f t="array" ref="F322">ElutasitasEgyOk2(D322,E322)</f>
        <v/>
      </c>
      <c r="G322" t="str">
        <f>IFERROR(INDEX(diakadat!$I$2:$I$50,MATCH(D322,diakadat!$J$2:$J$50,0),1),"")</f>
        <v/>
      </c>
      <c r="H322" t="str">
        <f>IFERROR(INDEX(diakadat!$O$2:$O$50,MATCH(D322,diakadat!$J$2:$J$50,0),1),"")</f>
        <v/>
      </c>
      <c r="I322" t="str">
        <f>IFERROR(INDEX(diakadat!#REF!,MATCH(D322,diakadat!$J$2:$J$50,0),1),"")</f>
        <v/>
      </c>
      <c r="J322" t="str">
        <f>IFERROR(INDEX(diakadat!$K$2:$K$50,MATCH(D322,diakadat!$J$2:$J$50,0),1),"")</f>
        <v/>
      </c>
      <c r="K322" t="str" cm="1">
        <f t="array" ref="K322">IFERROR(DatumSzovegge2(INDEX(diakadat!$L$2:$L$50,MATCH(D322,diakadat!$J$2:$J$50,0),1)),"")</f>
        <v/>
      </c>
      <c r="L322" t="str" cm="1">
        <f t="array" ref="L322">IFERROR(DatumSzovegge5(INDEX(diakadat!$L$2:$L$50,MATCH(D322,diakadat!$J$2:$J$50,0),1)),"")</f>
        <v/>
      </c>
      <c r="M322" t="str" cm="1">
        <f t="array" ref="M322">IFERROR(DatumSzovegge3(INDEX(diakadat!$L$2:$L$50,MATCH(D322,diakadat!$J$2:$J$50,0),1)),"")</f>
        <v/>
      </c>
      <c r="N322" t="str" cm="1">
        <f t="array" ref="N322">IFERROR(DatumSzovegge4(INDEX(diakadat!$L$2:$L$50,MATCH(D322,diakadat!$J$2:$J$50,0),1)),"")</f>
        <v/>
      </c>
      <c r="O322" t="str">
        <f>IFERROR(INDEX(diakadat!$R$2:$R$50,MATCH(D322,diakadat!$J$2:$J$50,0),1),"")</f>
        <v/>
      </c>
      <c r="P322" t="str">
        <f>IFERROR(INDEX(diakadat!$AI$2:$AI$50,MATCH(D322,diakadat!$J$2:$J$50,0),1),"")</f>
        <v/>
      </c>
      <c r="Q322" t="str">
        <f>IFERROR(INDEX('rangsor'!$C$2:$C$343,MATCH(D322,'rangsor'!$A$2:$A$343,0),1),"")</f>
        <v/>
      </c>
      <c r="T322" t="s">
        <v>831</v>
      </c>
      <c r="U322" t="str" cm="1">
        <f t="array" ref="U322">Határozat(D322)</f>
        <v/>
      </c>
      <c r="AC322" t="str">
        <f>IFERROR(INDEX(diakadat!$U$2:$U$50,MATCH(D322,diakadat!$J$2:$J$50),1),"")</f>
        <v/>
      </c>
      <c r="AD322" t="str">
        <f>IFERROR(INDEX(diakadat!$V$2:$V$50,MATCH(D322,diakadat!$J$2:$J$50),1),"")</f>
        <v/>
      </c>
      <c r="AE322" t="str">
        <f>IFERROR(INDEX(diakadat!$W$2:$W$50,MATCH(D322,diakadat!$J$2:$J$50),1),"")</f>
        <v/>
      </c>
      <c r="AI322" t="str">
        <f>IFERROR(INDEX(diakadat!$X$2:$X$50,MATCH(D322,diakadat!$J$2:$J$50),1),"")</f>
        <v/>
      </c>
      <c r="AK322">
        <f t="shared" ref="AK322:AK385" si="5">COUNTIF($AD$2:$AD$350,AD322)</f>
        <v>329</v>
      </c>
      <c r="AL322" t="str" cm="1">
        <f t="array" ref="AL322">ElsoBetuNagy(R322)</f>
        <v/>
      </c>
      <c r="AO322" t="str" cm="1">
        <f t="array" ref="AO322">DatumSzovegge5(AN322)</f>
        <v>1899.</v>
      </c>
      <c r="AP322" t="str" cm="1">
        <f t="array" ref="AP322">DatumSzovegge3(AN322)</f>
        <v>december</v>
      </c>
      <c r="AQ322" t="str" cm="1">
        <f t="array" ref="AQ322">DatumSzovegge4(AN322)</f>
        <v>30.</v>
      </c>
    </row>
    <row r="323" spans="4:43" x14ac:dyDescent="0.25">
      <c r="D323" t="str" cm="1">
        <f t="array" ref="D323">SzuressNev($B$1,ROW()-1)</f>
        <v/>
      </c>
      <c r="E323">
        <f>COUNTIF($D$2:D323,D323)</f>
        <v>302</v>
      </c>
      <c r="F323" t="str" cm="1">
        <f t="array" ref="F323">ElutasitasEgyOk2(D323,E323)</f>
        <v/>
      </c>
      <c r="G323" t="str">
        <f>IFERROR(INDEX(diakadat!$I$2:$I$50,MATCH(D323,diakadat!$J$2:$J$50,0),1),"")</f>
        <v/>
      </c>
      <c r="H323" t="str">
        <f>IFERROR(INDEX(diakadat!$O$2:$O$50,MATCH(D323,diakadat!$J$2:$J$50,0),1),"")</f>
        <v/>
      </c>
      <c r="I323" t="str">
        <f>IFERROR(INDEX(diakadat!#REF!,MATCH(D323,diakadat!$J$2:$J$50,0),1),"")</f>
        <v/>
      </c>
      <c r="J323" t="str">
        <f>IFERROR(INDEX(diakadat!$K$2:$K$50,MATCH(D323,diakadat!$J$2:$J$50,0),1),"")</f>
        <v/>
      </c>
      <c r="K323" t="str" cm="1">
        <f t="array" ref="K323">IFERROR(DatumSzovegge2(INDEX(diakadat!$L$2:$L$50,MATCH(D323,diakadat!$J$2:$J$50,0),1)),"")</f>
        <v/>
      </c>
      <c r="L323" t="str" cm="1">
        <f t="array" ref="L323">IFERROR(DatumSzovegge5(INDEX(diakadat!$L$2:$L$50,MATCH(D323,diakadat!$J$2:$J$50,0),1)),"")</f>
        <v/>
      </c>
      <c r="M323" t="str" cm="1">
        <f t="array" ref="M323">IFERROR(DatumSzovegge3(INDEX(diakadat!$L$2:$L$50,MATCH(D323,diakadat!$J$2:$J$50,0),1)),"")</f>
        <v/>
      </c>
      <c r="N323" t="str" cm="1">
        <f t="array" ref="N323">IFERROR(DatumSzovegge4(INDEX(diakadat!$L$2:$L$50,MATCH(D323,diakadat!$J$2:$J$50,0),1)),"")</f>
        <v/>
      </c>
      <c r="O323" t="str">
        <f>IFERROR(INDEX(diakadat!$R$2:$R$50,MATCH(D323,diakadat!$J$2:$J$50,0),1),"")</f>
        <v/>
      </c>
      <c r="P323" t="str">
        <f>IFERROR(INDEX(diakadat!$AI$2:$AI$50,MATCH(D323,diakadat!$J$2:$J$50,0),1),"")</f>
        <v/>
      </c>
      <c r="Q323" t="str">
        <f>IFERROR(INDEX('rangsor'!$C$2:$C$343,MATCH(D323,'rangsor'!$A$2:$A$343,0),1),"")</f>
        <v/>
      </c>
      <c r="T323" t="s">
        <v>831</v>
      </c>
      <c r="U323" t="str" cm="1">
        <f t="array" ref="U323">Határozat(D323)</f>
        <v/>
      </c>
      <c r="AC323" t="str">
        <f>IFERROR(INDEX(diakadat!$U$2:$U$50,MATCH(D323,diakadat!$J$2:$J$50),1),"")</f>
        <v/>
      </c>
      <c r="AD323" t="str">
        <f>IFERROR(INDEX(diakadat!$V$2:$V$50,MATCH(D323,diakadat!$J$2:$J$50),1),"")</f>
        <v/>
      </c>
      <c r="AE323" t="str">
        <f>IFERROR(INDEX(diakadat!$W$2:$W$50,MATCH(D323,diakadat!$J$2:$J$50),1),"")</f>
        <v/>
      </c>
      <c r="AI323" t="str">
        <f>IFERROR(INDEX(diakadat!$X$2:$X$50,MATCH(D323,diakadat!$J$2:$J$50),1),"")</f>
        <v/>
      </c>
      <c r="AK323">
        <f t="shared" si="5"/>
        <v>329</v>
      </c>
      <c r="AL323" t="str" cm="1">
        <f t="array" ref="AL323">ElsoBetuNagy(R323)</f>
        <v/>
      </c>
      <c r="AO323" t="str" cm="1">
        <f t="array" ref="AO323">DatumSzovegge5(AN323)</f>
        <v>1899.</v>
      </c>
      <c r="AP323" t="str" cm="1">
        <f t="array" ref="AP323">DatumSzovegge3(AN323)</f>
        <v>december</v>
      </c>
      <c r="AQ323" t="str" cm="1">
        <f t="array" ref="AQ323">DatumSzovegge4(AN323)</f>
        <v>30.</v>
      </c>
    </row>
    <row r="324" spans="4:43" x14ac:dyDescent="0.25">
      <c r="D324" t="str" cm="1">
        <f t="array" ref="D324">SzuressNev($B$1,ROW()-1)</f>
        <v/>
      </c>
      <c r="E324">
        <f>COUNTIF($D$2:D324,D324)</f>
        <v>303</v>
      </c>
      <c r="F324" t="str" cm="1">
        <f t="array" ref="F324">ElutasitasEgyOk2(D324,E324)</f>
        <v/>
      </c>
      <c r="G324" t="str">
        <f>IFERROR(INDEX(diakadat!$I$2:$I$50,MATCH(D324,diakadat!$J$2:$J$50,0),1),"")</f>
        <v/>
      </c>
      <c r="H324" t="str">
        <f>IFERROR(INDEX(diakadat!$O$2:$O$50,MATCH(D324,diakadat!$J$2:$J$50,0),1),"")</f>
        <v/>
      </c>
      <c r="I324" t="str">
        <f>IFERROR(INDEX(diakadat!#REF!,MATCH(D324,diakadat!$J$2:$J$50,0),1),"")</f>
        <v/>
      </c>
      <c r="J324" t="str">
        <f>IFERROR(INDEX(diakadat!$K$2:$K$50,MATCH(D324,diakadat!$J$2:$J$50,0),1),"")</f>
        <v/>
      </c>
      <c r="K324" t="str" cm="1">
        <f t="array" ref="K324">IFERROR(DatumSzovegge2(INDEX(diakadat!$L$2:$L$50,MATCH(D324,diakadat!$J$2:$J$50,0),1)),"")</f>
        <v/>
      </c>
      <c r="L324" t="str" cm="1">
        <f t="array" ref="L324">IFERROR(DatumSzovegge5(INDEX(diakadat!$L$2:$L$50,MATCH(D324,diakadat!$J$2:$J$50,0),1)),"")</f>
        <v/>
      </c>
      <c r="M324" t="str" cm="1">
        <f t="array" ref="M324">IFERROR(DatumSzovegge3(INDEX(diakadat!$L$2:$L$50,MATCH(D324,diakadat!$J$2:$J$50,0),1)),"")</f>
        <v/>
      </c>
      <c r="N324" t="str" cm="1">
        <f t="array" ref="N324">IFERROR(DatumSzovegge4(INDEX(diakadat!$L$2:$L$50,MATCH(D324,diakadat!$J$2:$J$50,0),1)),"")</f>
        <v/>
      </c>
      <c r="O324" t="str">
        <f>IFERROR(INDEX(diakadat!$R$2:$R$50,MATCH(D324,diakadat!$J$2:$J$50,0),1),"")</f>
        <v/>
      </c>
      <c r="P324" t="str">
        <f>IFERROR(INDEX(diakadat!$AI$2:$AI$50,MATCH(D324,diakadat!$J$2:$J$50,0),1),"")</f>
        <v/>
      </c>
      <c r="Q324" t="str">
        <f>IFERROR(INDEX('rangsor'!$C$2:$C$343,MATCH(D324,'rangsor'!$A$2:$A$343,0),1),"")</f>
        <v/>
      </c>
      <c r="T324" t="s">
        <v>831</v>
      </c>
      <c r="U324" t="str" cm="1">
        <f t="array" ref="U324">Határozat(D324)</f>
        <v/>
      </c>
      <c r="AC324" t="str">
        <f>IFERROR(INDEX(diakadat!$U$2:$U$50,MATCH(D324,diakadat!$J$2:$J$50),1),"")</f>
        <v/>
      </c>
      <c r="AD324" t="str">
        <f>IFERROR(INDEX(diakadat!$V$2:$V$50,MATCH(D324,diakadat!$J$2:$J$50),1),"")</f>
        <v/>
      </c>
      <c r="AE324" t="str">
        <f>IFERROR(INDEX(diakadat!$W$2:$W$50,MATCH(D324,diakadat!$J$2:$J$50),1),"")</f>
        <v/>
      </c>
      <c r="AI324" t="str">
        <f>IFERROR(INDEX(diakadat!$X$2:$X$50,MATCH(D324,diakadat!$J$2:$J$50),1),"")</f>
        <v/>
      </c>
      <c r="AK324">
        <f t="shared" si="5"/>
        <v>329</v>
      </c>
      <c r="AL324" t="str" cm="1">
        <f t="array" ref="AL324">ElsoBetuNagy(R324)</f>
        <v/>
      </c>
      <c r="AO324" t="str" cm="1">
        <f t="array" ref="AO324">DatumSzovegge5(AN324)</f>
        <v>1899.</v>
      </c>
      <c r="AP324" t="str" cm="1">
        <f t="array" ref="AP324">DatumSzovegge3(AN324)</f>
        <v>december</v>
      </c>
      <c r="AQ324" t="str" cm="1">
        <f t="array" ref="AQ324">DatumSzovegge4(AN324)</f>
        <v>30.</v>
      </c>
    </row>
    <row r="325" spans="4:43" x14ac:dyDescent="0.25">
      <c r="D325" t="str" cm="1">
        <f t="array" ref="D325">SzuressNev($B$1,ROW()-1)</f>
        <v/>
      </c>
      <c r="E325">
        <f>COUNTIF($D$2:D325,D325)</f>
        <v>304</v>
      </c>
      <c r="F325" t="str" cm="1">
        <f t="array" ref="F325">ElutasitasEgyOk2(D325,E325)</f>
        <v/>
      </c>
      <c r="G325" t="str">
        <f>IFERROR(INDEX(diakadat!$I$2:$I$50,MATCH(D325,diakadat!$J$2:$J$50,0),1),"")</f>
        <v/>
      </c>
      <c r="H325" t="str">
        <f>IFERROR(INDEX(diakadat!$O$2:$O$50,MATCH(D325,diakadat!$J$2:$J$50,0),1),"")</f>
        <v/>
      </c>
      <c r="I325" t="str">
        <f>IFERROR(INDEX(diakadat!#REF!,MATCH(D325,diakadat!$J$2:$J$50,0),1),"")</f>
        <v/>
      </c>
      <c r="J325" t="str">
        <f>IFERROR(INDEX(diakadat!$K$2:$K$50,MATCH(D325,diakadat!$J$2:$J$50,0),1),"")</f>
        <v/>
      </c>
      <c r="K325" t="str" cm="1">
        <f t="array" ref="K325">IFERROR(DatumSzovegge2(INDEX(diakadat!$L$2:$L$50,MATCH(D325,diakadat!$J$2:$J$50,0),1)),"")</f>
        <v/>
      </c>
      <c r="L325" t="str" cm="1">
        <f t="array" ref="L325">IFERROR(DatumSzovegge5(INDEX(diakadat!$L$2:$L$50,MATCH(D325,diakadat!$J$2:$J$50,0),1)),"")</f>
        <v/>
      </c>
      <c r="M325" t="str" cm="1">
        <f t="array" ref="M325">IFERROR(DatumSzovegge3(INDEX(diakadat!$L$2:$L$50,MATCH(D325,diakadat!$J$2:$J$50,0),1)),"")</f>
        <v/>
      </c>
      <c r="N325" t="str" cm="1">
        <f t="array" ref="N325">IFERROR(DatumSzovegge4(INDEX(diakadat!$L$2:$L$50,MATCH(D325,diakadat!$J$2:$J$50,0),1)),"")</f>
        <v/>
      </c>
      <c r="O325" t="str">
        <f>IFERROR(INDEX(diakadat!$R$2:$R$50,MATCH(D325,diakadat!$J$2:$J$50,0),1),"")</f>
        <v/>
      </c>
      <c r="P325" t="str">
        <f>IFERROR(INDEX(diakadat!$AI$2:$AI$50,MATCH(D325,diakadat!$J$2:$J$50,0),1),"")</f>
        <v/>
      </c>
      <c r="Q325" t="str">
        <f>IFERROR(INDEX('rangsor'!$C$2:$C$343,MATCH(D325,'rangsor'!$A$2:$A$343,0),1),"")</f>
        <v/>
      </c>
      <c r="T325" t="s">
        <v>831</v>
      </c>
      <c r="U325" t="str" cm="1">
        <f t="array" ref="U325">Határozat(D325)</f>
        <v/>
      </c>
      <c r="AC325" t="str">
        <f>IFERROR(INDEX(diakadat!$U$2:$U$50,MATCH(D325,diakadat!$J$2:$J$50),1),"")</f>
        <v/>
      </c>
      <c r="AD325" t="str">
        <f>IFERROR(INDEX(diakadat!$V$2:$V$50,MATCH(D325,diakadat!$J$2:$J$50),1),"")</f>
        <v/>
      </c>
      <c r="AE325" t="str">
        <f>IFERROR(INDEX(diakadat!$W$2:$W$50,MATCH(D325,diakadat!$J$2:$J$50),1),"")</f>
        <v/>
      </c>
      <c r="AI325" t="str">
        <f>IFERROR(INDEX(diakadat!$X$2:$X$50,MATCH(D325,diakadat!$J$2:$J$50),1),"")</f>
        <v/>
      </c>
      <c r="AK325">
        <f t="shared" si="5"/>
        <v>329</v>
      </c>
      <c r="AL325" t="str" cm="1">
        <f t="array" ref="AL325">ElsoBetuNagy(R325)</f>
        <v/>
      </c>
      <c r="AO325" t="str" cm="1">
        <f t="array" ref="AO325">DatumSzovegge5(AN325)</f>
        <v>1899.</v>
      </c>
      <c r="AP325" t="str" cm="1">
        <f t="array" ref="AP325">DatumSzovegge3(AN325)</f>
        <v>december</v>
      </c>
      <c r="AQ325" t="str" cm="1">
        <f t="array" ref="AQ325">DatumSzovegge4(AN325)</f>
        <v>30.</v>
      </c>
    </row>
    <row r="326" spans="4:43" x14ac:dyDescent="0.25">
      <c r="D326" t="str" cm="1">
        <f t="array" ref="D326">SzuressNev($B$1,ROW()-1)</f>
        <v/>
      </c>
      <c r="E326">
        <f>COUNTIF($D$2:D326,D326)</f>
        <v>305</v>
      </c>
      <c r="F326" t="str" cm="1">
        <f t="array" ref="F326">ElutasitasEgyOk2(D326,E326)</f>
        <v/>
      </c>
      <c r="G326" t="str">
        <f>IFERROR(INDEX(diakadat!$I$2:$I$50,MATCH(D326,diakadat!$J$2:$J$50,0),1),"")</f>
        <v/>
      </c>
      <c r="H326" t="str">
        <f>IFERROR(INDEX(diakadat!$O$2:$O$50,MATCH(D326,diakadat!$J$2:$J$50,0),1),"")</f>
        <v/>
      </c>
      <c r="I326" t="str">
        <f>IFERROR(INDEX(diakadat!#REF!,MATCH(D326,diakadat!$J$2:$J$50,0),1),"")</f>
        <v/>
      </c>
      <c r="J326" t="str">
        <f>IFERROR(INDEX(diakadat!$K$2:$K$50,MATCH(D326,diakadat!$J$2:$J$50,0),1),"")</f>
        <v/>
      </c>
      <c r="K326" t="str" cm="1">
        <f t="array" ref="K326">IFERROR(DatumSzovegge2(INDEX(diakadat!$L$2:$L$50,MATCH(D326,diakadat!$J$2:$J$50,0),1)),"")</f>
        <v/>
      </c>
      <c r="L326" t="str" cm="1">
        <f t="array" ref="L326">IFERROR(DatumSzovegge5(INDEX(diakadat!$L$2:$L$50,MATCH(D326,diakadat!$J$2:$J$50,0),1)),"")</f>
        <v/>
      </c>
      <c r="M326" t="str" cm="1">
        <f t="array" ref="M326">IFERROR(DatumSzovegge3(INDEX(diakadat!$L$2:$L$50,MATCH(D326,diakadat!$J$2:$J$50,0),1)),"")</f>
        <v/>
      </c>
      <c r="N326" t="str" cm="1">
        <f t="array" ref="N326">IFERROR(DatumSzovegge4(INDEX(diakadat!$L$2:$L$50,MATCH(D326,diakadat!$J$2:$J$50,0),1)),"")</f>
        <v/>
      </c>
      <c r="O326" t="str">
        <f>IFERROR(INDEX(diakadat!$R$2:$R$50,MATCH(D326,diakadat!$J$2:$J$50,0),1),"")</f>
        <v/>
      </c>
      <c r="P326" t="str">
        <f>IFERROR(INDEX(diakadat!$AI$2:$AI$50,MATCH(D326,diakadat!$J$2:$J$50,0),1),"")</f>
        <v/>
      </c>
      <c r="Q326" t="str">
        <f>IFERROR(INDEX('rangsor'!$C$2:$C$343,MATCH(D326,'rangsor'!$A$2:$A$343,0),1),"")</f>
        <v/>
      </c>
      <c r="T326" t="s">
        <v>831</v>
      </c>
      <c r="U326" t="str" cm="1">
        <f t="array" ref="U326">Határozat(D326)</f>
        <v/>
      </c>
      <c r="AC326" t="str">
        <f>IFERROR(INDEX(diakadat!$U$2:$U$50,MATCH(D326,diakadat!$J$2:$J$50),1),"")</f>
        <v/>
      </c>
      <c r="AD326" t="str">
        <f>IFERROR(INDEX(diakadat!$V$2:$V$50,MATCH(D326,diakadat!$J$2:$J$50),1),"")</f>
        <v/>
      </c>
      <c r="AE326" t="str">
        <f>IFERROR(INDEX(diakadat!$W$2:$W$50,MATCH(D326,diakadat!$J$2:$J$50),1),"")</f>
        <v/>
      </c>
      <c r="AI326" t="str">
        <f>IFERROR(INDEX(diakadat!$X$2:$X$50,MATCH(D326,diakadat!$J$2:$J$50),1),"")</f>
        <v/>
      </c>
      <c r="AK326">
        <f t="shared" si="5"/>
        <v>329</v>
      </c>
      <c r="AL326" t="str" cm="1">
        <f t="array" ref="AL326">ElsoBetuNagy(R326)</f>
        <v/>
      </c>
      <c r="AO326" t="str" cm="1">
        <f t="array" ref="AO326">DatumSzovegge5(AN326)</f>
        <v>1899.</v>
      </c>
      <c r="AP326" t="str" cm="1">
        <f t="array" ref="AP326">DatumSzovegge3(AN326)</f>
        <v>december</v>
      </c>
      <c r="AQ326" t="str" cm="1">
        <f t="array" ref="AQ326">DatumSzovegge4(AN326)</f>
        <v>30.</v>
      </c>
    </row>
    <row r="327" spans="4:43" x14ac:dyDescent="0.25">
      <c r="D327" t="str" cm="1">
        <f t="array" ref="D327">SzuressNev($B$1,ROW()-1)</f>
        <v/>
      </c>
      <c r="E327">
        <f>COUNTIF($D$2:D327,D327)</f>
        <v>306</v>
      </c>
      <c r="F327" t="str" cm="1">
        <f t="array" ref="F327">ElutasitasEgyOk2(D327,E327)</f>
        <v/>
      </c>
      <c r="G327" t="str">
        <f>IFERROR(INDEX(diakadat!$I$2:$I$50,MATCH(D327,diakadat!$J$2:$J$50,0),1),"")</f>
        <v/>
      </c>
      <c r="H327" t="str">
        <f>IFERROR(INDEX(diakadat!$O$2:$O$50,MATCH(D327,diakadat!$J$2:$J$50,0),1),"")</f>
        <v/>
      </c>
      <c r="I327" t="str">
        <f>IFERROR(INDEX(diakadat!#REF!,MATCH(D327,diakadat!$J$2:$J$50,0),1),"")</f>
        <v/>
      </c>
      <c r="J327" t="str">
        <f>IFERROR(INDEX(diakadat!$K$2:$K$50,MATCH(D327,diakadat!$J$2:$J$50,0),1),"")</f>
        <v/>
      </c>
      <c r="K327" t="str" cm="1">
        <f t="array" ref="K327">IFERROR(DatumSzovegge2(INDEX(diakadat!$L$2:$L$50,MATCH(D327,diakadat!$J$2:$J$50,0),1)),"")</f>
        <v/>
      </c>
      <c r="L327" t="str" cm="1">
        <f t="array" ref="L327">IFERROR(DatumSzovegge5(INDEX(diakadat!$L$2:$L$50,MATCH(D327,diakadat!$J$2:$J$50,0),1)),"")</f>
        <v/>
      </c>
      <c r="M327" t="str" cm="1">
        <f t="array" ref="M327">IFERROR(DatumSzovegge3(INDEX(diakadat!$L$2:$L$50,MATCH(D327,diakadat!$J$2:$J$50,0),1)),"")</f>
        <v/>
      </c>
      <c r="N327" t="str" cm="1">
        <f t="array" ref="N327">IFERROR(DatumSzovegge4(INDEX(diakadat!$L$2:$L$50,MATCH(D327,diakadat!$J$2:$J$50,0),1)),"")</f>
        <v/>
      </c>
      <c r="O327" t="str">
        <f>IFERROR(INDEX(diakadat!$R$2:$R$50,MATCH(D327,diakadat!$J$2:$J$50,0),1),"")</f>
        <v/>
      </c>
      <c r="P327" t="str">
        <f>IFERROR(INDEX(diakadat!$AI$2:$AI$50,MATCH(D327,diakadat!$J$2:$J$50,0),1),"")</f>
        <v/>
      </c>
      <c r="Q327" t="str">
        <f>IFERROR(INDEX('rangsor'!$C$2:$C$343,MATCH(D327,'rangsor'!$A$2:$A$343,0),1),"")</f>
        <v/>
      </c>
      <c r="T327" t="s">
        <v>831</v>
      </c>
      <c r="U327" t="str" cm="1">
        <f t="array" ref="U327">Határozat(D327)</f>
        <v/>
      </c>
      <c r="AC327" t="str">
        <f>IFERROR(INDEX(diakadat!$U$2:$U$50,MATCH(D327,diakadat!$J$2:$J$50),1),"")</f>
        <v/>
      </c>
      <c r="AD327" t="str">
        <f>IFERROR(INDEX(diakadat!$V$2:$V$50,MATCH(D327,diakadat!$J$2:$J$50),1),"")</f>
        <v/>
      </c>
      <c r="AE327" t="str">
        <f>IFERROR(INDEX(diakadat!$W$2:$W$50,MATCH(D327,diakadat!$J$2:$J$50),1),"")</f>
        <v/>
      </c>
      <c r="AI327" t="str">
        <f>IFERROR(INDEX(diakadat!$X$2:$X$50,MATCH(D327,diakadat!$J$2:$J$50),1),"")</f>
        <v/>
      </c>
      <c r="AK327">
        <f t="shared" si="5"/>
        <v>329</v>
      </c>
      <c r="AL327" t="str" cm="1">
        <f t="array" ref="AL327">ElsoBetuNagy(R327)</f>
        <v/>
      </c>
      <c r="AO327" t="str" cm="1">
        <f t="array" ref="AO327">DatumSzovegge5(AN327)</f>
        <v>1899.</v>
      </c>
      <c r="AP327" t="str" cm="1">
        <f t="array" ref="AP327">DatumSzovegge3(AN327)</f>
        <v>december</v>
      </c>
      <c r="AQ327" t="str" cm="1">
        <f t="array" ref="AQ327">DatumSzovegge4(AN327)</f>
        <v>30.</v>
      </c>
    </row>
    <row r="328" spans="4:43" x14ac:dyDescent="0.25">
      <c r="D328" t="str" cm="1">
        <f t="array" ref="D328">SzuressNev($B$1,ROW()-1)</f>
        <v/>
      </c>
      <c r="E328">
        <f>COUNTIF($D$2:D328,D328)</f>
        <v>307</v>
      </c>
      <c r="F328" t="str" cm="1">
        <f t="array" ref="F328">ElutasitasEgyOk2(D328,E328)</f>
        <v/>
      </c>
      <c r="G328" t="str">
        <f>IFERROR(INDEX(diakadat!$I$2:$I$50,MATCH(D328,diakadat!$J$2:$J$50,0),1),"")</f>
        <v/>
      </c>
      <c r="H328" t="str">
        <f>IFERROR(INDEX(diakadat!$O$2:$O$50,MATCH(D328,diakadat!$J$2:$J$50,0),1),"")</f>
        <v/>
      </c>
      <c r="I328" t="str">
        <f>IFERROR(INDEX(diakadat!#REF!,MATCH(D328,diakadat!$J$2:$J$50,0),1),"")</f>
        <v/>
      </c>
      <c r="J328" t="str">
        <f>IFERROR(INDEX(diakadat!$K$2:$K$50,MATCH(D328,diakadat!$J$2:$J$50,0),1),"")</f>
        <v/>
      </c>
      <c r="K328" t="str" cm="1">
        <f t="array" ref="K328">IFERROR(DatumSzovegge2(INDEX(diakadat!$L$2:$L$50,MATCH(D328,diakadat!$J$2:$J$50,0),1)),"")</f>
        <v/>
      </c>
      <c r="L328" t="str" cm="1">
        <f t="array" ref="L328">IFERROR(DatumSzovegge5(INDEX(diakadat!$L$2:$L$50,MATCH(D328,diakadat!$J$2:$J$50,0),1)),"")</f>
        <v/>
      </c>
      <c r="M328" t="str" cm="1">
        <f t="array" ref="M328">IFERROR(DatumSzovegge3(INDEX(diakadat!$L$2:$L$50,MATCH(D328,diakadat!$J$2:$J$50,0),1)),"")</f>
        <v/>
      </c>
      <c r="N328" t="str" cm="1">
        <f t="array" ref="N328">IFERROR(DatumSzovegge4(INDEX(diakadat!$L$2:$L$50,MATCH(D328,diakadat!$J$2:$J$50,0),1)),"")</f>
        <v/>
      </c>
      <c r="O328" t="str">
        <f>IFERROR(INDEX(diakadat!$R$2:$R$50,MATCH(D328,diakadat!$J$2:$J$50,0),1),"")</f>
        <v/>
      </c>
      <c r="P328" t="str">
        <f>IFERROR(INDEX(diakadat!$AI$2:$AI$50,MATCH(D328,diakadat!$J$2:$J$50,0),1),"")</f>
        <v/>
      </c>
      <c r="Q328" t="str">
        <f>IFERROR(INDEX('rangsor'!$C$2:$C$343,MATCH(D328,'rangsor'!$A$2:$A$343,0),1),"")</f>
        <v/>
      </c>
      <c r="T328" t="s">
        <v>831</v>
      </c>
      <c r="U328" t="str" cm="1">
        <f t="array" ref="U328">Határozat(D328)</f>
        <v/>
      </c>
      <c r="AC328" t="str">
        <f>IFERROR(INDEX(diakadat!$U$2:$U$50,MATCH(D328,diakadat!$J$2:$J$50),1),"")</f>
        <v/>
      </c>
      <c r="AD328" t="str">
        <f>IFERROR(INDEX(diakadat!$V$2:$V$50,MATCH(D328,diakadat!$J$2:$J$50),1),"")</f>
        <v/>
      </c>
      <c r="AE328" t="str">
        <f>IFERROR(INDEX(diakadat!$W$2:$W$50,MATCH(D328,diakadat!$J$2:$J$50),1),"")</f>
        <v/>
      </c>
      <c r="AI328" t="str">
        <f>IFERROR(INDEX(diakadat!$X$2:$X$50,MATCH(D328,diakadat!$J$2:$J$50),1),"")</f>
        <v/>
      </c>
      <c r="AK328">
        <f t="shared" si="5"/>
        <v>329</v>
      </c>
      <c r="AL328" t="str" cm="1">
        <f t="array" ref="AL328">ElsoBetuNagy(R328)</f>
        <v/>
      </c>
      <c r="AO328" t="str" cm="1">
        <f t="array" ref="AO328">DatumSzovegge5(AN328)</f>
        <v>1899.</v>
      </c>
      <c r="AP328" t="str" cm="1">
        <f t="array" ref="AP328">DatumSzovegge3(AN328)</f>
        <v>december</v>
      </c>
      <c r="AQ328" t="str" cm="1">
        <f t="array" ref="AQ328">DatumSzovegge4(AN328)</f>
        <v>30.</v>
      </c>
    </row>
    <row r="329" spans="4:43" x14ac:dyDescent="0.25">
      <c r="D329" t="str" cm="1">
        <f t="array" ref="D329">SzuressNev($B$1,ROW()-1)</f>
        <v/>
      </c>
      <c r="E329">
        <f>COUNTIF($D$2:D329,D329)</f>
        <v>308</v>
      </c>
      <c r="F329" t="str" cm="1">
        <f t="array" ref="F329">ElutasitasEgyOk2(D329,E329)</f>
        <v/>
      </c>
      <c r="G329" t="str">
        <f>IFERROR(INDEX(diakadat!$I$2:$I$50,MATCH(D329,diakadat!$J$2:$J$50,0),1),"")</f>
        <v/>
      </c>
      <c r="H329" t="str">
        <f>IFERROR(INDEX(diakadat!$O$2:$O$50,MATCH(D329,diakadat!$J$2:$J$50,0),1),"")</f>
        <v/>
      </c>
      <c r="I329" t="str">
        <f>IFERROR(INDEX(diakadat!#REF!,MATCH(D329,diakadat!$J$2:$J$50,0),1),"")</f>
        <v/>
      </c>
      <c r="J329" t="str">
        <f>IFERROR(INDEX(diakadat!$K$2:$K$50,MATCH(D329,diakadat!$J$2:$J$50,0),1),"")</f>
        <v/>
      </c>
      <c r="K329" t="str" cm="1">
        <f t="array" ref="K329">IFERROR(DatumSzovegge2(INDEX(diakadat!$L$2:$L$50,MATCH(D329,diakadat!$J$2:$J$50,0),1)),"")</f>
        <v/>
      </c>
      <c r="L329" t="str" cm="1">
        <f t="array" ref="L329">IFERROR(DatumSzovegge5(INDEX(diakadat!$L$2:$L$50,MATCH(D329,diakadat!$J$2:$J$50,0),1)),"")</f>
        <v/>
      </c>
      <c r="M329" t="str" cm="1">
        <f t="array" ref="M329">IFERROR(DatumSzovegge3(INDEX(diakadat!$L$2:$L$50,MATCH(D329,diakadat!$J$2:$J$50,0),1)),"")</f>
        <v/>
      </c>
      <c r="N329" t="str" cm="1">
        <f t="array" ref="N329">IFERROR(DatumSzovegge4(INDEX(diakadat!$L$2:$L$50,MATCH(D329,diakadat!$J$2:$J$50,0),1)),"")</f>
        <v/>
      </c>
      <c r="O329" t="str">
        <f>IFERROR(INDEX(diakadat!$R$2:$R$50,MATCH(D329,diakadat!$J$2:$J$50,0),1),"")</f>
        <v/>
      </c>
      <c r="P329" t="str">
        <f>IFERROR(INDEX(diakadat!$AI$2:$AI$50,MATCH(D329,diakadat!$J$2:$J$50,0),1),"")</f>
        <v/>
      </c>
      <c r="Q329" t="str">
        <f>IFERROR(INDEX('rangsor'!$C$2:$C$343,MATCH(D329,'rangsor'!$A$2:$A$343,0),1),"")</f>
        <v/>
      </c>
      <c r="T329" t="s">
        <v>831</v>
      </c>
      <c r="U329" t="str" cm="1">
        <f t="array" ref="U329">Határozat(D329)</f>
        <v/>
      </c>
      <c r="AC329" t="str">
        <f>IFERROR(INDEX(diakadat!$U$2:$U$50,MATCH(D329,diakadat!$J$2:$J$50),1),"")</f>
        <v/>
      </c>
      <c r="AD329" t="str">
        <f>IFERROR(INDEX(diakadat!$V$2:$V$50,MATCH(D329,diakadat!$J$2:$J$50),1),"")</f>
        <v/>
      </c>
      <c r="AE329" t="str">
        <f>IFERROR(INDEX(diakadat!$W$2:$W$50,MATCH(D329,diakadat!$J$2:$J$50),1),"")</f>
        <v/>
      </c>
      <c r="AI329" t="str">
        <f>IFERROR(INDEX(diakadat!$X$2:$X$50,MATCH(D329,diakadat!$J$2:$J$50),1),"")</f>
        <v/>
      </c>
      <c r="AK329">
        <f t="shared" si="5"/>
        <v>329</v>
      </c>
      <c r="AL329" t="str" cm="1">
        <f t="array" ref="AL329">ElsoBetuNagy(R329)</f>
        <v/>
      </c>
      <c r="AO329" t="str" cm="1">
        <f t="array" ref="AO329">DatumSzovegge5(AN329)</f>
        <v>1899.</v>
      </c>
      <c r="AP329" t="str" cm="1">
        <f t="array" ref="AP329">DatumSzovegge3(AN329)</f>
        <v>december</v>
      </c>
      <c r="AQ329" t="str" cm="1">
        <f t="array" ref="AQ329">DatumSzovegge4(AN329)</f>
        <v>30.</v>
      </c>
    </row>
    <row r="330" spans="4:43" x14ac:dyDescent="0.25">
      <c r="D330" t="str" cm="1">
        <f t="array" ref="D330">SzuressNev($B$1,ROW()-1)</f>
        <v/>
      </c>
      <c r="E330">
        <f>COUNTIF($D$2:D330,D330)</f>
        <v>309</v>
      </c>
      <c r="F330" t="str" cm="1">
        <f t="array" ref="F330">ElutasitasEgyOk2(D330,E330)</f>
        <v/>
      </c>
      <c r="G330" t="str">
        <f>IFERROR(INDEX(diakadat!$I$2:$I$50,MATCH(D330,diakadat!$J$2:$J$50,0),1),"")</f>
        <v/>
      </c>
      <c r="H330" t="str">
        <f>IFERROR(INDEX(diakadat!$O$2:$O$50,MATCH(D330,diakadat!$J$2:$J$50,0),1),"")</f>
        <v/>
      </c>
      <c r="I330" t="str">
        <f>IFERROR(INDEX(diakadat!#REF!,MATCH(D330,diakadat!$J$2:$J$50,0),1),"")</f>
        <v/>
      </c>
      <c r="J330" t="str">
        <f>IFERROR(INDEX(diakadat!$K$2:$K$50,MATCH(D330,diakadat!$J$2:$J$50,0),1),"")</f>
        <v/>
      </c>
      <c r="K330" t="str" cm="1">
        <f t="array" ref="K330">IFERROR(DatumSzovegge2(INDEX(diakadat!$L$2:$L$50,MATCH(D330,diakadat!$J$2:$J$50,0),1)),"")</f>
        <v/>
      </c>
      <c r="L330" t="str" cm="1">
        <f t="array" ref="L330">IFERROR(DatumSzovegge5(INDEX(diakadat!$L$2:$L$50,MATCH(D330,diakadat!$J$2:$J$50,0),1)),"")</f>
        <v/>
      </c>
      <c r="M330" t="str" cm="1">
        <f t="array" ref="M330">IFERROR(DatumSzovegge3(INDEX(diakadat!$L$2:$L$50,MATCH(D330,diakadat!$J$2:$J$50,0),1)),"")</f>
        <v/>
      </c>
      <c r="N330" t="str" cm="1">
        <f t="array" ref="N330">IFERROR(DatumSzovegge4(INDEX(diakadat!$L$2:$L$50,MATCH(D330,diakadat!$J$2:$J$50,0),1)),"")</f>
        <v/>
      </c>
      <c r="O330" t="str">
        <f>IFERROR(INDEX(diakadat!$R$2:$R$50,MATCH(D330,diakadat!$J$2:$J$50,0),1),"")</f>
        <v/>
      </c>
      <c r="P330" t="str">
        <f>IFERROR(INDEX(diakadat!$AI$2:$AI$50,MATCH(D330,diakadat!$J$2:$J$50,0),1),"")</f>
        <v/>
      </c>
      <c r="Q330" t="str">
        <f>IFERROR(INDEX('rangsor'!$C$2:$C$343,MATCH(D330,'rangsor'!$A$2:$A$343,0),1),"")</f>
        <v/>
      </c>
      <c r="T330" t="s">
        <v>831</v>
      </c>
      <c r="U330" t="str" cm="1">
        <f t="array" ref="U330">Határozat(D330)</f>
        <v/>
      </c>
      <c r="AC330" t="str">
        <f>IFERROR(INDEX(diakadat!$U$2:$U$50,MATCH(D330,diakadat!$J$2:$J$50),1),"")</f>
        <v/>
      </c>
      <c r="AD330" t="str">
        <f>IFERROR(INDEX(diakadat!$V$2:$V$50,MATCH(D330,diakadat!$J$2:$J$50),1),"")</f>
        <v/>
      </c>
      <c r="AE330" t="str">
        <f>IFERROR(INDEX(diakadat!$W$2:$W$50,MATCH(D330,diakadat!$J$2:$J$50),1),"")</f>
        <v/>
      </c>
      <c r="AI330" t="str">
        <f>IFERROR(INDEX(diakadat!$X$2:$X$50,MATCH(D330,diakadat!$J$2:$J$50),1),"")</f>
        <v/>
      </c>
      <c r="AK330">
        <f t="shared" si="5"/>
        <v>329</v>
      </c>
      <c r="AL330" t="str" cm="1">
        <f t="array" ref="AL330">ElsoBetuNagy(R330)</f>
        <v/>
      </c>
      <c r="AO330" t="str" cm="1">
        <f t="array" ref="AO330">DatumSzovegge5(AN330)</f>
        <v>1899.</v>
      </c>
      <c r="AP330" t="str" cm="1">
        <f t="array" ref="AP330">DatumSzovegge3(AN330)</f>
        <v>december</v>
      </c>
      <c r="AQ330" t="str" cm="1">
        <f t="array" ref="AQ330">DatumSzovegge4(AN330)</f>
        <v>30.</v>
      </c>
    </row>
    <row r="331" spans="4:43" x14ac:dyDescent="0.25">
      <c r="D331" t="str" cm="1">
        <f t="array" ref="D331">SzuressNev($B$1,ROW()-1)</f>
        <v/>
      </c>
      <c r="E331">
        <f>COUNTIF($D$2:D331,D331)</f>
        <v>310</v>
      </c>
      <c r="F331" t="str" cm="1">
        <f t="array" ref="F331">ElutasitasEgyOk2(D331,E331)</f>
        <v/>
      </c>
      <c r="G331" t="str">
        <f>IFERROR(INDEX(diakadat!$I$2:$I$50,MATCH(D331,diakadat!$J$2:$J$50,0),1),"")</f>
        <v/>
      </c>
      <c r="H331" t="str">
        <f>IFERROR(INDEX(diakadat!$O$2:$O$50,MATCH(D331,diakadat!$J$2:$J$50,0),1),"")</f>
        <v/>
      </c>
      <c r="I331" t="str">
        <f>IFERROR(INDEX(diakadat!#REF!,MATCH(D331,diakadat!$J$2:$J$50,0),1),"")</f>
        <v/>
      </c>
      <c r="J331" t="str">
        <f>IFERROR(INDEX(diakadat!$K$2:$K$50,MATCH(D331,diakadat!$J$2:$J$50,0),1),"")</f>
        <v/>
      </c>
      <c r="K331" t="str" cm="1">
        <f t="array" ref="K331">IFERROR(DatumSzovegge2(INDEX(diakadat!$L$2:$L$50,MATCH(D331,diakadat!$J$2:$J$50,0),1)),"")</f>
        <v/>
      </c>
      <c r="L331" t="str" cm="1">
        <f t="array" ref="L331">IFERROR(DatumSzovegge5(INDEX(diakadat!$L$2:$L$50,MATCH(D331,diakadat!$J$2:$J$50,0),1)),"")</f>
        <v/>
      </c>
      <c r="M331" t="str" cm="1">
        <f t="array" ref="M331">IFERROR(DatumSzovegge3(INDEX(diakadat!$L$2:$L$50,MATCH(D331,diakadat!$J$2:$J$50,0),1)),"")</f>
        <v/>
      </c>
      <c r="N331" t="str" cm="1">
        <f t="array" ref="N331">IFERROR(DatumSzovegge4(INDEX(diakadat!$L$2:$L$50,MATCH(D331,diakadat!$J$2:$J$50,0),1)),"")</f>
        <v/>
      </c>
      <c r="O331" t="str">
        <f>IFERROR(INDEX(diakadat!$R$2:$R$50,MATCH(D331,diakadat!$J$2:$J$50,0),1),"")</f>
        <v/>
      </c>
      <c r="P331" t="str">
        <f>IFERROR(INDEX(diakadat!$AI$2:$AI$50,MATCH(D331,diakadat!$J$2:$J$50,0),1),"")</f>
        <v/>
      </c>
      <c r="Q331" t="str">
        <f>IFERROR(INDEX('rangsor'!$C$2:$C$343,MATCH(D331,'rangsor'!$A$2:$A$343,0),1),"")</f>
        <v/>
      </c>
      <c r="T331" t="s">
        <v>831</v>
      </c>
      <c r="U331" t="str" cm="1">
        <f t="array" ref="U331">Határozat(D331)</f>
        <v/>
      </c>
      <c r="AC331" t="str">
        <f>IFERROR(INDEX(diakadat!$U$2:$U$50,MATCH(D331,diakadat!$J$2:$J$50),1),"")</f>
        <v/>
      </c>
      <c r="AD331" t="str">
        <f>IFERROR(INDEX(diakadat!$V$2:$V$50,MATCH(D331,diakadat!$J$2:$J$50),1),"")</f>
        <v/>
      </c>
      <c r="AE331" t="str">
        <f>IFERROR(INDEX(diakadat!$W$2:$W$50,MATCH(D331,diakadat!$J$2:$J$50),1),"")</f>
        <v/>
      </c>
      <c r="AI331" t="str">
        <f>IFERROR(INDEX(diakadat!$X$2:$X$50,MATCH(D331,diakadat!$J$2:$J$50),1),"")</f>
        <v/>
      </c>
      <c r="AK331">
        <f t="shared" si="5"/>
        <v>329</v>
      </c>
      <c r="AL331" t="str" cm="1">
        <f t="array" ref="AL331">ElsoBetuNagy(R331)</f>
        <v/>
      </c>
      <c r="AO331" t="str" cm="1">
        <f t="array" ref="AO331">DatumSzovegge5(AN331)</f>
        <v>1899.</v>
      </c>
      <c r="AP331" t="str" cm="1">
        <f t="array" ref="AP331">DatumSzovegge3(AN331)</f>
        <v>december</v>
      </c>
      <c r="AQ331" t="str" cm="1">
        <f t="array" ref="AQ331">DatumSzovegge4(AN331)</f>
        <v>30.</v>
      </c>
    </row>
    <row r="332" spans="4:43" x14ac:dyDescent="0.25">
      <c r="D332" t="str" cm="1">
        <f t="array" ref="D332">SzuressNev($B$1,ROW()-1)</f>
        <v/>
      </c>
      <c r="E332">
        <f>COUNTIF($D$2:D332,D332)</f>
        <v>311</v>
      </c>
      <c r="F332" t="str" cm="1">
        <f t="array" ref="F332">ElutasitasEgyOk2(D332,E332)</f>
        <v/>
      </c>
      <c r="G332" t="str">
        <f>IFERROR(INDEX(diakadat!$I$2:$I$50,MATCH(D332,diakadat!$J$2:$J$50,0),1),"")</f>
        <v/>
      </c>
      <c r="H332" t="str">
        <f>IFERROR(INDEX(diakadat!$O$2:$O$50,MATCH(D332,diakadat!$J$2:$J$50,0),1),"")</f>
        <v/>
      </c>
      <c r="I332" t="str">
        <f>IFERROR(INDEX(diakadat!#REF!,MATCH(D332,diakadat!$J$2:$J$50,0),1),"")</f>
        <v/>
      </c>
      <c r="J332" t="str">
        <f>IFERROR(INDEX(diakadat!$K$2:$K$50,MATCH(D332,diakadat!$J$2:$J$50,0),1),"")</f>
        <v/>
      </c>
      <c r="K332" t="str" cm="1">
        <f t="array" ref="K332">IFERROR(DatumSzovegge2(INDEX(diakadat!$L$2:$L$50,MATCH(D332,diakadat!$J$2:$J$50,0),1)),"")</f>
        <v/>
      </c>
      <c r="L332" t="str" cm="1">
        <f t="array" ref="L332">IFERROR(DatumSzovegge5(INDEX(diakadat!$L$2:$L$50,MATCH(D332,diakadat!$J$2:$J$50,0),1)),"")</f>
        <v/>
      </c>
      <c r="M332" t="str" cm="1">
        <f t="array" ref="M332">IFERROR(DatumSzovegge3(INDEX(diakadat!$L$2:$L$50,MATCH(D332,diakadat!$J$2:$J$50,0),1)),"")</f>
        <v/>
      </c>
      <c r="N332" t="str" cm="1">
        <f t="array" ref="N332">IFERROR(DatumSzovegge4(INDEX(diakadat!$L$2:$L$50,MATCH(D332,diakadat!$J$2:$J$50,0),1)),"")</f>
        <v/>
      </c>
      <c r="O332" t="str">
        <f>IFERROR(INDEX(diakadat!$R$2:$R$50,MATCH(D332,diakadat!$J$2:$J$50,0),1),"")</f>
        <v/>
      </c>
      <c r="P332" t="str">
        <f>IFERROR(INDEX(diakadat!$AI$2:$AI$50,MATCH(D332,diakadat!$J$2:$J$50,0),1),"")</f>
        <v/>
      </c>
      <c r="Q332" t="str">
        <f>IFERROR(INDEX('rangsor'!$C$2:$C$343,MATCH(D332,'rangsor'!$A$2:$A$343,0),1),"")</f>
        <v/>
      </c>
      <c r="T332" t="s">
        <v>831</v>
      </c>
      <c r="U332" t="str" cm="1">
        <f t="array" ref="U332">Határozat(D332)</f>
        <v/>
      </c>
      <c r="AC332" t="str">
        <f>IFERROR(INDEX(diakadat!$U$2:$U$50,MATCH(D332,diakadat!$J$2:$J$50),1),"")</f>
        <v/>
      </c>
      <c r="AD332" t="str">
        <f>IFERROR(INDEX(diakadat!$V$2:$V$50,MATCH(D332,diakadat!$J$2:$J$50),1),"")</f>
        <v/>
      </c>
      <c r="AE332" t="str">
        <f>IFERROR(INDEX(diakadat!$W$2:$W$50,MATCH(D332,diakadat!$J$2:$J$50),1),"")</f>
        <v/>
      </c>
      <c r="AI332" t="str">
        <f>IFERROR(INDEX(diakadat!$X$2:$X$50,MATCH(D332,diakadat!$J$2:$J$50),1),"")</f>
        <v/>
      </c>
      <c r="AK332">
        <f t="shared" si="5"/>
        <v>329</v>
      </c>
      <c r="AL332" t="str" cm="1">
        <f t="array" ref="AL332">ElsoBetuNagy(R332)</f>
        <v/>
      </c>
      <c r="AO332" t="str" cm="1">
        <f t="array" ref="AO332">DatumSzovegge5(AN332)</f>
        <v>1899.</v>
      </c>
      <c r="AP332" t="str" cm="1">
        <f t="array" ref="AP332">DatumSzovegge3(AN332)</f>
        <v>december</v>
      </c>
      <c r="AQ332" t="str" cm="1">
        <f t="array" ref="AQ332">DatumSzovegge4(AN332)</f>
        <v>30.</v>
      </c>
    </row>
    <row r="333" spans="4:43" x14ac:dyDescent="0.25">
      <c r="D333" t="str" cm="1">
        <f t="array" ref="D333">SzuressNev($B$1,ROW()-1)</f>
        <v/>
      </c>
      <c r="E333">
        <f>COUNTIF($D$2:D333,D333)</f>
        <v>312</v>
      </c>
      <c r="F333" t="str" cm="1">
        <f t="array" ref="F333">ElutasitasEgyOk2(D333,E333)</f>
        <v/>
      </c>
      <c r="G333" t="str">
        <f>IFERROR(INDEX(diakadat!$I$2:$I$50,MATCH(D333,diakadat!$J$2:$J$50,0),1),"")</f>
        <v/>
      </c>
      <c r="H333" t="str">
        <f>IFERROR(INDEX(diakadat!$O$2:$O$50,MATCH(D333,diakadat!$J$2:$J$50,0),1),"")</f>
        <v/>
      </c>
      <c r="I333" t="str">
        <f>IFERROR(INDEX(diakadat!#REF!,MATCH(D333,diakadat!$J$2:$J$50,0),1),"")</f>
        <v/>
      </c>
      <c r="J333" t="str">
        <f>IFERROR(INDEX(diakadat!$K$2:$K$50,MATCH(D333,diakadat!$J$2:$J$50,0),1),"")</f>
        <v/>
      </c>
      <c r="K333" t="str" cm="1">
        <f t="array" ref="K333">IFERROR(DatumSzovegge2(INDEX(diakadat!$L$2:$L$50,MATCH(D333,diakadat!$J$2:$J$50,0),1)),"")</f>
        <v/>
      </c>
      <c r="L333" t="str" cm="1">
        <f t="array" ref="L333">IFERROR(DatumSzovegge5(INDEX(diakadat!$L$2:$L$50,MATCH(D333,diakadat!$J$2:$J$50,0),1)),"")</f>
        <v/>
      </c>
      <c r="M333" t="str" cm="1">
        <f t="array" ref="M333">IFERROR(DatumSzovegge3(INDEX(diakadat!$L$2:$L$50,MATCH(D333,diakadat!$J$2:$J$50,0),1)),"")</f>
        <v/>
      </c>
      <c r="N333" t="str" cm="1">
        <f t="array" ref="N333">IFERROR(DatumSzovegge4(INDEX(diakadat!$L$2:$L$50,MATCH(D333,diakadat!$J$2:$J$50,0),1)),"")</f>
        <v/>
      </c>
      <c r="O333" t="str">
        <f>IFERROR(INDEX(diakadat!$R$2:$R$50,MATCH(D333,diakadat!$J$2:$J$50,0),1),"")</f>
        <v/>
      </c>
      <c r="P333" t="str">
        <f>IFERROR(INDEX(diakadat!$AI$2:$AI$50,MATCH(D333,diakadat!$J$2:$J$50,0),1),"")</f>
        <v/>
      </c>
      <c r="Q333" t="str">
        <f>IFERROR(INDEX('rangsor'!$C$2:$C$343,MATCH(D333,'rangsor'!$A$2:$A$343,0),1),"")</f>
        <v/>
      </c>
      <c r="T333" t="s">
        <v>831</v>
      </c>
      <c r="U333" t="str" cm="1">
        <f t="array" ref="U333">Határozat(D333)</f>
        <v/>
      </c>
      <c r="AC333" t="str">
        <f>IFERROR(INDEX(diakadat!$U$2:$U$50,MATCH(D333,diakadat!$J$2:$J$50),1),"")</f>
        <v/>
      </c>
      <c r="AD333" t="str">
        <f>IFERROR(INDEX(diakadat!$V$2:$V$50,MATCH(D333,diakadat!$J$2:$J$50),1),"")</f>
        <v/>
      </c>
      <c r="AE333" t="str">
        <f>IFERROR(INDEX(diakadat!$W$2:$W$50,MATCH(D333,diakadat!$J$2:$J$50),1),"")</f>
        <v/>
      </c>
      <c r="AI333" t="str">
        <f>IFERROR(INDEX(diakadat!$X$2:$X$50,MATCH(D333,diakadat!$J$2:$J$50),1),"")</f>
        <v/>
      </c>
      <c r="AK333">
        <f t="shared" si="5"/>
        <v>329</v>
      </c>
      <c r="AL333" t="str" cm="1">
        <f t="array" ref="AL333">ElsoBetuNagy(R333)</f>
        <v/>
      </c>
      <c r="AO333" t="str" cm="1">
        <f t="array" ref="AO333">DatumSzovegge5(AN333)</f>
        <v>1899.</v>
      </c>
      <c r="AP333" t="str" cm="1">
        <f t="array" ref="AP333">DatumSzovegge3(AN333)</f>
        <v>december</v>
      </c>
      <c r="AQ333" t="str" cm="1">
        <f t="array" ref="AQ333">DatumSzovegge4(AN333)</f>
        <v>30.</v>
      </c>
    </row>
    <row r="334" spans="4:43" x14ac:dyDescent="0.25">
      <c r="D334" t="str" cm="1">
        <f t="array" ref="D334">SzuressNev($B$1,ROW()-1)</f>
        <v/>
      </c>
      <c r="E334">
        <f>COUNTIF($D$2:D334,D334)</f>
        <v>313</v>
      </c>
      <c r="F334" t="str" cm="1">
        <f t="array" ref="F334">ElutasitasEgyOk2(D334,E334)</f>
        <v/>
      </c>
      <c r="G334" t="str">
        <f>IFERROR(INDEX(diakadat!$I$2:$I$50,MATCH(D334,diakadat!$J$2:$J$50,0),1),"")</f>
        <v/>
      </c>
      <c r="H334" t="str">
        <f>IFERROR(INDEX(diakadat!$O$2:$O$50,MATCH(D334,diakadat!$J$2:$J$50,0),1),"")</f>
        <v/>
      </c>
      <c r="I334" t="str">
        <f>IFERROR(INDEX(diakadat!#REF!,MATCH(D334,diakadat!$J$2:$J$50,0),1),"")</f>
        <v/>
      </c>
      <c r="J334" t="str">
        <f>IFERROR(INDEX(diakadat!$K$2:$K$50,MATCH(D334,diakadat!$J$2:$J$50,0),1),"")</f>
        <v/>
      </c>
      <c r="K334" t="str" cm="1">
        <f t="array" ref="K334">IFERROR(DatumSzovegge2(INDEX(diakadat!$L$2:$L$50,MATCH(D334,diakadat!$J$2:$J$50,0),1)),"")</f>
        <v/>
      </c>
      <c r="L334" t="str" cm="1">
        <f t="array" ref="L334">IFERROR(DatumSzovegge5(INDEX(diakadat!$L$2:$L$50,MATCH(D334,diakadat!$J$2:$J$50,0),1)),"")</f>
        <v/>
      </c>
      <c r="M334" t="str" cm="1">
        <f t="array" ref="M334">IFERROR(DatumSzovegge3(INDEX(diakadat!$L$2:$L$50,MATCH(D334,diakadat!$J$2:$J$50,0),1)),"")</f>
        <v/>
      </c>
      <c r="N334" t="str" cm="1">
        <f t="array" ref="N334">IFERROR(DatumSzovegge4(INDEX(diakadat!$L$2:$L$50,MATCH(D334,diakadat!$J$2:$J$50,0),1)),"")</f>
        <v/>
      </c>
      <c r="O334" t="str">
        <f>IFERROR(INDEX(diakadat!$R$2:$R$50,MATCH(D334,diakadat!$J$2:$J$50,0),1),"")</f>
        <v/>
      </c>
      <c r="P334" t="str">
        <f>IFERROR(INDEX(diakadat!$AI$2:$AI$50,MATCH(D334,diakadat!$J$2:$J$50,0),1),"")</f>
        <v/>
      </c>
      <c r="Q334" t="str">
        <f>IFERROR(INDEX('rangsor'!$C$2:$C$343,MATCH(D334,'rangsor'!$A$2:$A$343,0),1),"")</f>
        <v/>
      </c>
      <c r="T334" t="s">
        <v>831</v>
      </c>
      <c r="U334" t="str" cm="1">
        <f t="array" ref="U334">Határozat(D334)</f>
        <v/>
      </c>
      <c r="AC334" t="str">
        <f>IFERROR(INDEX(diakadat!$U$2:$U$50,MATCH(D334,diakadat!$J$2:$J$50),1),"")</f>
        <v/>
      </c>
      <c r="AD334" t="str">
        <f>IFERROR(INDEX(diakadat!$V$2:$V$50,MATCH(D334,diakadat!$J$2:$J$50),1),"")</f>
        <v/>
      </c>
      <c r="AE334" t="str">
        <f>IFERROR(INDEX(diakadat!$W$2:$W$50,MATCH(D334,diakadat!$J$2:$J$50),1),"")</f>
        <v/>
      </c>
      <c r="AI334" t="str">
        <f>IFERROR(INDEX(diakadat!$X$2:$X$50,MATCH(D334,diakadat!$J$2:$J$50),1),"")</f>
        <v/>
      </c>
      <c r="AK334">
        <f t="shared" si="5"/>
        <v>329</v>
      </c>
      <c r="AL334" t="str" cm="1">
        <f t="array" ref="AL334">ElsoBetuNagy(R334)</f>
        <v/>
      </c>
      <c r="AO334" t="str" cm="1">
        <f t="array" ref="AO334">DatumSzovegge5(AN334)</f>
        <v>1899.</v>
      </c>
      <c r="AP334" t="str" cm="1">
        <f t="array" ref="AP334">DatumSzovegge3(AN334)</f>
        <v>december</v>
      </c>
      <c r="AQ334" t="str" cm="1">
        <f t="array" ref="AQ334">DatumSzovegge4(AN334)</f>
        <v>30.</v>
      </c>
    </row>
    <row r="335" spans="4:43" x14ac:dyDescent="0.25">
      <c r="D335" t="str" cm="1">
        <f t="array" ref="D335">SzuressNev($B$1,ROW()-1)</f>
        <v/>
      </c>
      <c r="E335">
        <f>COUNTIF($D$2:D335,D335)</f>
        <v>314</v>
      </c>
      <c r="F335" t="str" cm="1">
        <f t="array" ref="F335">ElutasitasEgyOk2(D335,E335)</f>
        <v/>
      </c>
      <c r="G335" t="str">
        <f>IFERROR(INDEX(diakadat!$I$2:$I$50,MATCH(D335,diakadat!$J$2:$J$50,0),1),"")</f>
        <v/>
      </c>
      <c r="H335" t="str">
        <f>IFERROR(INDEX(diakadat!$O$2:$O$50,MATCH(D335,diakadat!$J$2:$J$50,0),1),"")</f>
        <v/>
      </c>
      <c r="I335" t="str">
        <f>IFERROR(INDEX(diakadat!#REF!,MATCH(D335,diakadat!$J$2:$J$50,0),1),"")</f>
        <v/>
      </c>
      <c r="J335" t="str">
        <f>IFERROR(INDEX(diakadat!$K$2:$K$50,MATCH(D335,diakadat!$J$2:$J$50,0),1),"")</f>
        <v/>
      </c>
      <c r="K335" t="str" cm="1">
        <f t="array" ref="K335">IFERROR(DatumSzovegge2(INDEX(diakadat!$L$2:$L$50,MATCH(D335,diakadat!$J$2:$J$50,0),1)),"")</f>
        <v/>
      </c>
      <c r="L335" t="str" cm="1">
        <f t="array" ref="L335">IFERROR(DatumSzovegge5(INDEX(diakadat!$L$2:$L$50,MATCH(D335,diakadat!$J$2:$J$50,0),1)),"")</f>
        <v/>
      </c>
      <c r="M335" t="str" cm="1">
        <f t="array" ref="M335">IFERROR(DatumSzovegge3(INDEX(diakadat!$L$2:$L$50,MATCH(D335,diakadat!$J$2:$J$50,0),1)),"")</f>
        <v/>
      </c>
      <c r="N335" t="str" cm="1">
        <f t="array" ref="N335">IFERROR(DatumSzovegge4(INDEX(diakadat!$L$2:$L$50,MATCH(D335,diakadat!$J$2:$J$50,0),1)),"")</f>
        <v/>
      </c>
      <c r="O335" t="str">
        <f>IFERROR(INDEX(diakadat!$R$2:$R$50,MATCH(D335,diakadat!$J$2:$J$50,0),1),"")</f>
        <v/>
      </c>
      <c r="P335" t="str">
        <f>IFERROR(INDEX(diakadat!$AI$2:$AI$50,MATCH(D335,diakadat!$J$2:$J$50,0),1),"")</f>
        <v/>
      </c>
      <c r="Q335" t="str">
        <f>IFERROR(INDEX('rangsor'!$C$2:$C$343,MATCH(D335,'rangsor'!$A$2:$A$343,0),1),"")</f>
        <v/>
      </c>
      <c r="T335" t="s">
        <v>831</v>
      </c>
      <c r="U335" t="str" cm="1">
        <f t="array" ref="U335">Határozat(D335)</f>
        <v/>
      </c>
      <c r="AC335" t="str">
        <f>IFERROR(INDEX(diakadat!$U$2:$U$50,MATCH(D335,diakadat!$J$2:$J$50),1),"")</f>
        <v/>
      </c>
      <c r="AD335" t="str">
        <f>IFERROR(INDEX(diakadat!$V$2:$V$50,MATCH(D335,diakadat!$J$2:$J$50),1),"")</f>
        <v/>
      </c>
      <c r="AE335" t="str">
        <f>IFERROR(INDEX(diakadat!$W$2:$W$50,MATCH(D335,diakadat!$J$2:$J$50),1),"")</f>
        <v/>
      </c>
      <c r="AI335" t="str">
        <f>IFERROR(INDEX(diakadat!$X$2:$X$50,MATCH(D335,diakadat!$J$2:$J$50),1),"")</f>
        <v/>
      </c>
      <c r="AK335">
        <f t="shared" si="5"/>
        <v>329</v>
      </c>
      <c r="AL335" t="str" cm="1">
        <f t="array" ref="AL335">ElsoBetuNagy(R335)</f>
        <v/>
      </c>
      <c r="AO335" t="str" cm="1">
        <f t="array" ref="AO335">DatumSzovegge5(AN335)</f>
        <v>1899.</v>
      </c>
      <c r="AP335" t="str" cm="1">
        <f t="array" ref="AP335">DatumSzovegge3(AN335)</f>
        <v>december</v>
      </c>
      <c r="AQ335" t="str" cm="1">
        <f t="array" ref="AQ335">DatumSzovegge4(AN335)</f>
        <v>30.</v>
      </c>
    </row>
    <row r="336" spans="4:43" x14ac:dyDescent="0.25">
      <c r="D336" t="str" cm="1">
        <f t="array" ref="D336">SzuressNev($B$1,ROW()-1)</f>
        <v/>
      </c>
      <c r="E336">
        <f>COUNTIF($D$2:D336,D336)</f>
        <v>315</v>
      </c>
      <c r="F336" t="str" cm="1">
        <f t="array" ref="F336">ElutasitasEgyOk2(D336,E336)</f>
        <v/>
      </c>
      <c r="G336" t="str">
        <f>IFERROR(INDEX(diakadat!$I$2:$I$50,MATCH(D336,diakadat!$J$2:$J$50,0),1),"")</f>
        <v/>
      </c>
      <c r="H336" t="str">
        <f>IFERROR(INDEX(diakadat!$O$2:$O$50,MATCH(D336,diakadat!$J$2:$J$50,0),1),"")</f>
        <v/>
      </c>
      <c r="I336" t="str">
        <f>IFERROR(INDEX(diakadat!#REF!,MATCH(D336,diakadat!$J$2:$J$50,0),1),"")</f>
        <v/>
      </c>
      <c r="J336" t="str">
        <f>IFERROR(INDEX(diakadat!$K$2:$K$50,MATCH(D336,diakadat!$J$2:$J$50,0),1),"")</f>
        <v/>
      </c>
      <c r="K336" t="str" cm="1">
        <f t="array" ref="K336">IFERROR(DatumSzovegge2(INDEX(diakadat!$L$2:$L$50,MATCH(D336,diakadat!$J$2:$J$50,0),1)),"")</f>
        <v/>
      </c>
      <c r="L336" t="str" cm="1">
        <f t="array" ref="L336">IFERROR(DatumSzovegge5(INDEX(diakadat!$L$2:$L$50,MATCH(D336,diakadat!$J$2:$J$50,0),1)),"")</f>
        <v/>
      </c>
      <c r="M336" t="str" cm="1">
        <f t="array" ref="M336">IFERROR(DatumSzovegge3(INDEX(diakadat!$L$2:$L$50,MATCH(D336,diakadat!$J$2:$J$50,0),1)),"")</f>
        <v/>
      </c>
      <c r="N336" t="str" cm="1">
        <f t="array" ref="N336">IFERROR(DatumSzovegge4(INDEX(diakadat!$L$2:$L$50,MATCH(D336,diakadat!$J$2:$J$50,0),1)),"")</f>
        <v/>
      </c>
      <c r="O336" t="str">
        <f>IFERROR(INDEX(diakadat!$R$2:$R$50,MATCH(D336,diakadat!$J$2:$J$50,0),1),"")</f>
        <v/>
      </c>
      <c r="P336" t="str">
        <f>IFERROR(INDEX(diakadat!$AI$2:$AI$50,MATCH(D336,diakadat!$J$2:$J$50,0),1),"")</f>
        <v/>
      </c>
      <c r="Q336" t="str">
        <f>IFERROR(INDEX('rangsor'!$C$2:$C$343,MATCH(D336,'rangsor'!$A$2:$A$343,0),1),"")</f>
        <v/>
      </c>
      <c r="T336" t="s">
        <v>831</v>
      </c>
      <c r="U336" t="str" cm="1">
        <f t="array" ref="U336">Határozat(D336)</f>
        <v/>
      </c>
      <c r="AC336" t="str">
        <f>IFERROR(INDEX(diakadat!$U$2:$U$50,MATCH(D336,diakadat!$J$2:$J$50),1),"")</f>
        <v/>
      </c>
      <c r="AD336" t="str">
        <f>IFERROR(INDEX(diakadat!$V$2:$V$50,MATCH(D336,diakadat!$J$2:$J$50),1),"")</f>
        <v/>
      </c>
      <c r="AE336" t="str">
        <f>IFERROR(INDEX(diakadat!$W$2:$W$50,MATCH(D336,diakadat!$J$2:$J$50),1),"")</f>
        <v/>
      </c>
      <c r="AI336" t="str">
        <f>IFERROR(INDEX(diakadat!$X$2:$X$50,MATCH(D336,diakadat!$J$2:$J$50),1),"")</f>
        <v/>
      </c>
      <c r="AK336">
        <f t="shared" si="5"/>
        <v>329</v>
      </c>
      <c r="AL336" t="str" cm="1">
        <f t="array" ref="AL336">ElsoBetuNagy(R336)</f>
        <v/>
      </c>
      <c r="AO336" t="str" cm="1">
        <f t="array" ref="AO336">DatumSzovegge5(AN336)</f>
        <v>1899.</v>
      </c>
      <c r="AP336" t="str" cm="1">
        <f t="array" ref="AP336">DatumSzovegge3(AN336)</f>
        <v>december</v>
      </c>
      <c r="AQ336" t="str" cm="1">
        <f t="array" ref="AQ336">DatumSzovegge4(AN336)</f>
        <v>30.</v>
      </c>
    </row>
    <row r="337" spans="4:43" x14ac:dyDescent="0.25">
      <c r="D337" t="str" cm="1">
        <f t="array" ref="D337">SzuressNev($B$1,ROW()-1)</f>
        <v/>
      </c>
      <c r="E337">
        <f>COUNTIF($D$2:D337,D337)</f>
        <v>316</v>
      </c>
      <c r="F337" t="str" cm="1">
        <f t="array" ref="F337">ElutasitasEgyOk2(D337,E337)</f>
        <v/>
      </c>
      <c r="G337" t="str">
        <f>IFERROR(INDEX(diakadat!$I$2:$I$50,MATCH(D337,diakadat!$J$2:$J$50,0),1),"")</f>
        <v/>
      </c>
      <c r="H337" t="str">
        <f>IFERROR(INDEX(diakadat!$O$2:$O$50,MATCH(D337,diakadat!$J$2:$J$50,0),1),"")</f>
        <v/>
      </c>
      <c r="I337" t="str">
        <f>IFERROR(INDEX(diakadat!#REF!,MATCH(D337,diakadat!$J$2:$J$50,0),1),"")</f>
        <v/>
      </c>
      <c r="J337" t="str">
        <f>IFERROR(INDEX(diakadat!$K$2:$K$50,MATCH(D337,diakadat!$J$2:$J$50,0),1),"")</f>
        <v/>
      </c>
      <c r="K337" t="str" cm="1">
        <f t="array" ref="K337">IFERROR(DatumSzovegge2(INDEX(diakadat!$L$2:$L$50,MATCH(D337,diakadat!$J$2:$J$50,0),1)),"")</f>
        <v/>
      </c>
      <c r="L337" t="str" cm="1">
        <f t="array" ref="L337">IFERROR(DatumSzovegge5(INDEX(diakadat!$L$2:$L$50,MATCH(D337,diakadat!$J$2:$J$50,0),1)),"")</f>
        <v/>
      </c>
      <c r="M337" t="str" cm="1">
        <f t="array" ref="M337">IFERROR(DatumSzovegge3(INDEX(diakadat!$L$2:$L$50,MATCH(D337,diakadat!$J$2:$J$50,0),1)),"")</f>
        <v/>
      </c>
      <c r="N337" t="str" cm="1">
        <f t="array" ref="N337">IFERROR(DatumSzovegge4(INDEX(diakadat!$L$2:$L$50,MATCH(D337,diakadat!$J$2:$J$50,0),1)),"")</f>
        <v/>
      </c>
      <c r="O337" t="str">
        <f>IFERROR(INDEX(diakadat!$R$2:$R$50,MATCH(D337,diakadat!$J$2:$J$50,0),1),"")</f>
        <v/>
      </c>
      <c r="P337" t="str">
        <f>IFERROR(INDEX(diakadat!$AI$2:$AI$50,MATCH(D337,diakadat!$J$2:$J$50,0),1),"")</f>
        <v/>
      </c>
      <c r="Q337" t="str">
        <f>IFERROR(INDEX('rangsor'!$C$2:$C$343,MATCH(D337,'rangsor'!$A$2:$A$343,0),1),"")</f>
        <v/>
      </c>
      <c r="T337" t="s">
        <v>831</v>
      </c>
      <c r="U337" t="str" cm="1">
        <f t="array" ref="U337">Határozat(D337)</f>
        <v/>
      </c>
      <c r="AC337" t="str">
        <f>IFERROR(INDEX(diakadat!$U$2:$U$50,MATCH(D337,diakadat!$J$2:$J$50),1),"")</f>
        <v/>
      </c>
      <c r="AD337" t="str">
        <f>IFERROR(INDEX(diakadat!$V$2:$V$50,MATCH(D337,diakadat!$J$2:$J$50),1),"")</f>
        <v/>
      </c>
      <c r="AE337" t="str">
        <f>IFERROR(INDEX(diakadat!$W$2:$W$50,MATCH(D337,diakadat!$J$2:$J$50),1),"")</f>
        <v/>
      </c>
      <c r="AI337" t="str">
        <f>IFERROR(INDEX(diakadat!$X$2:$X$50,MATCH(D337,diakadat!$J$2:$J$50),1),"")</f>
        <v/>
      </c>
      <c r="AK337">
        <f t="shared" si="5"/>
        <v>329</v>
      </c>
      <c r="AL337" t="str" cm="1">
        <f t="array" ref="AL337">ElsoBetuNagy(R337)</f>
        <v/>
      </c>
      <c r="AO337" t="str" cm="1">
        <f t="array" ref="AO337">DatumSzovegge5(AN337)</f>
        <v>1899.</v>
      </c>
      <c r="AP337" t="str" cm="1">
        <f t="array" ref="AP337">DatumSzovegge3(AN337)</f>
        <v>december</v>
      </c>
      <c r="AQ337" t="str" cm="1">
        <f t="array" ref="AQ337">DatumSzovegge4(AN337)</f>
        <v>30.</v>
      </c>
    </row>
    <row r="338" spans="4:43" x14ac:dyDescent="0.25">
      <c r="D338" t="str" cm="1">
        <f t="array" ref="D338">SzuressNev($B$1,ROW()-1)</f>
        <v/>
      </c>
      <c r="E338">
        <f>COUNTIF($D$2:D338,D338)</f>
        <v>317</v>
      </c>
      <c r="F338" t="str" cm="1">
        <f t="array" ref="F338">ElutasitasEgyOk2(D338,E338)</f>
        <v/>
      </c>
      <c r="G338" t="str">
        <f>IFERROR(INDEX(diakadat!$I$2:$I$50,MATCH(D338,diakadat!$J$2:$J$50,0),1),"")</f>
        <v/>
      </c>
      <c r="H338" t="str">
        <f>IFERROR(INDEX(diakadat!$O$2:$O$50,MATCH(D338,diakadat!$J$2:$J$50,0),1),"")</f>
        <v/>
      </c>
      <c r="I338" t="str">
        <f>IFERROR(INDEX(diakadat!#REF!,MATCH(D338,diakadat!$J$2:$J$50,0),1),"")</f>
        <v/>
      </c>
      <c r="J338" t="str">
        <f>IFERROR(INDEX(diakadat!$K$2:$K$50,MATCH(D338,diakadat!$J$2:$J$50,0),1),"")</f>
        <v/>
      </c>
      <c r="K338" t="str" cm="1">
        <f t="array" ref="K338">IFERROR(DatumSzovegge2(INDEX(diakadat!$L$2:$L$50,MATCH(D338,diakadat!$J$2:$J$50,0),1)),"")</f>
        <v/>
      </c>
      <c r="L338" t="str" cm="1">
        <f t="array" ref="L338">IFERROR(DatumSzovegge5(INDEX(diakadat!$L$2:$L$50,MATCH(D338,diakadat!$J$2:$J$50,0),1)),"")</f>
        <v/>
      </c>
      <c r="M338" t="str" cm="1">
        <f t="array" ref="M338">IFERROR(DatumSzovegge3(INDEX(diakadat!$L$2:$L$50,MATCH(D338,diakadat!$J$2:$J$50,0),1)),"")</f>
        <v/>
      </c>
      <c r="N338" t="str" cm="1">
        <f t="array" ref="N338">IFERROR(DatumSzovegge4(INDEX(diakadat!$L$2:$L$50,MATCH(D338,diakadat!$J$2:$J$50,0),1)),"")</f>
        <v/>
      </c>
      <c r="O338" t="str">
        <f>IFERROR(INDEX(diakadat!$R$2:$R$50,MATCH(D338,diakadat!$J$2:$J$50,0),1),"")</f>
        <v/>
      </c>
      <c r="P338" t="str">
        <f>IFERROR(INDEX(diakadat!$AI$2:$AI$50,MATCH(D338,diakadat!$J$2:$J$50,0),1),"")</f>
        <v/>
      </c>
      <c r="Q338" t="str">
        <f>IFERROR(INDEX('rangsor'!$C$2:$C$343,MATCH(D338,'rangsor'!$A$2:$A$343,0),1),"")</f>
        <v/>
      </c>
      <c r="T338" t="s">
        <v>831</v>
      </c>
      <c r="U338" t="str" cm="1">
        <f t="array" ref="U338">Határozat(D338)</f>
        <v/>
      </c>
      <c r="AC338" t="str">
        <f>IFERROR(INDEX(diakadat!$U$2:$U$50,MATCH(D338,diakadat!$J$2:$J$50),1),"")</f>
        <v/>
      </c>
      <c r="AD338" t="str">
        <f>IFERROR(INDEX(diakadat!$V$2:$V$50,MATCH(D338,diakadat!$J$2:$J$50),1),"")</f>
        <v/>
      </c>
      <c r="AE338" t="str">
        <f>IFERROR(INDEX(diakadat!$W$2:$W$50,MATCH(D338,diakadat!$J$2:$J$50),1),"")</f>
        <v/>
      </c>
      <c r="AI338" t="str">
        <f>IFERROR(INDEX(diakadat!$X$2:$X$50,MATCH(D338,diakadat!$J$2:$J$50),1),"")</f>
        <v/>
      </c>
      <c r="AK338">
        <f t="shared" si="5"/>
        <v>329</v>
      </c>
      <c r="AL338" t="str" cm="1">
        <f t="array" ref="AL338">ElsoBetuNagy(R338)</f>
        <v/>
      </c>
      <c r="AO338" t="str" cm="1">
        <f t="array" ref="AO338">DatumSzovegge5(AN338)</f>
        <v>1899.</v>
      </c>
      <c r="AP338" t="str" cm="1">
        <f t="array" ref="AP338">DatumSzovegge3(AN338)</f>
        <v>december</v>
      </c>
      <c r="AQ338" t="str" cm="1">
        <f t="array" ref="AQ338">DatumSzovegge4(AN338)</f>
        <v>30.</v>
      </c>
    </row>
    <row r="339" spans="4:43" x14ac:dyDescent="0.25">
      <c r="D339" t="str" cm="1">
        <f t="array" ref="D339">SzuressNev($B$1,ROW()-1)</f>
        <v/>
      </c>
      <c r="E339">
        <f>COUNTIF($D$2:D339,D339)</f>
        <v>318</v>
      </c>
      <c r="F339" t="str" cm="1">
        <f t="array" ref="F339">ElutasitasEgyOk2(D339,E339)</f>
        <v/>
      </c>
      <c r="G339" t="str">
        <f>IFERROR(INDEX(diakadat!$I$2:$I$50,MATCH(D339,diakadat!$J$2:$J$50,0),1),"")</f>
        <v/>
      </c>
      <c r="H339" t="str">
        <f>IFERROR(INDEX(diakadat!$O$2:$O$50,MATCH(D339,diakadat!$J$2:$J$50,0),1),"")</f>
        <v/>
      </c>
      <c r="I339" t="str">
        <f>IFERROR(INDEX(diakadat!#REF!,MATCH(D339,diakadat!$J$2:$J$50,0),1),"")</f>
        <v/>
      </c>
      <c r="J339" t="str">
        <f>IFERROR(INDEX(diakadat!$K$2:$K$50,MATCH(D339,diakadat!$J$2:$J$50,0),1),"")</f>
        <v/>
      </c>
      <c r="K339" t="str" cm="1">
        <f t="array" ref="K339">IFERROR(DatumSzovegge2(INDEX(diakadat!$L$2:$L$50,MATCH(D339,diakadat!$J$2:$J$50,0),1)),"")</f>
        <v/>
      </c>
      <c r="L339" t="str" cm="1">
        <f t="array" ref="L339">IFERROR(DatumSzovegge5(INDEX(diakadat!$L$2:$L$50,MATCH(D339,diakadat!$J$2:$J$50,0),1)),"")</f>
        <v/>
      </c>
      <c r="M339" t="str" cm="1">
        <f t="array" ref="M339">IFERROR(DatumSzovegge3(INDEX(diakadat!$L$2:$L$50,MATCH(D339,diakadat!$J$2:$J$50,0),1)),"")</f>
        <v/>
      </c>
      <c r="N339" t="str" cm="1">
        <f t="array" ref="N339">IFERROR(DatumSzovegge4(INDEX(diakadat!$L$2:$L$50,MATCH(D339,diakadat!$J$2:$J$50,0),1)),"")</f>
        <v/>
      </c>
      <c r="O339" t="str">
        <f>IFERROR(INDEX(diakadat!$R$2:$R$50,MATCH(D339,diakadat!$J$2:$J$50,0),1),"")</f>
        <v/>
      </c>
      <c r="P339" t="str">
        <f>IFERROR(INDEX(diakadat!$AI$2:$AI$50,MATCH(D339,diakadat!$J$2:$J$50,0),1),"")</f>
        <v/>
      </c>
      <c r="Q339" t="str">
        <f>IFERROR(INDEX('rangsor'!$C$2:$C$343,MATCH(D339,'rangsor'!$A$2:$A$343,0),1),"")</f>
        <v/>
      </c>
      <c r="T339" t="s">
        <v>831</v>
      </c>
      <c r="U339" t="str" cm="1">
        <f t="array" ref="U339">Határozat(D339)</f>
        <v/>
      </c>
      <c r="AC339" t="str">
        <f>IFERROR(INDEX(diakadat!$U$2:$U$50,MATCH(D339,diakadat!$J$2:$J$50),1),"")</f>
        <v/>
      </c>
      <c r="AD339" t="str">
        <f>IFERROR(INDEX(diakadat!$V$2:$V$50,MATCH(D339,diakadat!$J$2:$J$50),1),"")</f>
        <v/>
      </c>
      <c r="AE339" t="str">
        <f>IFERROR(INDEX(diakadat!$W$2:$W$50,MATCH(D339,diakadat!$J$2:$J$50),1),"")</f>
        <v/>
      </c>
      <c r="AI339" t="str">
        <f>IFERROR(INDEX(diakadat!$X$2:$X$50,MATCH(D339,diakadat!$J$2:$J$50),1),"")</f>
        <v/>
      </c>
      <c r="AK339">
        <f t="shared" si="5"/>
        <v>329</v>
      </c>
      <c r="AL339" t="str" cm="1">
        <f t="array" ref="AL339">ElsoBetuNagy(R339)</f>
        <v/>
      </c>
      <c r="AO339" t="str" cm="1">
        <f t="array" ref="AO339">DatumSzovegge5(AN339)</f>
        <v>1899.</v>
      </c>
      <c r="AP339" t="str" cm="1">
        <f t="array" ref="AP339">DatumSzovegge3(AN339)</f>
        <v>december</v>
      </c>
      <c r="AQ339" t="str" cm="1">
        <f t="array" ref="AQ339">DatumSzovegge4(AN339)</f>
        <v>30.</v>
      </c>
    </row>
    <row r="340" spans="4:43" x14ac:dyDescent="0.25">
      <c r="D340" t="str" cm="1">
        <f t="array" ref="D340">SzuressNev($B$1,ROW()-1)</f>
        <v/>
      </c>
      <c r="E340">
        <f>COUNTIF($D$2:D593,D340)</f>
        <v>572</v>
      </c>
      <c r="F340" t="str" cm="1">
        <f t="array" ref="F340">ElutasitasEgyOk2(D340,E340)</f>
        <v/>
      </c>
      <c r="G340" t="str">
        <f>IFERROR(INDEX(diakadat!$I$2:$I$50,MATCH(D340,diakadat!$J$2:$J$50,0),1),"")</f>
        <v/>
      </c>
      <c r="H340" t="str">
        <f>IFERROR(INDEX(diakadat!$O$2:$O$50,MATCH(D340,diakadat!$J$2:$J$50,0),1),"")</f>
        <v/>
      </c>
      <c r="I340" t="str">
        <f>IFERROR(INDEX(diakadat!#REF!,MATCH(D340,diakadat!$J$2:$J$50,0),1),"")</f>
        <v/>
      </c>
      <c r="J340" t="str">
        <f>IFERROR(INDEX(diakadat!$K$2:$K$50,MATCH(D340,diakadat!$J$2:$J$50,0),1),"")</f>
        <v/>
      </c>
      <c r="K340" t="str" cm="1">
        <f t="array" ref="K340">IFERROR(DatumSzovegge2(INDEX(diakadat!$L$2:$L$50,MATCH(D340,diakadat!$J$2:$J$50,0),1)),"")</f>
        <v/>
      </c>
      <c r="L340" t="str" cm="1">
        <f t="array" ref="L340">IFERROR(DatumSzovegge5(INDEX(diakadat!$L$2:$L$50,MATCH(D340,diakadat!$J$2:$J$50,0),1)),"")</f>
        <v/>
      </c>
      <c r="M340" t="str" cm="1">
        <f t="array" ref="M340">IFERROR(DatumSzovegge3(INDEX(diakadat!$L$2:$L$50,MATCH(D340,diakadat!$J$2:$J$50,0),1)),"")</f>
        <v/>
      </c>
      <c r="N340" t="str" cm="1">
        <f t="array" ref="N340">IFERROR(DatumSzovegge4(INDEX(diakadat!$L$2:$L$50,MATCH(D340,diakadat!$J$2:$J$50,0),1)),"")</f>
        <v/>
      </c>
      <c r="O340" t="str">
        <f>IFERROR(INDEX(diakadat!$R$2:$R$50,MATCH(D340,diakadat!$J$2:$J$50,0),1),"")</f>
        <v/>
      </c>
      <c r="P340" t="str">
        <f>IFERROR(INDEX(diakadat!$AI$2:$AI$50,MATCH(D340,diakadat!$J$2:$J$50,0),1),"")</f>
        <v/>
      </c>
      <c r="Q340" t="str">
        <f>IFERROR(INDEX('rangsor'!$C$2:$C$343,MATCH(D340,'rangsor'!$A$2:$A$343,0),1),"")</f>
        <v/>
      </c>
      <c r="T340" t="s">
        <v>831</v>
      </c>
      <c r="U340" t="str" cm="1">
        <f t="array" ref="U340">Határozat(D340)</f>
        <v/>
      </c>
      <c r="AC340" t="str">
        <f>IFERROR(INDEX(diakadat!$U$2:$U$50,MATCH(D340,diakadat!$J$2:$J$50),1),"")</f>
        <v/>
      </c>
      <c r="AD340" t="str">
        <f>IFERROR(INDEX(diakadat!$V$2:$V$50,MATCH(D340,diakadat!$J$2:$J$50),1),"")</f>
        <v/>
      </c>
      <c r="AE340" t="str">
        <f>IFERROR(INDEX(diakadat!$W$2:$W$50,MATCH(D340,diakadat!$J$2:$J$50),1),"")</f>
        <v/>
      </c>
      <c r="AI340" t="str">
        <f>IFERROR(INDEX(diakadat!$X$2:$X$50,MATCH(D340,diakadat!$J$2:$J$50),1),"")</f>
        <v/>
      </c>
      <c r="AK340">
        <f t="shared" si="5"/>
        <v>329</v>
      </c>
      <c r="AL340" t="str" cm="1">
        <f t="array" ref="AL340">ElsoBetuNagy(R340)</f>
        <v/>
      </c>
      <c r="AO340" t="str" cm="1">
        <f t="array" ref="AO340">DatumSzovegge5(AN340)</f>
        <v>1899.</v>
      </c>
      <c r="AP340" t="str" cm="1">
        <f t="array" ref="AP340">DatumSzovegge3(AN340)</f>
        <v>december</v>
      </c>
      <c r="AQ340" t="str" cm="1">
        <f t="array" ref="AQ340">DatumSzovegge4(AN340)</f>
        <v>30.</v>
      </c>
    </row>
    <row r="341" spans="4:43" x14ac:dyDescent="0.25">
      <c r="D341" t="str" cm="1">
        <f t="array" ref="D341">SzuressNev($B$1,ROW()-1)</f>
        <v/>
      </c>
      <c r="E341">
        <f>COUNTIF($D$2:D341,D341)</f>
        <v>320</v>
      </c>
      <c r="F341" t="str" cm="1">
        <f t="array" ref="F341">ElutasitasEgyOk2(D341,E341)</f>
        <v/>
      </c>
      <c r="G341" t="str">
        <f>IFERROR(INDEX(diakadat!$I$2:$I$50,MATCH(D341,diakadat!$J$2:$J$50,0),1),"")</f>
        <v/>
      </c>
      <c r="H341" t="str">
        <f>IFERROR(INDEX(diakadat!$O$2:$O$50,MATCH(D341,diakadat!$J$2:$J$50,0),1),"")</f>
        <v/>
      </c>
      <c r="I341" t="str">
        <f>IFERROR(INDEX(diakadat!#REF!,MATCH(D341,diakadat!$J$2:$J$50,0),1),"")</f>
        <v/>
      </c>
      <c r="J341" t="str">
        <f>IFERROR(INDEX(diakadat!$K$2:$K$50,MATCH(D341,diakadat!$J$2:$J$50,0),1),"")</f>
        <v/>
      </c>
      <c r="K341" t="str" cm="1">
        <f t="array" ref="K341">IFERROR(DatumSzovegge2(INDEX(diakadat!$L$2:$L$50,MATCH(D341,diakadat!$J$2:$J$50,0),1)),"")</f>
        <v/>
      </c>
      <c r="L341" t="str" cm="1">
        <f t="array" ref="L341">IFERROR(DatumSzovegge5(INDEX(diakadat!$L$2:$L$50,MATCH(D341,diakadat!$J$2:$J$50,0),1)),"")</f>
        <v/>
      </c>
      <c r="M341" t="str" cm="1">
        <f t="array" ref="M341">IFERROR(DatumSzovegge3(INDEX(diakadat!$L$2:$L$50,MATCH(D341,diakadat!$J$2:$J$50,0),1)),"")</f>
        <v/>
      </c>
      <c r="N341" t="str" cm="1">
        <f t="array" ref="N341">IFERROR(DatumSzovegge4(INDEX(diakadat!$L$2:$L$50,MATCH(D341,diakadat!$J$2:$J$50,0),1)),"")</f>
        <v/>
      </c>
      <c r="O341" t="str">
        <f>IFERROR(INDEX(diakadat!$R$2:$R$50,MATCH(D341,diakadat!$J$2:$J$50,0),1),"")</f>
        <v/>
      </c>
      <c r="P341" t="str">
        <f>IFERROR(INDEX(diakadat!$AI$2:$AI$50,MATCH(D341,diakadat!$J$2:$J$50,0),1),"")</f>
        <v/>
      </c>
      <c r="Q341" t="str">
        <f>IFERROR(INDEX('rangsor'!$C$2:$C$343,MATCH(D341,'rangsor'!$A$2:$A$343,0),1),"")</f>
        <v/>
      </c>
      <c r="T341" t="s">
        <v>831</v>
      </c>
      <c r="U341" t="str" cm="1">
        <f t="array" ref="U341">Határozat(D341)</f>
        <v/>
      </c>
      <c r="AC341" t="str">
        <f>IFERROR(INDEX(diakadat!$U$2:$U$50,MATCH(D341,diakadat!$J$2:$J$50),1),"")</f>
        <v/>
      </c>
      <c r="AD341" t="str">
        <f>IFERROR(INDEX(diakadat!$V$2:$V$50,MATCH(D341,diakadat!$J$2:$J$50),1),"")</f>
        <v/>
      </c>
      <c r="AE341" t="str">
        <f>IFERROR(INDEX(diakadat!$W$2:$W$50,MATCH(D341,diakadat!$J$2:$J$50),1),"")</f>
        <v/>
      </c>
      <c r="AI341" t="str">
        <f>IFERROR(INDEX(diakadat!$X$2:$X$50,MATCH(D341,diakadat!$J$2:$J$50),1),"")</f>
        <v/>
      </c>
      <c r="AK341">
        <f t="shared" si="5"/>
        <v>329</v>
      </c>
      <c r="AL341" t="str" cm="1">
        <f t="array" ref="AL341">ElsoBetuNagy(R341)</f>
        <v/>
      </c>
      <c r="AO341" t="str" cm="1">
        <f t="array" ref="AO341">DatumSzovegge5(AN341)</f>
        <v>1899.</v>
      </c>
      <c r="AP341" t="str" cm="1">
        <f t="array" ref="AP341">DatumSzovegge3(AN341)</f>
        <v>december</v>
      </c>
      <c r="AQ341" t="str" cm="1">
        <f t="array" ref="AQ341">DatumSzovegge4(AN341)</f>
        <v>30.</v>
      </c>
    </row>
    <row r="342" spans="4:43" x14ac:dyDescent="0.25">
      <c r="D342" t="str" cm="1">
        <f t="array" ref="D342">SzuressNev($B$1,ROW()-1)</f>
        <v/>
      </c>
      <c r="E342">
        <f>COUNTIF($D$2:D342,D342)</f>
        <v>321</v>
      </c>
      <c r="F342" t="str" cm="1">
        <f t="array" ref="F342">ElutasitasEgyOk2(D342,E342)</f>
        <v/>
      </c>
      <c r="G342" t="str">
        <f>IFERROR(INDEX(diakadat!$I$2:$I$50,MATCH(D342,diakadat!$J$2:$J$50,0),1),"")</f>
        <v/>
      </c>
      <c r="H342" t="str">
        <f>IFERROR(INDEX(diakadat!$O$2:$O$50,MATCH(D342,diakadat!$J$2:$J$50,0),1),"")</f>
        <v/>
      </c>
      <c r="I342" t="str">
        <f>IFERROR(INDEX(diakadat!#REF!,MATCH(D342,diakadat!$J$2:$J$50,0),1),"")</f>
        <v/>
      </c>
      <c r="J342" t="str">
        <f>IFERROR(INDEX(diakadat!$K$2:$K$50,MATCH(D342,diakadat!$J$2:$J$50,0),1),"")</f>
        <v/>
      </c>
      <c r="K342" t="str" cm="1">
        <f t="array" ref="K342">IFERROR(DatumSzovegge2(INDEX(diakadat!$L$2:$L$50,MATCH(D342,diakadat!$J$2:$J$50,0),1)),"")</f>
        <v/>
      </c>
      <c r="L342" t="str" cm="1">
        <f t="array" ref="L342">IFERROR(DatumSzovegge5(INDEX(diakadat!$L$2:$L$50,MATCH(D342,diakadat!$J$2:$J$50,0),1)),"")</f>
        <v/>
      </c>
      <c r="M342" t="str" cm="1">
        <f t="array" ref="M342">IFERROR(DatumSzovegge3(INDEX(diakadat!$L$2:$L$50,MATCH(D342,diakadat!$J$2:$J$50,0),1)),"")</f>
        <v/>
      </c>
      <c r="N342" t="str" cm="1">
        <f t="array" ref="N342">IFERROR(DatumSzovegge4(INDEX(diakadat!$L$2:$L$50,MATCH(D342,diakadat!$J$2:$J$50,0),1)),"")</f>
        <v/>
      </c>
      <c r="O342" t="str">
        <f>IFERROR(INDEX(diakadat!$R$2:$R$50,MATCH(D342,diakadat!$J$2:$J$50,0),1),"")</f>
        <v/>
      </c>
      <c r="P342" t="str">
        <f>IFERROR(INDEX(diakadat!$AI$2:$AI$50,MATCH(D342,diakadat!$J$2:$J$50,0),1),"")</f>
        <v/>
      </c>
      <c r="Q342" t="str">
        <f>IFERROR(INDEX('rangsor'!$C$2:$C$343,MATCH(D342,'rangsor'!$A$2:$A$343,0),1),"")</f>
        <v/>
      </c>
      <c r="T342" t="s">
        <v>831</v>
      </c>
      <c r="U342" t="str" cm="1">
        <f t="array" ref="U342">Határozat(D342)</f>
        <v/>
      </c>
      <c r="AC342" t="str">
        <f>IFERROR(INDEX(diakadat!$U$2:$U$50,MATCH(D342,diakadat!$J$2:$J$50),1),"")</f>
        <v/>
      </c>
      <c r="AD342" t="str">
        <f>IFERROR(INDEX(diakadat!$V$2:$V$50,MATCH(D342,diakadat!$J$2:$J$50),1),"")</f>
        <v/>
      </c>
      <c r="AE342" t="str">
        <f>IFERROR(INDEX(diakadat!$W$2:$W$50,MATCH(D342,diakadat!$J$2:$J$50),1),"")</f>
        <v/>
      </c>
      <c r="AI342" t="str">
        <f>IFERROR(INDEX(diakadat!$X$2:$X$50,MATCH(D342,diakadat!$J$2:$J$50),1),"")</f>
        <v/>
      </c>
      <c r="AK342">
        <f t="shared" si="5"/>
        <v>329</v>
      </c>
      <c r="AL342" t="str" cm="1">
        <f t="array" ref="AL342">ElsoBetuNagy(R342)</f>
        <v/>
      </c>
      <c r="AO342" t="str" cm="1">
        <f t="array" ref="AO342">DatumSzovegge5(AN342)</f>
        <v>1899.</v>
      </c>
      <c r="AP342" t="str" cm="1">
        <f t="array" ref="AP342">DatumSzovegge3(AN342)</f>
        <v>december</v>
      </c>
      <c r="AQ342" t="str" cm="1">
        <f t="array" ref="AQ342">DatumSzovegge4(AN342)</f>
        <v>30.</v>
      </c>
    </row>
    <row r="343" spans="4:43" x14ac:dyDescent="0.25">
      <c r="D343" t="str" cm="1">
        <f t="array" ref="D343">SzuressNev($B$1,ROW()-1)</f>
        <v/>
      </c>
      <c r="E343">
        <f>COUNTIF($D$2:D343,D343)</f>
        <v>322</v>
      </c>
      <c r="F343" t="str" cm="1">
        <f t="array" ref="F343">ElutasitasEgyOk2(D343,E343)</f>
        <v/>
      </c>
      <c r="G343" t="str">
        <f>IFERROR(INDEX(diakadat!$I$2:$I$50,MATCH(D343,diakadat!$J$2:$J$50,0),1),"")</f>
        <v/>
      </c>
      <c r="H343" t="str">
        <f>IFERROR(INDEX(diakadat!$O$2:$O$50,MATCH(D343,diakadat!$J$2:$J$50,0),1),"")</f>
        <v/>
      </c>
      <c r="I343" t="str">
        <f>IFERROR(INDEX(diakadat!#REF!,MATCH(D343,diakadat!$J$2:$J$50,0),1),"")</f>
        <v/>
      </c>
      <c r="J343" t="str">
        <f>IFERROR(INDEX(diakadat!$K$2:$K$50,MATCH(D343,diakadat!$J$2:$J$50,0),1),"")</f>
        <v/>
      </c>
      <c r="K343" t="str" cm="1">
        <f t="array" ref="K343">IFERROR(DatumSzovegge2(INDEX(diakadat!$L$2:$L$50,MATCH(D343,diakadat!$J$2:$J$50,0),1)),"")</f>
        <v/>
      </c>
      <c r="L343" t="str" cm="1">
        <f t="array" ref="L343">IFERROR(DatumSzovegge5(INDEX(diakadat!$L$2:$L$50,MATCH(D343,diakadat!$J$2:$J$50,0),1)),"")</f>
        <v/>
      </c>
      <c r="M343" t="str" cm="1">
        <f t="array" ref="M343">IFERROR(DatumSzovegge3(INDEX(diakadat!$L$2:$L$50,MATCH(D343,diakadat!$J$2:$J$50,0),1)),"")</f>
        <v/>
      </c>
      <c r="N343" t="str" cm="1">
        <f t="array" ref="N343">IFERROR(DatumSzovegge4(INDEX(diakadat!$L$2:$L$50,MATCH(D343,diakadat!$J$2:$J$50,0),1)),"")</f>
        <v/>
      </c>
      <c r="O343" t="str">
        <f>IFERROR(INDEX(diakadat!$R$2:$R$50,MATCH(D343,diakadat!$J$2:$J$50,0),1),"")</f>
        <v/>
      </c>
      <c r="P343" t="str">
        <f>IFERROR(INDEX(diakadat!$AI$2:$AI$50,MATCH(D343,diakadat!$J$2:$J$50,0),1),"")</f>
        <v/>
      </c>
      <c r="Q343" t="str">
        <f>IFERROR(INDEX('rangsor'!$C$2:$C$343,MATCH(D343,'rangsor'!$A$2:$A$343,0),1),"")</f>
        <v/>
      </c>
      <c r="T343" t="s">
        <v>831</v>
      </c>
      <c r="U343" t="str" cm="1">
        <f t="array" ref="U343">Határozat(D343)</f>
        <v/>
      </c>
      <c r="AC343" t="str">
        <f>IFERROR(INDEX(diakadat!$U$2:$U$50,MATCH(D343,diakadat!$J$2:$J$50),1),"")</f>
        <v/>
      </c>
      <c r="AD343" t="str">
        <f>IFERROR(INDEX(diakadat!$V$2:$V$50,MATCH(D343,diakadat!$J$2:$J$50),1),"")</f>
        <v/>
      </c>
      <c r="AE343" t="str">
        <f>IFERROR(INDEX(diakadat!$W$2:$W$50,MATCH(D343,diakadat!$J$2:$J$50),1),"")</f>
        <v/>
      </c>
      <c r="AI343" t="str">
        <f>IFERROR(INDEX(diakadat!$X$2:$X$50,MATCH(D343,diakadat!$J$2:$J$50),1),"")</f>
        <v/>
      </c>
      <c r="AK343">
        <f t="shared" si="5"/>
        <v>329</v>
      </c>
      <c r="AL343" t="str" cm="1">
        <f t="array" ref="AL343">ElsoBetuNagy(R343)</f>
        <v/>
      </c>
      <c r="AO343" t="str" cm="1">
        <f t="array" ref="AO343">DatumSzovegge5(AN343)</f>
        <v>1899.</v>
      </c>
      <c r="AP343" t="str" cm="1">
        <f t="array" ref="AP343">DatumSzovegge3(AN343)</f>
        <v>december</v>
      </c>
      <c r="AQ343" t="str" cm="1">
        <f t="array" ref="AQ343">DatumSzovegge4(AN343)</f>
        <v>30.</v>
      </c>
    </row>
    <row r="344" spans="4:43" x14ac:dyDescent="0.25">
      <c r="D344" t="str" cm="1">
        <f t="array" ref="D344">SzuressNev($B$1,ROW()-1)</f>
        <v/>
      </c>
      <c r="E344">
        <f>COUNTIF($D$2:D344,D344)</f>
        <v>323</v>
      </c>
      <c r="F344" t="str" cm="1">
        <f t="array" ref="F344">ElutasitasEgyOk2(D344,E344)</f>
        <v/>
      </c>
      <c r="G344" t="str">
        <f>IFERROR(INDEX(diakadat!$I$2:$I$50,MATCH(D344,diakadat!$J$2:$J$50,0),1),"")</f>
        <v/>
      </c>
      <c r="H344" t="str">
        <f>IFERROR(INDEX(diakadat!$O$2:$O$50,MATCH(D344,diakadat!$J$2:$J$50,0),1),"")</f>
        <v/>
      </c>
      <c r="I344" t="str">
        <f>IFERROR(INDEX(diakadat!#REF!,MATCH(D344,diakadat!$J$2:$J$50,0),1),"")</f>
        <v/>
      </c>
      <c r="J344" t="str">
        <f>IFERROR(INDEX(diakadat!$K$2:$K$50,MATCH(D344,diakadat!$J$2:$J$50,0),1),"")</f>
        <v/>
      </c>
      <c r="K344" t="str" cm="1">
        <f t="array" ref="K344">IFERROR(DatumSzovegge2(INDEX(diakadat!$L$2:$L$50,MATCH(D344,diakadat!$J$2:$J$50,0),1)),"")</f>
        <v/>
      </c>
      <c r="L344" t="str" cm="1">
        <f t="array" ref="L344">IFERROR(DatumSzovegge5(INDEX(diakadat!$L$2:$L$50,MATCH(D344,diakadat!$J$2:$J$50,0),1)),"")</f>
        <v/>
      </c>
      <c r="M344" t="str" cm="1">
        <f t="array" ref="M344">IFERROR(DatumSzovegge3(INDEX(diakadat!$L$2:$L$50,MATCH(D344,diakadat!$J$2:$J$50,0),1)),"")</f>
        <v/>
      </c>
      <c r="N344" t="str" cm="1">
        <f t="array" ref="N344">IFERROR(DatumSzovegge4(INDEX(diakadat!$L$2:$L$50,MATCH(D344,diakadat!$J$2:$J$50,0),1)),"")</f>
        <v/>
      </c>
      <c r="O344" t="str">
        <f>IFERROR(INDEX(diakadat!$R$2:$R$50,MATCH(D344,diakadat!$J$2:$J$50,0),1),"")</f>
        <v/>
      </c>
      <c r="P344" t="str">
        <f>IFERROR(INDEX(diakadat!$AI$2:$AI$50,MATCH(D344,diakadat!$J$2:$J$50,0),1),"")</f>
        <v/>
      </c>
      <c r="Q344" t="str">
        <f>IFERROR(INDEX('rangsor'!$C$2:$C$343,MATCH(D344,'rangsor'!$A$2:$A$343,0),1),"")</f>
        <v/>
      </c>
      <c r="T344" t="s">
        <v>831</v>
      </c>
      <c r="U344" t="str" cm="1">
        <f t="array" ref="U344">Határozat(D344)</f>
        <v/>
      </c>
      <c r="AC344" t="str">
        <f>IFERROR(INDEX(diakadat!$U$2:$U$50,MATCH(D344,diakadat!$J$2:$J$50),1),"")</f>
        <v/>
      </c>
      <c r="AD344" t="str">
        <f>IFERROR(INDEX(diakadat!$V$2:$V$50,MATCH(D344,diakadat!$J$2:$J$50),1),"")</f>
        <v/>
      </c>
      <c r="AE344" t="str">
        <f>IFERROR(INDEX(diakadat!$W$2:$W$50,MATCH(D344,diakadat!$J$2:$J$50),1),"")</f>
        <v/>
      </c>
      <c r="AI344" t="str">
        <f>IFERROR(INDEX(diakadat!$X$2:$X$50,MATCH(D344,diakadat!$J$2:$J$50),1),"")</f>
        <v/>
      </c>
      <c r="AK344">
        <f t="shared" si="5"/>
        <v>329</v>
      </c>
      <c r="AL344" t="str" cm="1">
        <f t="array" ref="AL344">ElsoBetuNagy(R344)</f>
        <v/>
      </c>
      <c r="AO344" t="str" cm="1">
        <f t="array" ref="AO344">DatumSzovegge5(AN344)</f>
        <v>1899.</v>
      </c>
      <c r="AP344" t="str" cm="1">
        <f t="array" ref="AP344">DatumSzovegge3(AN344)</f>
        <v>december</v>
      </c>
      <c r="AQ344" t="str" cm="1">
        <f t="array" ref="AQ344">DatumSzovegge4(AN344)</f>
        <v>30.</v>
      </c>
    </row>
    <row r="345" spans="4:43" x14ac:dyDescent="0.25">
      <c r="D345" t="str" cm="1">
        <f t="array" ref="D345">SzuressNev($B$1,ROW()-1)</f>
        <v/>
      </c>
      <c r="E345">
        <f>COUNTIF($D$2:D345,D345)</f>
        <v>324</v>
      </c>
      <c r="F345" t="str" cm="1">
        <f t="array" ref="F345">ElutasitasEgyOk2(D345,E345)</f>
        <v/>
      </c>
      <c r="G345" t="str">
        <f>IFERROR(INDEX(diakadat!$I$2:$I$50,MATCH(D345,diakadat!$J$2:$J$50,0),1),"")</f>
        <v/>
      </c>
      <c r="H345" t="str">
        <f>IFERROR(INDEX(diakadat!$O$2:$O$50,MATCH(D345,diakadat!$J$2:$J$50,0),1),"")</f>
        <v/>
      </c>
      <c r="I345" t="str">
        <f>IFERROR(INDEX(diakadat!#REF!,MATCH(D345,diakadat!$J$2:$J$50,0),1),"")</f>
        <v/>
      </c>
      <c r="J345" t="str">
        <f>IFERROR(INDEX(diakadat!$K$2:$K$50,MATCH(D345,diakadat!$J$2:$J$50,0),1),"")</f>
        <v/>
      </c>
      <c r="K345" t="str" cm="1">
        <f t="array" ref="K345">IFERROR(DatumSzovegge2(INDEX(diakadat!$L$2:$L$50,MATCH(D345,diakadat!$J$2:$J$50,0),1)),"")</f>
        <v/>
      </c>
      <c r="L345" t="str" cm="1">
        <f t="array" ref="L345">IFERROR(DatumSzovegge5(INDEX(diakadat!$L$2:$L$50,MATCH(D345,diakadat!$J$2:$J$50,0),1)),"")</f>
        <v/>
      </c>
      <c r="M345" t="str" cm="1">
        <f t="array" ref="M345">IFERROR(DatumSzovegge3(INDEX(diakadat!$L$2:$L$50,MATCH(D345,diakadat!$J$2:$J$50,0),1)),"")</f>
        <v/>
      </c>
      <c r="N345" t="str" cm="1">
        <f t="array" ref="N345">IFERROR(DatumSzovegge4(INDEX(diakadat!$L$2:$L$50,MATCH(D345,diakadat!$J$2:$J$50,0),1)),"")</f>
        <v/>
      </c>
      <c r="O345" t="str">
        <f>IFERROR(INDEX(diakadat!$R$2:$R$50,MATCH(D345,diakadat!$J$2:$J$50,0),1),"")</f>
        <v/>
      </c>
      <c r="P345" t="str">
        <f>IFERROR(INDEX(diakadat!$AI$2:$AI$50,MATCH(D345,diakadat!$J$2:$J$50,0),1),"")</f>
        <v/>
      </c>
      <c r="Q345" t="str">
        <f>IFERROR(INDEX('rangsor'!$C$2:$C$343,MATCH(D345,'rangsor'!$A$2:$A$343,0),1),"")</f>
        <v/>
      </c>
      <c r="T345" t="s">
        <v>831</v>
      </c>
      <c r="U345" t="str" cm="1">
        <f t="array" ref="U345">Határozat(D345)</f>
        <v/>
      </c>
      <c r="AC345" t="str">
        <f>IFERROR(INDEX(diakadat!$U$2:$U$50,MATCH(D345,diakadat!$J$2:$J$50),1),"")</f>
        <v/>
      </c>
      <c r="AD345" t="str">
        <f>IFERROR(INDEX(diakadat!$V$2:$V$50,MATCH(D345,diakadat!$J$2:$J$50),1),"")</f>
        <v/>
      </c>
      <c r="AE345" t="str">
        <f>IFERROR(INDEX(diakadat!$W$2:$W$50,MATCH(D345,diakadat!$J$2:$J$50),1),"")</f>
        <v/>
      </c>
      <c r="AI345" t="str">
        <f>IFERROR(INDEX(diakadat!$X$2:$X$50,MATCH(D345,diakadat!$J$2:$J$50),1),"")</f>
        <v/>
      </c>
      <c r="AK345">
        <f t="shared" si="5"/>
        <v>329</v>
      </c>
      <c r="AL345" t="str" cm="1">
        <f t="array" ref="AL345">ElsoBetuNagy(R345)</f>
        <v/>
      </c>
      <c r="AO345" t="str" cm="1">
        <f t="array" ref="AO345">DatumSzovegge5(AN345)</f>
        <v>1899.</v>
      </c>
      <c r="AP345" t="str" cm="1">
        <f t="array" ref="AP345">DatumSzovegge3(AN345)</f>
        <v>december</v>
      </c>
      <c r="AQ345" t="str" cm="1">
        <f t="array" ref="AQ345">DatumSzovegge4(AN345)</f>
        <v>30.</v>
      </c>
    </row>
    <row r="346" spans="4:43" x14ac:dyDescent="0.25">
      <c r="D346" t="str" cm="1">
        <f t="array" ref="D346">SzuressNev($B$1,ROW()-1)</f>
        <v/>
      </c>
      <c r="E346">
        <f>COUNTIF($D$2:D593,D346)</f>
        <v>572</v>
      </c>
      <c r="F346" t="str" cm="1">
        <f t="array" ref="F346">ElutasitasEgyOk2(D346,E346)</f>
        <v/>
      </c>
      <c r="G346" t="str">
        <f>IFERROR(INDEX(diakadat!$I$2:$I$50,MATCH(D346,diakadat!$J$2:$J$50,0),1),"")</f>
        <v/>
      </c>
      <c r="H346" t="str">
        <f>IFERROR(INDEX(diakadat!$O$2:$O$50,MATCH(D346,diakadat!$J$2:$J$50,0),1),"")</f>
        <v/>
      </c>
      <c r="I346" t="str">
        <f>IFERROR(INDEX(diakadat!#REF!,MATCH(D346,diakadat!$J$2:$J$50,0),1),"")</f>
        <v/>
      </c>
      <c r="J346" t="str">
        <f>IFERROR(INDEX(diakadat!$K$2:$K$50,MATCH(D346,diakadat!$J$2:$J$50,0),1),"")</f>
        <v/>
      </c>
      <c r="K346" t="str" cm="1">
        <f t="array" ref="K346">IFERROR(DatumSzovegge2(INDEX(diakadat!$L$2:$L$50,MATCH(D346,diakadat!$J$2:$J$50,0),1)),"")</f>
        <v/>
      </c>
      <c r="L346" t="str" cm="1">
        <f t="array" ref="L346">IFERROR(DatumSzovegge5(INDEX(diakadat!$L$2:$L$50,MATCH(D346,diakadat!$J$2:$J$50,0),1)),"")</f>
        <v/>
      </c>
      <c r="M346" t="str" cm="1">
        <f t="array" ref="M346">IFERROR(DatumSzovegge3(INDEX(diakadat!$L$2:$L$50,MATCH(D346,diakadat!$J$2:$J$50,0),1)),"")</f>
        <v/>
      </c>
      <c r="N346" t="str" cm="1">
        <f t="array" ref="N346">IFERROR(DatumSzovegge4(INDEX(diakadat!$L$2:$L$50,MATCH(D346,diakadat!$J$2:$J$50,0),1)),"")</f>
        <v/>
      </c>
      <c r="O346" t="str">
        <f>IFERROR(INDEX(diakadat!$R$2:$R$50,MATCH(D346,diakadat!$J$2:$J$50,0),1),"")</f>
        <v/>
      </c>
      <c r="P346" t="str">
        <f>IFERROR(INDEX(diakadat!$AI$2:$AI$50,MATCH(D346,diakadat!$J$2:$J$50,0),1),"")</f>
        <v/>
      </c>
      <c r="Q346" t="str">
        <f>IFERROR(INDEX('rangsor'!$C$2:$C$343,MATCH(D346,'rangsor'!$A$2:$A$343,0),1),"")</f>
        <v/>
      </c>
      <c r="T346" t="s">
        <v>831</v>
      </c>
      <c r="U346" t="str" cm="1">
        <f t="array" ref="U346">Határozat(D346)</f>
        <v/>
      </c>
      <c r="AC346" t="str">
        <f>IFERROR(INDEX(diakadat!$U$2:$U$50,MATCH(D346,diakadat!$J$2:$J$50),1),"")</f>
        <v/>
      </c>
      <c r="AD346" t="str">
        <f>IFERROR(INDEX(diakadat!$V$2:$V$50,MATCH(D346,diakadat!$J$2:$J$50),1),"")</f>
        <v/>
      </c>
      <c r="AE346" t="str">
        <f>IFERROR(INDEX(diakadat!$W$2:$W$50,MATCH(D346,diakadat!$J$2:$J$50),1),"")</f>
        <v/>
      </c>
      <c r="AI346" t="str">
        <f>IFERROR(INDEX(diakadat!$X$2:$X$50,MATCH(D346,diakadat!$J$2:$J$50),1),"")</f>
        <v/>
      </c>
      <c r="AK346">
        <f t="shared" si="5"/>
        <v>329</v>
      </c>
      <c r="AL346" t="str" cm="1">
        <f t="array" ref="AL346">ElsoBetuNagy(R346)</f>
        <v/>
      </c>
      <c r="AO346" t="str" cm="1">
        <f t="array" ref="AO346">DatumSzovegge5(AN346)</f>
        <v>1899.</v>
      </c>
      <c r="AP346" t="str" cm="1">
        <f t="array" ref="AP346">DatumSzovegge3(AN346)</f>
        <v>december</v>
      </c>
      <c r="AQ346" t="str" cm="1">
        <f t="array" ref="AQ346">DatumSzovegge4(AN346)</f>
        <v>30.</v>
      </c>
    </row>
    <row r="347" spans="4:43" x14ac:dyDescent="0.25">
      <c r="D347" t="str" cm="1">
        <f t="array" ref="D347">SzuressNev($B$1,ROW()-1)</f>
        <v/>
      </c>
      <c r="E347">
        <f>COUNTIF($D$2:D347,D347)</f>
        <v>326</v>
      </c>
      <c r="F347" t="str" cm="1">
        <f t="array" ref="F347">ElutasitasEgyOk2(D347,E347)</f>
        <v/>
      </c>
      <c r="G347" t="str">
        <f>IFERROR(INDEX(diakadat!$I$2:$I$50,MATCH(D347,diakadat!$J$2:$J$50,0),1),"")</f>
        <v/>
      </c>
      <c r="H347" t="str">
        <f>IFERROR(INDEX(diakadat!$O$2:$O$50,MATCH(D347,diakadat!$J$2:$J$50,0),1),"")</f>
        <v/>
      </c>
      <c r="I347" t="str">
        <f>IFERROR(INDEX(diakadat!#REF!,MATCH(D347,diakadat!$J$2:$J$50,0),1),"")</f>
        <v/>
      </c>
      <c r="J347" t="str">
        <f>IFERROR(INDEX(diakadat!$K$2:$K$50,MATCH(D347,diakadat!$J$2:$J$50,0),1),"")</f>
        <v/>
      </c>
      <c r="K347" t="str" cm="1">
        <f t="array" ref="K347">IFERROR(DatumSzovegge2(INDEX(diakadat!$L$2:$L$50,MATCH(D347,diakadat!$J$2:$J$50,0),1)),"")</f>
        <v/>
      </c>
      <c r="L347" t="str" cm="1">
        <f t="array" ref="L347">IFERROR(DatumSzovegge5(INDEX(diakadat!$L$2:$L$50,MATCH(D347,diakadat!$J$2:$J$50,0),1)),"")</f>
        <v/>
      </c>
      <c r="M347" t="str" cm="1">
        <f t="array" ref="M347">IFERROR(DatumSzovegge3(INDEX(diakadat!$L$2:$L$50,MATCH(D347,diakadat!$J$2:$J$50,0),1)),"")</f>
        <v/>
      </c>
      <c r="N347" t="str" cm="1">
        <f t="array" ref="N347">IFERROR(DatumSzovegge4(INDEX(diakadat!$L$2:$L$50,MATCH(D347,diakadat!$J$2:$J$50,0),1)),"")</f>
        <v/>
      </c>
      <c r="O347" t="str">
        <f>IFERROR(INDEX(diakadat!$R$2:$R$50,MATCH(D347,diakadat!$J$2:$J$50,0),1),"")</f>
        <v/>
      </c>
      <c r="P347" t="str">
        <f>IFERROR(INDEX(diakadat!$AI$2:$AI$50,MATCH(D347,diakadat!$J$2:$J$50,0),1),"")</f>
        <v/>
      </c>
      <c r="Q347" t="str">
        <f>IFERROR(INDEX('rangsor'!$C$2:$C$343,MATCH(D347,'rangsor'!$A$2:$A$343,0),1),"")</f>
        <v/>
      </c>
      <c r="T347" t="s">
        <v>831</v>
      </c>
      <c r="U347" t="str" cm="1">
        <f t="array" ref="U347">Határozat(D347)</f>
        <v/>
      </c>
      <c r="AC347" t="str">
        <f>IFERROR(INDEX(diakadat!$U$2:$U$50,MATCH(D347,diakadat!$J$2:$J$50),1),"")</f>
        <v/>
      </c>
      <c r="AD347" t="str">
        <f>IFERROR(INDEX(diakadat!$V$2:$V$50,MATCH(D347,diakadat!$J$2:$J$50),1),"")</f>
        <v/>
      </c>
      <c r="AE347" t="str">
        <f>IFERROR(INDEX(diakadat!$W$2:$W$50,MATCH(D347,diakadat!$J$2:$J$50),1),"")</f>
        <v/>
      </c>
      <c r="AI347" t="str">
        <f>IFERROR(INDEX(diakadat!$X$2:$X$50,MATCH(D347,diakadat!$J$2:$J$50),1),"")</f>
        <v/>
      </c>
      <c r="AK347">
        <f t="shared" si="5"/>
        <v>329</v>
      </c>
      <c r="AL347" t="str" cm="1">
        <f t="array" ref="AL347">ElsoBetuNagy(R347)</f>
        <v/>
      </c>
      <c r="AO347" t="str" cm="1">
        <f t="array" ref="AO347">DatumSzovegge5(AN347)</f>
        <v>1899.</v>
      </c>
      <c r="AP347" t="str" cm="1">
        <f t="array" ref="AP347">DatumSzovegge3(AN347)</f>
        <v>december</v>
      </c>
      <c r="AQ347" t="str" cm="1">
        <f t="array" ref="AQ347">DatumSzovegge4(AN347)</f>
        <v>30.</v>
      </c>
    </row>
    <row r="348" spans="4:43" x14ac:dyDescent="0.25">
      <c r="D348" t="str" cm="1">
        <f t="array" ref="D348">SzuressNev($B$1,ROW()-1)</f>
        <v/>
      </c>
      <c r="E348">
        <f>COUNTIF($D$2:D348,D348)</f>
        <v>327</v>
      </c>
      <c r="F348" t="str" cm="1">
        <f t="array" ref="F348">ElutasitasEgyOk2(D348,E348)</f>
        <v/>
      </c>
      <c r="G348" t="str">
        <f>IFERROR(INDEX(diakadat!$I$2:$I$50,MATCH(D348,diakadat!$J$2:$J$50,0),1),"")</f>
        <v/>
      </c>
      <c r="H348" t="str">
        <f>IFERROR(INDEX(diakadat!$O$2:$O$50,MATCH(D348,diakadat!$J$2:$J$50,0),1),"")</f>
        <v/>
      </c>
      <c r="I348" t="str">
        <f>IFERROR(INDEX(diakadat!#REF!,MATCH(D348,diakadat!$J$2:$J$50,0),1),"")</f>
        <v/>
      </c>
      <c r="J348" t="str">
        <f>IFERROR(INDEX(diakadat!$K$2:$K$50,MATCH(D348,diakadat!$J$2:$J$50,0),1),"")</f>
        <v/>
      </c>
      <c r="K348" t="str" cm="1">
        <f t="array" ref="K348">IFERROR(DatumSzovegge2(INDEX(diakadat!$L$2:$L$50,MATCH(D348,diakadat!$J$2:$J$50,0),1)),"")</f>
        <v/>
      </c>
      <c r="L348" t="str" cm="1">
        <f t="array" ref="L348">IFERROR(DatumSzovegge5(INDEX(diakadat!$L$2:$L$50,MATCH(D348,diakadat!$J$2:$J$50,0),1)),"")</f>
        <v/>
      </c>
      <c r="M348" t="str" cm="1">
        <f t="array" ref="M348">IFERROR(DatumSzovegge3(INDEX(diakadat!$L$2:$L$50,MATCH(D348,diakadat!$J$2:$J$50,0),1)),"")</f>
        <v/>
      </c>
      <c r="N348" t="str" cm="1">
        <f t="array" ref="N348">IFERROR(DatumSzovegge4(INDEX(diakadat!$L$2:$L$50,MATCH(D348,diakadat!$J$2:$J$50,0),1)),"")</f>
        <v/>
      </c>
      <c r="O348" t="str">
        <f>IFERROR(INDEX(diakadat!$R$2:$R$50,MATCH(D348,diakadat!$J$2:$J$50,0),1),"")</f>
        <v/>
      </c>
      <c r="P348" t="str">
        <f>IFERROR(INDEX(diakadat!$AI$2:$AI$50,MATCH(D348,diakadat!$J$2:$J$50,0),1),"")</f>
        <v/>
      </c>
      <c r="Q348" t="str">
        <f>IFERROR(INDEX('rangsor'!$C$2:$C$343,MATCH(D348,'rangsor'!$A$2:$A$343,0),1),"")</f>
        <v/>
      </c>
      <c r="T348" t="s">
        <v>831</v>
      </c>
      <c r="U348" t="str" cm="1">
        <f t="array" ref="U348">Határozat(D348)</f>
        <v/>
      </c>
      <c r="AC348" t="str">
        <f>IFERROR(INDEX(diakadat!$U$2:$U$50,MATCH(D348,diakadat!$J$2:$J$50),1),"")</f>
        <v/>
      </c>
      <c r="AD348" t="str">
        <f>IFERROR(INDEX(diakadat!$V$2:$V$50,MATCH(D348,diakadat!$J$2:$J$50),1),"")</f>
        <v/>
      </c>
      <c r="AE348" t="str">
        <f>IFERROR(INDEX(diakadat!$W$2:$W$50,MATCH(D348,diakadat!$J$2:$J$50),1),"")</f>
        <v/>
      </c>
      <c r="AI348" t="str">
        <f>IFERROR(INDEX(diakadat!$X$2:$X$50,MATCH(D348,diakadat!$J$2:$J$50),1),"")</f>
        <v/>
      </c>
      <c r="AK348">
        <f t="shared" si="5"/>
        <v>329</v>
      </c>
      <c r="AL348" t="str" cm="1">
        <f t="array" ref="AL348">ElsoBetuNagy(R348)</f>
        <v/>
      </c>
      <c r="AO348" t="str" cm="1">
        <f t="array" ref="AO348">DatumSzovegge5(AN348)</f>
        <v>1899.</v>
      </c>
      <c r="AP348" t="str" cm="1">
        <f t="array" ref="AP348">DatumSzovegge3(AN348)</f>
        <v>december</v>
      </c>
      <c r="AQ348" t="str" cm="1">
        <f t="array" ref="AQ348">DatumSzovegge4(AN348)</f>
        <v>30.</v>
      </c>
    </row>
    <row r="349" spans="4:43" x14ac:dyDescent="0.25">
      <c r="D349" t="str" cm="1">
        <f t="array" ref="D349">SzuressNev($B$1,ROW()-1)</f>
        <v/>
      </c>
      <c r="E349">
        <f>COUNTIF($D$2:D349,D349)</f>
        <v>328</v>
      </c>
      <c r="F349" t="str" cm="1">
        <f t="array" ref="F349">ElutasitasEgyOk2(D349,E349)</f>
        <v/>
      </c>
      <c r="G349" t="str">
        <f>IFERROR(INDEX(diakadat!$I$2:$I$50,MATCH(D349,diakadat!$J$2:$J$50,0),1),"")</f>
        <v/>
      </c>
      <c r="H349" t="str">
        <f>IFERROR(INDEX(diakadat!$O$2:$O$50,MATCH(D349,diakadat!$J$2:$J$50,0),1),"")</f>
        <v/>
      </c>
      <c r="I349" t="str">
        <f>IFERROR(INDEX(diakadat!#REF!,MATCH(D349,diakadat!$J$2:$J$50,0),1),"")</f>
        <v/>
      </c>
      <c r="J349" t="str">
        <f>IFERROR(INDEX(diakadat!$K$2:$K$50,MATCH(D349,diakadat!$J$2:$J$50,0),1),"")</f>
        <v/>
      </c>
      <c r="K349" t="str" cm="1">
        <f t="array" ref="K349">IFERROR(DatumSzovegge2(INDEX(diakadat!$L$2:$L$50,MATCH(D349,diakadat!$J$2:$J$50,0),1)),"")</f>
        <v/>
      </c>
      <c r="L349" t="str" cm="1">
        <f t="array" ref="L349">IFERROR(DatumSzovegge5(INDEX(diakadat!$L$2:$L$50,MATCH(D349,diakadat!$J$2:$J$50,0),1)),"")</f>
        <v/>
      </c>
      <c r="M349" t="str" cm="1">
        <f t="array" ref="M349">IFERROR(DatumSzovegge3(INDEX(diakadat!$L$2:$L$50,MATCH(D349,diakadat!$J$2:$J$50,0),1)),"")</f>
        <v/>
      </c>
      <c r="N349" t="str" cm="1">
        <f t="array" ref="N349">IFERROR(DatumSzovegge4(INDEX(diakadat!$L$2:$L$50,MATCH(D349,diakadat!$J$2:$J$50,0),1)),"")</f>
        <v/>
      </c>
      <c r="O349" t="str">
        <f>IFERROR(INDEX(diakadat!$R$2:$R$50,MATCH(D349,diakadat!$J$2:$J$50,0),1),"")</f>
        <v/>
      </c>
      <c r="P349" t="str">
        <f>IFERROR(INDEX(diakadat!$AI$2:$AI$50,MATCH(D349,diakadat!$J$2:$J$50,0),1),"")</f>
        <v/>
      </c>
      <c r="Q349" t="str">
        <f>IFERROR(INDEX('rangsor'!$C$2:$C$343,MATCH(D349,'rangsor'!$A$2:$A$343,0),1),"")</f>
        <v/>
      </c>
      <c r="T349" t="s">
        <v>831</v>
      </c>
      <c r="U349" t="str" cm="1">
        <f t="array" ref="U349">Határozat(D349)</f>
        <v/>
      </c>
      <c r="AC349" t="str">
        <f>IFERROR(INDEX(diakadat!$U$2:$U$50,MATCH(D349,diakadat!$J$2:$J$50),1),"")</f>
        <v/>
      </c>
      <c r="AD349" t="str">
        <f>IFERROR(INDEX(diakadat!$V$2:$V$50,MATCH(D349,diakadat!$J$2:$J$50),1),"")</f>
        <v/>
      </c>
      <c r="AE349" t="str">
        <f>IFERROR(INDEX(diakadat!$W$2:$W$50,MATCH(D349,diakadat!$J$2:$J$50),1),"")</f>
        <v/>
      </c>
      <c r="AI349" t="str">
        <f>IFERROR(INDEX(diakadat!$X$2:$X$50,MATCH(D349,diakadat!$J$2:$J$50),1),"")</f>
        <v/>
      </c>
      <c r="AK349">
        <f t="shared" si="5"/>
        <v>329</v>
      </c>
      <c r="AL349" t="str" cm="1">
        <f t="array" ref="AL349">ElsoBetuNagy(R349)</f>
        <v/>
      </c>
      <c r="AO349" t="str" cm="1">
        <f t="array" ref="AO349">DatumSzovegge5(AN349)</f>
        <v>1899.</v>
      </c>
      <c r="AP349" t="str" cm="1">
        <f t="array" ref="AP349">DatumSzovegge3(AN349)</f>
        <v>december</v>
      </c>
      <c r="AQ349" t="str" cm="1">
        <f t="array" ref="AQ349">DatumSzovegge4(AN349)</f>
        <v>30.</v>
      </c>
    </row>
    <row r="350" spans="4:43" x14ac:dyDescent="0.25">
      <c r="D350" t="str" cm="1">
        <f t="array" ref="D350">SzuressNev($B$1,ROW()-1)</f>
        <v/>
      </c>
      <c r="E350">
        <f>COUNTIF($D$2:D350,D350)</f>
        <v>329</v>
      </c>
      <c r="F350" t="str" cm="1">
        <f t="array" ref="F350">ElutasitasEgyOk2(D350,E350)</f>
        <v/>
      </c>
      <c r="G350" t="str">
        <f>IFERROR(INDEX(diakadat!$I$2:$I$50,MATCH(D350,diakadat!$J$2:$J$50,0),1),"")</f>
        <v/>
      </c>
      <c r="H350" t="str">
        <f>IFERROR(INDEX(diakadat!$O$2:$O$50,MATCH(D350,diakadat!$J$2:$J$50,0),1),"")</f>
        <v/>
      </c>
      <c r="I350" t="str">
        <f>IFERROR(INDEX(diakadat!#REF!,MATCH(D350,diakadat!$J$2:$J$50,0),1),"")</f>
        <v/>
      </c>
      <c r="J350" t="str">
        <f>IFERROR(INDEX(diakadat!$K$2:$K$50,MATCH(D350,diakadat!$J$2:$J$50,0),1),"")</f>
        <v/>
      </c>
      <c r="K350" t="str" cm="1">
        <f t="array" ref="K350">IFERROR(DatumSzovegge2(INDEX(diakadat!$L$2:$L$50,MATCH(D350,diakadat!$J$2:$J$50,0),1)),"")</f>
        <v/>
      </c>
      <c r="L350" t="str" cm="1">
        <f t="array" ref="L350">IFERROR(DatumSzovegge5(INDEX(diakadat!$L$2:$L$50,MATCH(D350,diakadat!$J$2:$J$50,0),1)),"")</f>
        <v/>
      </c>
      <c r="M350" t="str" cm="1">
        <f t="array" ref="M350">IFERROR(DatumSzovegge3(INDEX(diakadat!$L$2:$L$50,MATCH(D350,diakadat!$J$2:$J$50,0),1)),"")</f>
        <v/>
      </c>
      <c r="N350" t="str" cm="1">
        <f t="array" ref="N350">IFERROR(DatumSzovegge4(INDEX(diakadat!$L$2:$L$50,MATCH(D350,diakadat!$J$2:$J$50,0),1)),"")</f>
        <v/>
      </c>
      <c r="O350" t="str">
        <f>IFERROR(INDEX(diakadat!$R$2:$R$50,MATCH(D350,diakadat!$J$2:$J$50,0),1),"")</f>
        <v/>
      </c>
      <c r="P350" t="str">
        <f>IFERROR(INDEX(diakadat!$AI$2:$AI$50,MATCH(D350,diakadat!$J$2:$J$50,0),1),"")</f>
        <v/>
      </c>
      <c r="Q350" t="str">
        <f>IFERROR(INDEX('rangsor'!$C$2:$C$343,MATCH(D350,'rangsor'!$A$2:$A$343,0),1),"")</f>
        <v/>
      </c>
      <c r="T350" t="s">
        <v>831</v>
      </c>
      <c r="U350" t="str" cm="1">
        <f t="array" ref="U350">Határozat(D350)</f>
        <v/>
      </c>
      <c r="AC350" t="str">
        <f>IFERROR(INDEX(diakadat!$U$2:$U$50,MATCH(D350,diakadat!$J$2:$J$50),1),"")</f>
        <v/>
      </c>
      <c r="AD350" t="str">
        <f>IFERROR(INDEX(diakadat!$V$2:$V$50,MATCH(D350,diakadat!$J$2:$J$50),1),"")</f>
        <v/>
      </c>
      <c r="AE350" t="str">
        <f>IFERROR(INDEX(diakadat!$W$2:$W$50,MATCH(D350,diakadat!$J$2:$J$50),1),"")</f>
        <v/>
      </c>
      <c r="AI350" t="str">
        <f>IFERROR(INDEX(diakadat!$X$2:$X$50,MATCH(D350,diakadat!$J$2:$J$50),1),"")</f>
        <v/>
      </c>
      <c r="AK350">
        <f t="shared" si="5"/>
        <v>329</v>
      </c>
      <c r="AL350" t="str" cm="1">
        <f t="array" ref="AL350">ElsoBetuNagy(R350)</f>
        <v/>
      </c>
      <c r="AO350" t="str" cm="1">
        <f t="array" ref="AO350">DatumSzovegge5(AN350)</f>
        <v>1899.</v>
      </c>
      <c r="AP350" t="str" cm="1">
        <f t="array" ref="AP350">DatumSzovegge3(AN350)</f>
        <v>december</v>
      </c>
      <c r="AQ350" t="str" cm="1">
        <f t="array" ref="AQ350">DatumSzovegge4(AN350)</f>
        <v>30.</v>
      </c>
    </row>
    <row r="351" spans="4:43" x14ac:dyDescent="0.25">
      <c r="D351" t="str" cm="1">
        <f t="array" ref="D351">SzuressNev($B$1,ROW()-1)</f>
        <v/>
      </c>
      <c r="E351">
        <f>COUNTIF($D$2:D351,D351)</f>
        <v>330</v>
      </c>
      <c r="F351" t="str" cm="1">
        <f t="array" ref="F351">ElutasitasEgyOk2(D351,E351)</f>
        <v/>
      </c>
      <c r="G351" t="str">
        <f>IFERROR(INDEX(diakadat!$I$2:$I$50,MATCH(D351,diakadat!$J$2:$J$50,0),1),"")</f>
        <v/>
      </c>
      <c r="H351" t="str">
        <f>IFERROR(INDEX(diakadat!$O$2:$O$50,MATCH(D351,diakadat!$J$2:$J$50,0),1),"")</f>
        <v/>
      </c>
      <c r="I351" t="str">
        <f>IFERROR(INDEX(diakadat!#REF!,MATCH(D351,diakadat!$J$2:$J$50,0),1),"")</f>
        <v/>
      </c>
      <c r="J351" t="str">
        <f>IFERROR(INDEX(diakadat!$K$2:$K$50,MATCH(D351,diakadat!$J$2:$J$50,0),1),"")</f>
        <v/>
      </c>
      <c r="K351" t="str" cm="1">
        <f t="array" ref="K351">IFERROR(DatumSzovegge2(INDEX(diakadat!$L$2:$L$50,MATCH(D351,diakadat!$J$2:$J$50,0),1)),"")</f>
        <v/>
      </c>
      <c r="L351" t="str" cm="1">
        <f t="array" ref="L351">IFERROR(DatumSzovegge5(INDEX(diakadat!$L$2:$L$50,MATCH(D351,diakadat!$J$2:$J$50,0),1)),"")</f>
        <v/>
      </c>
      <c r="M351" t="str" cm="1">
        <f t="array" ref="M351">IFERROR(DatumSzovegge3(INDEX(diakadat!$L$2:$L$50,MATCH(D351,diakadat!$J$2:$J$50,0),1)),"")</f>
        <v/>
      </c>
      <c r="N351" t="str" cm="1">
        <f t="array" ref="N351">IFERROR(DatumSzovegge4(INDEX(diakadat!$L$2:$L$50,MATCH(D351,diakadat!$J$2:$J$50,0),1)),"")</f>
        <v/>
      </c>
      <c r="O351" t="str">
        <f>IFERROR(INDEX(diakadat!$R$2:$R$50,MATCH(D351,diakadat!$J$2:$J$50,0),1),"")</f>
        <v/>
      </c>
      <c r="P351" t="str">
        <f>IFERROR(INDEX(diakadat!$AI$2:$AI$50,MATCH(D351,diakadat!$J$2:$J$50,0),1),"")</f>
        <v/>
      </c>
      <c r="Q351" t="str">
        <f>IFERROR(INDEX('rangsor'!$C$2:$C$343,MATCH(D351,'rangsor'!$A$2:$A$343,0),1),"")</f>
        <v/>
      </c>
      <c r="T351" t="s">
        <v>831</v>
      </c>
      <c r="U351" t="str" cm="1">
        <f t="array" ref="U351">Határozat(D351)</f>
        <v/>
      </c>
      <c r="AC351" t="str">
        <f>IFERROR(INDEX(diakadat!$U$2:$U$50,MATCH(D351,diakadat!$J$2:$J$50),1),"")</f>
        <v/>
      </c>
      <c r="AD351" t="str">
        <f>IFERROR(INDEX(diakadat!$V$2:$V$50,MATCH(D351,diakadat!$J$2:$J$50),1),"")</f>
        <v/>
      </c>
      <c r="AE351" t="str">
        <f>IFERROR(INDEX(diakadat!$W$2:$W$50,MATCH(D351,diakadat!$J$2:$J$50),1),"")</f>
        <v/>
      </c>
      <c r="AI351" t="str">
        <f>IFERROR(INDEX(diakadat!$X$2:$X$50,MATCH(D351,diakadat!$J$2:$J$50),1),"")</f>
        <v/>
      </c>
      <c r="AK351">
        <f t="shared" si="5"/>
        <v>329</v>
      </c>
      <c r="AL351" t="str" cm="1">
        <f t="array" ref="AL351">ElsoBetuNagy(R351)</f>
        <v/>
      </c>
      <c r="AO351" t="str" cm="1">
        <f t="array" ref="AO351">DatumSzovegge5(AN351)</f>
        <v>1899.</v>
      </c>
      <c r="AP351" t="str" cm="1">
        <f t="array" ref="AP351">DatumSzovegge3(AN351)</f>
        <v>december</v>
      </c>
      <c r="AQ351" t="str" cm="1">
        <f t="array" ref="AQ351">DatumSzovegge4(AN351)</f>
        <v>30.</v>
      </c>
    </row>
    <row r="352" spans="4:43" x14ac:dyDescent="0.25">
      <c r="D352" t="str" cm="1">
        <f t="array" ref="D352">SzuressNev($B$1,ROW()-1)</f>
        <v/>
      </c>
      <c r="E352">
        <f>COUNTIF($D$2:D352,D352)</f>
        <v>331</v>
      </c>
      <c r="F352" t="str" cm="1">
        <f t="array" ref="F352">ElutasitasEgyOk2(D352,E352)</f>
        <v/>
      </c>
      <c r="G352" t="str">
        <f>IFERROR(INDEX(diakadat!$I$2:$I$50,MATCH(D352,diakadat!$J$2:$J$50,0),1),"")</f>
        <v/>
      </c>
      <c r="H352" t="str">
        <f>IFERROR(INDEX(diakadat!$O$2:$O$50,MATCH(D352,diakadat!$J$2:$J$50,0),1),"")</f>
        <v/>
      </c>
      <c r="I352" t="str">
        <f>IFERROR(INDEX(diakadat!#REF!,MATCH(D352,diakadat!$J$2:$J$50,0),1),"")</f>
        <v/>
      </c>
      <c r="J352" t="str">
        <f>IFERROR(INDEX(diakadat!$K$2:$K$50,MATCH(D352,diakadat!$J$2:$J$50,0),1),"")</f>
        <v/>
      </c>
      <c r="K352" t="str" cm="1">
        <f t="array" ref="K352">IFERROR(DatumSzovegge2(INDEX(diakadat!$L$2:$L$50,MATCH(D352,diakadat!$J$2:$J$50,0),1)),"")</f>
        <v/>
      </c>
      <c r="L352" t="str" cm="1">
        <f t="array" ref="L352">IFERROR(DatumSzovegge5(INDEX(diakadat!$L$2:$L$50,MATCH(D352,diakadat!$J$2:$J$50,0),1)),"")</f>
        <v/>
      </c>
      <c r="M352" t="str" cm="1">
        <f t="array" ref="M352">IFERROR(DatumSzovegge3(INDEX(diakadat!$L$2:$L$50,MATCH(D352,diakadat!$J$2:$J$50,0),1)),"")</f>
        <v/>
      </c>
      <c r="N352" t="str" cm="1">
        <f t="array" ref="N352">IFERROR(DatumSzovegge4(INDEX(diakadat!$L$2:$L$50,MATCH(D352,diakadat!$J$2:$J$50,0),1)),"")</f>
        <v/>
      </c>
      <c r="O352" t="str">
        <f>IFERROR(INDEX(diakadat!$R$2:$R$50,MATCH(D352,diakadat!$J$2:$J$50,0),1),"")</f>
        <v/>
      </c>
      <c r="P352" t="str">
        <f>IFERROR(INDEX(diakadat!$AI$2:$AI$50,MATCH(D352,diakadat!$J$2:$J$50,0),1),"")</f>
        <v/>
      </c>
      <c r="Q352" t="str">
        <f>IFERROR(INDEX('rangsor'!$C$2:$C$343,MATCH(D352,'rangsor'!$A$2:$A$343,0),1),"")</f>
        <v/>
      </c>
      <c r="T352" t="s">
        <v>831</v>
      </c>
      <c r="U352" t="str" cm="1">
        <f t="array" ref="U352">Határozat(D352)</f>
        <v/>
      </c>
      <c r="AC352" t="str">
        <f>IFERROR(INDEX(diakadat!$U$2:$U$50,MATCH(D352,diakadat!$J$2:$J$50),1),"")</f>
        <v/>
      </c>
      <c r="AD352" t="str">
        <f>IFERROR(INDEX(diakadat!$V$2:$V$50,MATCH(D352,diakadat!$J$2:$J$50),1),"")</f>
        <v/>
      </c>
      <c r="AE352" t="str">
        <f>IFERROR(INDEX(diakadat!$W$2:$W$50,MATCH(D352,diakadat!$J$2:$J$50),1),"")</f>
        <v/>
      </c>
      <c r="AI352" t="str">
        <f>IFERROR(INDEX(diakadat!$X$2:$X$50,MATCH(D352,diakadat!$J$2:$J$50),1),"")</f>
        <v/>
      </c>
      <c r="AK352">
        <f t="shared" si="5"/>
        <v>329</v>
      </c>
      <c r="AL352" t="str" cm="1">
        <f t="array" ref="AL352">ElsoBetuNagy(R352)</f>
        <v/>
      </c>
      <c r="AO352" t="str" cm="1">
        <f t="array" ref="AO352">DatumSzovegge5(AN352)</f>
        <v>1899.</v>
      </c>
      <c r="AP352" t="str" cm="1">
        <f t="array" ref="AP352">DatumSzovegge3(AN352)</f>
        <v>december</v>
      </c>
      <c r="AQ352" t="str" cm="1">
        <f t="array" ref="AQ352">DatumSzovegge4(AN352)</f>
        <v>30.</v>
      </c>
    </row>
    <row r="353" spans="4:43" x14ac:dyDescent="0.25">
      <c r="D353" t="str" cm="1">
        <f t="array" ref="D353">SzuressNev($B$1,ROW()-1)</f>
        <v/>
      </c>
      <c r="E353">
        <f>COUNTIF($D$2:D353,D353)</f>
        <v>332</v>
      </c>
      <c r="F353" t="str" cm="1">
        <f t="array" ref="F353">ElutasitasEgyOk2(D353,E353)</f>
        <v/>
      </c>
      <c r="G353" t="str">
        <f>IFERROR(INDEX(diakadat!$I$2:$I$50,MATCH(D353,diakadat!$J$2:$J$50,0),1),"")</f>
        <v/>
      </c>
      <c r="H353" t="str">
        <f>IFERROR(INDEX(diakadat!$O$2:$O$50,MATCH(D353,diakadat!$J$2:$J$50,0),1),"")</f>
        <v/>
      </c>
      <c r="I353" t="str">
        <f>IFERROR(INDEX(diakadat!#REF!,MATCH(D353,diakadat!$J$2:$J$50,0),1),"")</f>
        <v/>
      </c>
      <c r="J353" t="str">
        <f>IFERROR(INDEX(diakadat!$K$2:$K$50,MATCH(D353,diakadat!$J$2:$J$50,0),1),"")</f>
        <v/>
      </c>
      <c r="K353" t="str" cm="1">
        <f t="array" ref="K353">IFERROR(DatumSzovegge2(INDEX(diakadat!$L$2:$L$50,MATCH(D353,diakadat!$J$2:$J$50,0),1)),"")</f>
        <v/>
      </c>
      <c r="L353" t="str" cm="1">
        <f t="array" ref="L353">IFERROR(DatumSzovegge5(INDEX(diakadat!$L$2:$L$50,MATCH(D353,diakadat!$J$2:$J$50,0),1)),"")</f>
        <v/>
      </c>
      <c r="M353" t="str" cm="1">
        <f t="array" ref="M353">IFERROR(DatumSzovegge3(INDEX(diakadat!$L$2:$L$50,MATCH(D353,diakadat!$J$2:$J$50,0),1)),"")</f>
        <v/>
      </c>
      <c r="N353" t="str" cm="1">
        <f t="array" ref="N353">IFERROR(DatumSzovegge4(INDEX(diakadat!$L$2:$L$50,MATCH(D353,diakadat!$J$2:$J$50,0),1)),"")</f>
        <v/>
      </c>
      <c r="O353" t="str">
        <f>IFERROR(INDEX(diakadat!$R$2:$R$50,MATCH(D353,diakadat!$J$2:$J$50,0),1),"")</f>
        <v/>
      </c>
      <c r="P353" t="str">
        <f>IFERROR(INDEX(diakadat!$AI$2:$AI$50,MATCH(D353,diakadat!$J$2:$J$50,0),1),"")</f>
        <v/>
      </c>
      <c r="Q353" t="str">
        <f>IFERROR(INDEX('rangsor'!$C$2:$C$343,MATCH(D353,'rangsor'!$A$2:$A$343,0),1),"")</f>
        <v/>
      </c>
      <c r="T353" t="s">
        <v>831</v>
      </c>
      <c r="U353" t="str" cm="1">
        <f t="array" ref="U353">Határozat(D353)</f>
        <v/>
      </c>
      <c r="AC353" t="str">
        <f>IFERROR(INDEX(diakadat!$U$2:$U$50,MATCH(D353,diakadat!$J$2:$J$50),1),"")</f>
        <v/>
      </c>
      <c r="AD353" t="str">
        <f>IFERROR(INDEX(diakadat!$V$2:$V$50,MATCH(D353,diakadat!$J$2:$J$50),1),"")</f>
        <v/>
      </c>
      <c r="AE353" t="str">
        <f>IFERROR(INDEX(diakadat!$W$2:$W$50,MATCH(D353,diakadat!$J$2:$J$50),1),"")</f>
        <v/>
      </c>
      <c r="AI353" t="str">
        <f>IFERROR(INDEX(diakadat!$X$2:$X$50,MATCH(D353,diakadat!$J$2:$J$50),1),"")</f>
        <v/>
      </c>
      <c r="AK353">
        <f t="shared" si="5"/>
        <v>329</v>
      </c>
      <c r="AL353" t="str" cm="1">
        <f t="array" ref="AL353">ElsoBetuNagy(R353)</f>
        <v/>
      </c>
      <c r="AO353" t="str" cm="1">
        <f t="array" ref="AO353">DatumSzovegge5(AN353)</f>
        <v>1899.</v>
      </c>
      <c r="AP353" t="str" cm="1">
        <f t="array" ref="AP353">DatumSzovegge3(AN353)</f>
        <v>december</v>
      </c>
      <c r="AQ353" t="str" cm="1">
        <f t="array" ref="AQ353">DatumSzovegge4(AN353)</f>
        <v>30.</v>
      </c>
    </row>
    <row r="354" spans="4:43" x14ac:dyDescent="0.25">
      <c r="D354" t="str" cm="1">
        <f t="array" ref="D354">SzuressNev($B$1,ROW()-1)</f>
        <v/>
      </c>
      <c r="E354">
        <f>COUNTIF($D$2:D354,D354)</f>
        <v>333</v>
      </c>
      <c r="F354" t="str" cm="1">
        <f t="array" ref="F354">ElutasitasEgyOk2(D354,E354)</f>
        <v/>
      </c>
      <c r="G354" t="str">
        <f>IFERROR(INDEX(diakadat!$I$2:$I$50,MATCH(D354,diakadat!$J$2:$J$50,0),1),"")</f>
        <v/>
      </c>
      <c r="H354" t="str">
        <f>IFERROR(INDEX(diakadat!$O$2:$O$50,MATCH(D354,diakadat!$J$2:$J$50,0),1),"")</f>
        <v/>
      </c>
      <c r="I354" t="str">
        <f>IFERROR(INDEX(diakadat!#REF!,MATCH(D354,diakadat!$J$2:$J$50,0),1),"")</f>
        <v/>
      </c>
      <c r="J354" t="str">
        <f>IFERROR(INDEX(diakadat!$K$2:$K$50,MATCH(D354,diakadat!$J$2:$J$50,0),1),"")</f>
        <v/>
      </c>
      <c r="K354" t="str" cm="1">
        <f t="array" ref="K354">IFERROR(DatumSzovegge2(INDEX(diakadat!$L$2:$L$50,MATCH(D354,diakadat!$J$2:$J$50,0),1)),"")</f>
        <v/>
      </c>
      <c r="L354" t="str" cm="1">
        <f t="array" ref="L354">IFERROR(DatumSzovegge5(INDEX(diakadat!$L$2:$L$50,MATCH(D354,diakadat!$J$2:$J$50,0),1)),"")</f>
        <v/>
      </c>
      <c r="M354" t="str" cm="1">
        <f t="array" ref="M354">IFERROR(DatumSzovegge3(INDEX(diakadat!$L$2:$L$50,MATCH(D354,diakadat!$J$2:$J$50,0),1)),"")</f>
        <v/>
      </c>
      <c r="N354" t="str" cm="1">
        <f t="array" ref="N354">IFERROR(DatumSzovegge4(INDEX(diakadat!$L$2:$L$50,MATCH(D354,diakadat!$J$2:$J$50,0),1)),"")</f>
        <v/>
      </c>
      <c r="O354" t="str">
        <f>IFERROR(INDEX(diakadat!$R$2:$R$50,MATCH(D354,diakadat!$J$2:$J$50,0),1),"")</f>
        <v/>
      </c>
      <c r="P354" t="str">
        <f>IFERROR(INDEX(diakadat!$AI$2:$AI$50,MATCH(D354,diakadat!$J$2:$J$50,0),1),"")</f>
        <v/>
      </c>
      <c r="Q354" t="str">
        <f>IFERROR(INDEX('rangsor'!$C$2:$C$343,MATCH(D354,'rangsor'!$A$2:$A$343,0),1),"")</f>
        <v/>
      </c>
      <c r="T354" t="s">
        <v>831</v>
      </c>
      <c r="U354" t="str" cm="1">
        <f t="array" ref="U354">Határozat(D354)</f>
        <v/>
      </c>
      <c r="AC354" t="str">
        <f>IFERROR(INDEX(diakadat!$U$2:$U$50,MATCH(D354,diakadat!$J$2:$J$50),1),"")</f>
        <v/>
      </c>
      <c r="AD354" t="str">
        <f>IFERROR(INDEX(diakadat!$V$2:$V$50,MATCH(D354,diakadat!$J$2:$J$50),1),"")</f>
        <v/>
      </c>
      <c r="AE354" t="str">
        <f>IFERROR(INDEX(diakadat!$W$2:$W$50,MATCH(D354,diakadat!$J$2:$J$50),1),"")</f>
        <v/>
      </c>
      <c r="AI354" t="str">
        <f>IFERROR(INDEX(diakadat!$X$2:$X$50,MATCH(D354,diakadat!$J$2:$J$50),1),"")</f>
        <v/>
      </c>
      <c r="AK354">
        <f t="shared" si="5"/>
        <v>329</v>
      </c>
      <c r="AL354" t="str" cm="1">
        <f t="array" ref="AL354">ElsoBetuNagy(R354)</f>
        <v/>
      </c>
      <c r="AO354" t="str" cm="1">
        <f t="array" ref="AO354">DatumSzovegge5(AN354)</f>
        <v>1899.</v>
      </c>
      <c r="AP354" t="str" cm="1">
        <f t="array" ref="AP354">DatumSzovegge3(AN354)</f>
        <v>december</v>
      </c>
      <c r="AQ354" t="str" cm="1">
        <f t="array" ref="AQ354">DatumSzovegge4(AN354)</f>
        <v>30.</v>
      </c>
    </row>
    <row r="355" spans="4:43" x14ac:dyDescent="0.25">
      <c r="D355" t="str" cm="1">
        <f t="array" ref="D355">SzuressNev($B$1,ROW()-1)</f>
        <v/>
      </c>
      <c r="E355">
        <f>COUNTIF($D$2:D355,D355)</f>
        <v>334</v>
      </c>
      <c r="F355" t="str" cm="1">
        <f t="array" ref="F355">ElutasitasEgyOk2(D355,E355)</f>
        <v/>
      </c>
      <c r="G355" t="str">
        <f>IFERROR(INDEX(diakadat!$I$2:$I$50,MATCH(D355,diakadat!$J$2:$J$50,0),1),"")</f>
        <v/>
      </c>
      <c r="H355" t="str">
        <f>IFERROR(INDEX(diakadat!$O$2:$O$50,MATCH(D355,diakadat!$J$2:$J$50,0),1),"")</f>
        <v/>
      </c>
      <c r="I355" t="str">
        <f>IFERROR(INDEX(diakadat!#REF!,MATCH(D355,diakadat!$J$2:$J$50,0),1),"")</f>
        <v/>
      </c>
      <c r="J355" t="str">
        <f>IFERROR(INDEX(diakadat!$K$2:$K$50,MATCH(D355,diakadat!$J$2:$J$50,0),1),"")</f>
        <v/>
      </c>
      <c r="K355" t="str" cm="1">
        <f t="array" ref="K355">IFERROR(DatumSzovegge2(INDEX(diakadat!$L$2:$L$50,MATCH(D355,diakadat!$J$2:$J$50,0),1)),"")</f>
        <v/>
      </c>
      <c r="L355" t="str" cm="1">
        <f t="array" ref="L355">IFERROR(DatumSzovegge5(INDEX(diakadat!$L$2:$L$50,MATCH(D355,diakadat!$J$2:$J$50,0),1)),"")</f>
        <v/>
      </c>
      <c r="M355" t="str" cm="1">
        <f t="array" ref="M355">IFERROR(DatumSzovegge3(INDEX(diakadat!$L$2:$L$50,MATCH(D355,diakadat!$J$2:$J$50,0),1)),"")</f>
        <v/>
      </c>
      <c r="N355" t="str" cm="1">
        <f t="array" ref="N355">IFERROR(DatumSzovegge4(INDEX(diakadat!$L$2:$L$50,MATCH(D355,diakadat!$J$2:$J$50,0),1)),"")</f>
        <v/>
      </c>
      <c r="O355" t="str">
        <f>IFERROR(INDEX(diakadat!$R$2:$R$50,MATCH(D355,diakadat!$J$2:$J$50,0),1),"")</f>
        <v/>
      </c>
      <c r="P355" t="str">
        <f>IFERROR(INDEX(diakadat!$AI$2:$AI$50,MATCH(D355,diakadat!$J$2:$J$50,0),1),"")</f>
        <v/>
      </c>
      <c r="Q355" t="str">
        <f>IFERROR(INDEX('rangsor'!$C$2:$C$343,MATCH(D355,'rangsor'!$A$2:$A$343,0),1),"")</f>
        <v/>
      </c>
      <c r="T355" t="s">
        <v>831</v>
      </c>
      <c r="U355" t="str" cm="1">
        <f t="array" ref="U355">Határozat(D355)</f>
        <v/>
      </c>
      <c r="AC355" t="str">
        <f>IFERROR(INDEX(diakadat!$U$2:$U$50,MATCH(D355,diakadat!$J$2:$J$50),1),"")</f>
        <v/>
      </c>
      <c r="AD355" t="str">
        <f>IFERROR(INDEX(diakadat!$V$2:$V$50,MATCH(D355,diakadat!$J$2:$J$50),1),"")</f>
        <v/>
      </c>
      <c r="AE355" t="str">
        <f>IFERROR(INDEX(diakadat!$W$2:$W$50,MATCH(D355,diakadat!$J$2:$J$50),1),"")</f>
        <v/>
      </c>
      <c r="AI355" t="str">
        <f>IFERROR(INDEX(diakadat!$X$2:$X$50,MATCH(D355,diakadat!$J$2:$J$50),1),"")</f>
        <v/>
      </c>
      <c r="AK355">
        <f t="shared" si="5"/>
        <v>329</v>
      </c>
      <c r="AL355" t="str" cm="1">
        <f t="array" ref="AL355">ElsoBetuNagy(R355)</f>
        <v/>
      </c>
      <c r="AO355" t="str" cm="1">
        <f t="array" ref="AO355">DatumSzovegge5(AN355)</f>
        <v>1899.</v>
      </c>
      <c r="AP355" t="str" cm="1">
        <f t="array" ref="AP355">DatumSzovegge3(AN355)</f>
        <v>december</v>
      </c>
      <c r="AQ355" t="str" cm="1">
        <f t="array" ref="AQ355">DatumSzovegge4(AN355)</f>
        <v>30.</v>
      </c>
    </row>
    <row r="356" spans="4:43" x14ac:dyDescent="0.25">
      <c r="D356" t="str" cm="1">
        <f t="array" ref="D356">SzuressNev($B$1,ROW()-1)</f>
        <v/>
      </c>
      <c r="E356">
        <f>COUNTIF($D$2:D356,D356)</f>
        <v>335</v>
      </c>
      <c r="F356" t="str" cm="1">
        <f t="array" ref="F356">ElutasitasEgyOk2(D356,E356)</f>
        <v/>
      </c>
      <c r="G356" t="str">
        <f>IFERROR(INDEX(diakadat!$I$2:$I$50,MATCH(D356,diakadat!$J$2:$J$50,0),1),"")</f>
        <v/>
      </c>
      <c r="H356" t="str">
        <f>IFERROR(INDEX(diakadat!$O$2:$O$50,MATCH(D356,diakadat!$J$2:$J$50,0),1),"")</f>
        <v/>
      </c>
      <c r="I356" t="str">
        <f>IFERROR(INDEX(diakadat!#REF!,MATCH(D356,diakadat!$J$2:$J$50,0),1),"")</f>
        <v/>
      </c>
      <c r="J356" t="str">
        <f>IFERROR(INDEX(diakadat!$K$2:$K$50,MATCH(D356,diakadat!$J$2:$J$50,0),1),"")</f>
        <v/>
      </c>
      <c r="K356" t="str" cm="1">
        <f t="array" ref="K356">IFERROR(DatumSzovegge2(INDEX(diakadat!$L$2:$L$50,MATCH(D356,diakadat!$J$2:$J$50,0),1)),"")</f>
        <v/>
      </c>
      <c r="L356" t="str" cm="1">
        <f t="array" ref="L356">IFERROR(DatumSzovegge5(INDEX(diakadat!$L$2:$L$50,MATCH(D356,diakadat!$J$2:$J$50,0),1)),"")</f>
        <v/>
      </c>
      <c r="M356" t="str" cm="1">
        <f t="array" ref="M356">IFERROR(DatumSzovegge3(INDEX(diakadat!$L$2:$L$50,MATCH(D356,diakadat!$J$2:$J$50,0),1)),"")</f>
        <v/>
      </c>
      <c r="N356" t="str" cm="1">
        <f t="array" ref="N356">IFERROR(DatumSzovegge4(INDEX(diakadat!$L$2:$L$50,MATCH(D356,diakadat!$J$2:$J$50,0),1)),"")</f>
        <v/>
      </c>
      <c r="O356" t="str">
        <f>IFERROR(INDEX(diakadat!$R$2:$R$50,MATCH(D356,diakadat!$J$2:$J$50,0),1),"")</f>
        <v/>
      </c>
      <c r="P356" t="str">
        <f>IFERROR(INDEX(diakadat!$AI$2:$AI$50,MATCH(D356,diakadat!$J$2:$J$50,0),1),"")</f>
        <v/>
      </c>
      <c r="Q356" t="str">
        <f>IFERROR(INDEX('rangsor'!$C$2:$C$343,MATCH(D356,'rangsor'!$A$2:$A$343,0),1),"")</f>
        <v/>
      </c>
      <c r="T356" t="s">
        <v>831</v>
      </c>
      <c r="U356" t="str" cm="1">
        <f t="array" ref="U356">Határozat(D356)</f>
        <v/>
      </c>
      <c r="AC356" t="str">
        <f>IFERROR(INDEX(diakadat!$U$2:$U$50,MATCH(D356,diakadat!$J$2:$J$50),1),"")</f>
        <v/>
      </c>
      <c r="AD356" t="str">
        <f>IFERROR(INDEX(diakadat!$V$2:$V$50,MATCH(D356,diakadat!$J$2:$J$50),1),"")</f>
        <v/>
      </c>
      <c r="AE356" t="str">
        <f>IFERROR(INDEX(diakadat!$W$2:$W$50,MATCH(D356,diakadat!$J$2:$J$50),1),"")</f>
        <v/>
      </c>
      <c r="AI356" t="str">
        <f>IFERROR(INDEX(diakadat!$X$2:$X$50,MATCH(D356,diakadat!$J$2:$J$50),1),"")</f>
        <v/>
      </c>
      <c r="AK356">
        <f t="shared" si="5"/>
        <v>329</v>
      </c>
      <c r="AL356" t="str" cm="1">
        <f t="array" ref="AL356">ElsoBetuNagy(R356)</f>
        <v/>
      </c>
      <c r="AO356" t="str" cm="1">
        <f t="array" ref="AO356">DatumSzovegge5(AN356)</f>
        <v>1899.</v>
      </c>
      <c r="AP356" t="str" cm="1">
        <f t="array" ref="AP356">DatumSzovegge3(AN356)</f>
        <v>december</v>
      </c>
      <c r="AQ356" t="str" cm="1">
        <f t="array" ref="AQ356">DatumSzovegge4(AN356)</f>
        <v>30.</v>
      </c>
    </row>
    <row r="357" spans="4:43" x14ac:dyDescent="0.25">
      <c r="D357" t="str" cm="1">
        <f t="array" ref="D357">SzuressNev($B$1,ROW()-1)</f>
        <v/>
      </c>
      <c r="E357">
        <f>COUNTIF($D$2:D357,D357)</f>
        <v>336</v>
      </c>
      <c r="F357" t="str" cm="1">
        <f t="array" ref="F357">ElutasitasEgyOk2(D357,E357)</f>
        <v/>
      </c>
      <c r="G357" t="str">
        <f>IFERROR(INDEX(diakadat!$I$2:$I$50,MATCH(D357,diakadat!$J$2:$J$50,0),1),"")</f>
        <v/>
      </c>
      <c r="H357" t="str">
        <f>IFERROR(INDEX(diakadat!$O$2:$O$50,MATCH(D357,diakadat!$J$2:$J$50,0),1),"")</f>
        <v/>
      </c>
      <c r="I357" t="str">
        <f>IFERROR(INDEX(diakadat!#REF!,MATCH(D357,diakadat!$J$2:$J$50,0),1),"")</f>
        <v/>
      </c>
      <c r="J357" t="str">
        <f>IFERROR(INDEX(diakadat!$K$2:$K$50,MATCH(D357,diakadat!$J$2:$J$50,0),1),"")</f>
        <v/>
      </c>
      <c r="K357" t="str" cm="1">
        <f t="array" ref="K357">IFERROR(DatumSzovegge2(INDEX(diakadat!$L$2:$L$50,MATCH(D357,diakadat!$J$2:$J$50,0),1)),"")</f>
        <v/>
      </c>
      <c r="L357" t="str" cm="1">
        <f t="array" ref="L357">IFERROR(DatumSzovegge5(INDEX(diakadat!$L$2:$L$50,MATCH(D357,diakadat!$J$2:$J$50,0),1)),"")</f>
        <v/>
      </c>
      <c r="M357" t="str" cm="1">
        <f t="array" ref="M357">IFERROR(DatumSzovegge3(INDEX(diakadat!$L$2:$L$50,MATCH(D357,diakadat!$J$2:$J$50,0),1)),"")</f>
        <v/>
      </c>
      <c r="N357" t="str" cm="1">
        <f t="array" ref="N357">IFERROR(DatumSzovegge4(INDEX(diakadat!$L$2:$L$50,MATCH(D357,diakadat!$J$2:$J$50,0),1)),"")</f>
        <v/>
      </c>
      <c r="O357" t="str">
        <f>IFERROR(INDEX(diakadat!$R$2:$R$50,MATCH(D357,diakadat!$J$2:$J$50,0),1),"")</f>
        <v/>
      </c>
      <c r="P357" t="str">
        <f>IFERROR(INDEX(diakadat!$AI$2:$AI$50,MATCH(D357,diakadat!$J$2:$J$50,0),1),"")</f>
        <v/>
      </c>
      <c r="Q357" t="str">
        <f>IFERROR(INDEX('rangsor'!$C$2:$C$343,MATCH(D357,'rangsor'!$A$2:$A$343,0),1),"")</f>
        <v/>
      </c>
      <c r="T357" t="s">
        <v>831</v>
      </c>
      <c r="U357" t="str" cm="1">
        <f t="array" ref="U357">Határozat(D357)</f>
        <v/>
      </c>
      <c r="AC357" t="str">
        <f>IFERROR(INDEX(diakadat!$U$2:$U$50,MATCH(D357,diakadat!$J$2:$J$50),1),"")</f>
        <v/>
      </c>
      <c r="AD357" t="str">
        <f>IFERROR(INDEX(diakadat!$V$2:$V$50,MATCH(D357,diakadat!$J$2:$J$50),1),"")</f>
        <v/>
      </c>
      <c r="AE357" t="str">
        <f>IFERROR(INDEX(diakadat!$W$2:$W$50,MATCH(D357,diakadat!$J$2:$J$50),1),"")</f>
        <v/>
      </c>
      <c r="AI357" t="str">
        <f>IFERROR(INDEX(diakadat!$X$2:$X$50,MATCH(D357,diakadat!$J$2:$J$50),1),"")</f>
        <v/>
      </c>
      <c r="AK357">
        <f t="shared" si="5"/>
        <v>329</v>
      </c>
      <c r="AL357" t="str" cm="1">
        <f t="array" ref="AL357">ElsoBetuNagy(R357)</f>
        <v/>
      </c>
      <c r="AO357" t="str" cm="1">
        <f t="array" ref="AO357">DatumSzovegge5(AN357)</f>
        <v>1899.</v>
      </c>
      <c r="AP357" t="str" cm="1">
        <f t="array" ref="AP357">DatumSzovegge3(AN357)</f>
        <v>december</v>
      </c>
      <c r="AQ357" t="str" cm="1">
        <f t="array" ref="AQ357">DatumSzovegge4(AN357)</f>
        <v>30.</v>
      </c>
    </row>
    <row r="358" spans="4:43" x14ac:dyDescent="0.25">
      <c r="D358" t="str" cm="1">
        <f t="array" ref="D358">SzuressNev($B$1,ROW()-1)</f>
        <v/>
      </c>
      <c r="E358">
        <f>COUNTIF($D$2:D358,D358)</f>
        <v>337</v>
      </c>
      <c r="F358" t="str" cm="1">
        <f t="array" ref="F358">ElutasitasEgyOk2(D358,E358)</f>
        <v/>
      </c>
      <c r="G358" t="str">
        <f>IFERROR(INDEX(diakadat!$I$2:$I$50,MATCH(D358,diakadat!$J$2:$J$50,0),1),"")</f>
        <v/>
      </c>
      <c r="H358" t="str">
        <f>IFERROR(INDEX(diakadat!$O$2:$O$50,MATCH(D358,diakadat!$J$2:$J$50,0),1),"")</f>
        <v/>
      </c>
      <c r="I358" t="str">
        <f>IFERROR(INDEX(diakadat!#REF!,MATCH(D358,diakadat!$J$2:$J$50,0),1),"")</f>
        <v/>
      </c>
      <c r="J358" t="str">
        <f>IFERROR(INDEX(diakadat!$K$2:$K$50,MATCH(D358,diakadat!$J$2:$J$50,0),1),"")</f>
        <v/>
      </c>
      <c r="K358" t="str" cm="1">
        <f t="array" ref="K358">IFERROR(DatumSzovegge2(INDEX(diakadat!$L$2:$L$50,MATCH(D358,diakadat!$J$2:$J$50,0),1)),"")</f>
        <v/>
      </c>
      <c r="L358" t="str" cm="1">
        <f t="array" ref="L358">IFERROR(DatumSzovegge5(INDEX(diakadat!$L$2:$L$50,MATCH(D358,diakadat!$J$2:$J$50,0),1)),"")</f>
        <v/>
      </c>
      <c r="M358" t="str" cm="1">
        <f t="array" ref="M358">IFERROR(DatumSzovegge3(INDEX(diakadat!$L$2:$L$50,MATCH(D358,diakadat!$J$2:$J$50,0),1)),"")</f>
        <v/>
      </c>
      <c r="N358" t="str" cm="1">
        <f t="array" ref="N358">IFERROR(DatumSzovegge4(INDEX(diakadat!$L$2:$L$50,MATCH(D358,diakadat!$J$2:$J$50,0),1)),"")</f>
        <v/>
      </c>
      <c r="O358" t="str">
        <f>IFERROR(INDEX(diakadat!$R$2:$R$50,MATCH(D358,diakadat!$J$2:$J$50,0),1),"")</f>
        <v/>
      </c>
      <c r="P358" t="str">
        <f>IFERROR(INDEX(diakadat!$AI$2:$AI$50,MATCH(D358,diakadat!$J$2:$J$50,0),1),"")</f>
        <v/>
      </c>
      <c r="Q358" t="str">
        <f>IFERROR(INDEX('rangsor'!$C$2:$C$343,MATCH(D358,'rangsor'!$A$2:$A$343,0),1),"")</f>
        <v/>
      </c>
      <c r="T358" t="s">
        <v>831</v>
      </c>
      <c r="U358" t="str" cm="1">
        <f t="array" ref="U358">Határozat(D358)</f>
        <v/>
      </c>
      <c r="AC358" t="str">
        <f>IFERROR(INDEX(diakadat!$U$2:$U$50,MATCH(D358,diakadat!$J$2:$J$50),1),"")</f>
        <v/>
      </c>
      <c r="AD358" t="str">
        <f>IFERROR(INDEX(diakadat!$V$2:$V$50,MATCH(D358,diakadat!$J$2:$J$50),1),"")</f>
        <v/>
      </c>
      <c r="AE358" t="str">
        <f>IFERROR(INDEX(diakadat!$W$2:$W$50,MATCH(D358,diakadat!$J$2:$J$50),1),"")</f>
        <v/>
      </c>
      <c r="AI358" t="str">
        <f>IFERROR(INDEX(diakadat!$X$2:$X$50,MATCH(D358,diakadat!$J$2:$J$50),1),"")</f>
        <v/>
      </c>
      <c r="AK358">
        <f t="shared" si="5"/>
        <v>329</v>
      </c>
      <c r="AL358" t="str" cm="1">
        <f t="array" ref="AL358">ElsoBetuNagy(R358)</f>
        <v/>
      </c>
      <c r="AO358" t="str" cm="1">
        <f t="array" ref="AO358">DatumSzovegge5(AN358)</f>
        <v>1899.</v>
      </c>
      <c r="AP358" t="str" cm="1">
        <f t="array" ref="AP358">DatumSzovegge3(AN358)</f>
        <v>december</v>
      </c>
      <c r="AQ358" t="str" cm="1">
        <f t="array" ref="AQ358">DatumSzovegge4(AN358)</f>
        <v>30.</v>
      </c>
    </row>
    <row r="359" spans="4:43" x14ac:dyDescent="0.25">
      <c r="D359" t="str" cm="1">
        <f t="array" ref="D359">SzuressNev($B$1,ROW()-1)</f>
        <v/>
      </c>
      <c r="E359">
        <f>COUNTIF($D$2:D359,D359)</f>
        <v>338</v>
      </c>
      <c r="F359" t="str" cm="1">
        <f t="array" ref="F359">ElutasitasEgyOk2(D359,E359)</f>
        <v/>
      </c>
      <c r="G359" t="str">
        <f>IFERROR(INDEX(diakadat!$I$2:$I$50,MATCH(D359,diakadat!$J$2:$J$50,0),1),"")</f>
        <v/>
      </c>
      <c r="H359" t="str">
        <f>IFERROR(INDEX(diakadat!$O$2:$O$50,MATCH(D359,diakadat!$J$2:$J$50,0),1),"")</f>
        <v/>
      </c>
      <c r="I359" t="str">
        <f>IFERROR(INDEX(diakadat!#REF!,MATCH(D359,diakadat!$J$2:$J$50,0),1),"")</f>
        <v/>
      </c>
      <c r="J359" t="str">
        <f>IFERROR(INDEX(diakadat!$K$2:$K$50,MATCH(D359,diakadat!$J$2:$J$50,0),1),"")</f>
        <v/>
      </c>
      <c r="K359" t="str" cm="1">
        <f t="array" ref="K359">IFERROR(DatumSzovegge2(INDEX(diakadat!$L$2:$L$50,MATCH(D359,diakadat!$J$2:$J$50,0),1)),"")</f>
        <v/>
      </c>
      <c r="L359" t="str" cm="1">
        <f t="array" ref="L359">IFERROR(DatumSzovegge5(INDEX(diakadat!$L$2:$L$50,MATCH(D359,diakadat!$J$2:$J$50,0),1)),"")</f>
        <v/>
      </c>
      <c r="M359" t="str" cm="1">
        <f t="array" ref="M359">IFERROR(DatumSzovegge3(INDEX(diakadat!$L$2:$L$50,MATCH(D359,diakadat!$J$2:$J$50,0),1)),"")</f>
        <v/>
      </c>
      <c r="N359" t="str" cm="1">
        <f t="array" ref="N359">IFERROR(DatumSzovegge4(INDEX(diakadat!$L$2:$L$50,MATCH(D359,diakadat!$J$2:$J$50,0),1)),"")</f>
        <v/>
      </c>
      <c r="O359" t="str">
        <f>IFERROR(INDEX(diakadat!$R$2:$R$50,MATCH(D359,diakadat!$J$2:$J$50,0),1),"")</f>
        <v/>
      </c>
      <c r="P359" t="str">
        <f>IFERROR(INDEX(diakadat!$AI$2:$AI$50,MATCH(D359,diakadat!$J$2:$J$50,0),1),"")</f>
        <v/>
      </c>
      <c r="Q359" t="str">
        <f>IFERROR(INDEX('rangsor'!$C$2:$C$343,MATCH(D359,'rangsor'!$A$2:$A$343,0),1),"")</f>
        <v/>
      </c>
      <c r="T359" t="s">
        <v>831</v>
      </c>
      <c r="U359" t="str" cm="1">
        <f t="array" ref="U359">Határozat(D359)</f>
        <v/>
      </c>
      <c r="AC359" t="str">
        <f>IFERROR(INDEX(diakadat!$U$2:$U$50,MATCH(D359,diakadat!$J$2:$J$50),1),"")</f>
        <v/>
      </c>
      <c r="AD359" t="str">
        <f>IFERROR(INDEX(diakadat!$V$2:$V$50,MATCH(D359,diakadat!$J$2:$J$50),1),"")</f>
        <v/>
      </c>
      <c r="AE359" t="str">
        <f>IFERROR(INDEX(diakadat!$W$2:$W$50,MATCH(D359,diakadat!$J$2:$J$50),1),"")</f>
        <v/>
      </c>
      <c r="AI359" t="str">
        <f>IFERROR(INDEX(diakadat!$X$2:$X$50,MATCH(D359,diakadat!$J$2:$J$50),1),"")</f>
        <v/>
      </c>
      <c r="AK359">
        <f t="shared" si="5"/>
        <v>329</v>
      </c>
      <c r="AL359" t="str" cm="1">
        <f t="array" ref="AL359">ElsoBetuNagy(R359)</f>
        <v/>
      </c>
      <c r="AO359" t="str" cm="1">
        <f t="array" ref="AO359">DatumSzovegge5(AN359)</f>
        <v>1899.</v>
      </c>
      <c r="AP359" t="str" cm="1">
        <f t="array" ref="AP359">DatumSzovegge3(AN359)</f>
        <v>december</v>
      </c>
      <c r="AQ359" t="str" cm="1">
        <f t="array" ref="AQ359">DatumSzovegge4(AN359)</f>
        <v>30.</v>
      </c>
    </row>
    <row r="360" spans="4:43" x14ac:dyDescent="0.25">
      <c r="D360" t="str" cm="1">
        <f t="array" ref="D360">SzuressNev($B$1,ROW()-1)</f>
        <v/>
      </c>
      <c r="E360">
        <f>COUNTIF($D$2:D593,D360)</f>
        <v>572</v>
      </c>
      <c r="F360" t="str" cm="1">
        <f t="array" ref="F360">ElutasitasEgyOk2(D360,E360)</f>
        <v/>
      </c>
      <c r="G360" t="str">
        <f>IFERROR(INDEX(diakadat!$I$2:$I$50,MATCH(D360,diakadat!$J$2:$J$50,0),1),"")</f>
        <v/>
      </c>
      <c r="H360" t="str">
        <f>IFERROR(INDEX(diakadat!$O$2:$O$50,MATCH(D360,diakadat!$J$2:$J$50,0),1),"")</f>
        <v/>
      </c>
      <c r="I360" t="str">
        <f>IFERROR(INDEX(diakadat!#REF!,MATCH(D360,diakadat!$J$2:$J$50,0),1),"")</f>
        <v/>
      </c>
      <c r="J360" t="str">
        <f>IFERROR(INDEX(diakadat!$K$2:$K$50,MATCH(D360,diakadat!$J$2:$J$50,0),1),"")</f>
        <v/>
      </c>
      <c r="K360" t="str" cm="1">
        <f t="array" ref="K360">IFERROR(DatumSzovegge2(INDEX(diakadat!$L$2:$L$50,MATCH(D360,diakadat!$J$2:$J$50,0),1)),"")</f>
        <v/>
      </c>
      <c r="L360" t="str" cm="1">
        <f t="array" ref="L360">IFERROR(DatumSzovegge5(INDEX(diakadat!$L$2:$L$50,MATCH(D360,diakadat!$J$2:$J$50,0),1)),"")</f>
        <v/>
      </c>
      <c r="M360" t="str" cm="1">
        <f t="array" ref="M360">IFERROR(DatumSzovegge3(INDEX(diakadat!$L$2:$L$50,MATCH(D360,diakadat!$J$2:$J$50,0),1)),"")</f>
        <v/>
      </c>
      <c r="N360" t="str" cm="1">
        <f t="array" ref="N360">IFERROR(DatumSzovegge4(INDEX(diakadat!$L$2:$L$50,MATCH(D360,diakadat!$J$2:$J$50,0),1)),"")</f>
        <v/>
      </c>
      <c r="O360" t="str">
        <f>IFERROR(INDEX(diakadat!$R$2:$R$50,MATCH(D360,diakadat!$J$2:$J$50,0),1),"")</f>
        <v/>
      </c>
      <c r="P360" t="str">
        <f>IFERROR(INDEX(diakadat!$AI$2:$AI$50,MATCH(D360,diakadat!$J$2:$J$50,0),1),"")</f>
        <v/>
      </c>
      <c r="Q360" t="str">
        <f>IFERROR(INDEX('rangsor'!$C$2:$C$343,MATCH(D360,'rangsor'!$A$2:$A$343,0),1),"")</f>
        <v/>
      </c>
      <c r="T360" t="s">
        <v>831</v>
      </c>
      <c r="U360" t="str" cm="1">
        <f t="array" ref="U360">Határozat(D360)</f>
        <v/>
      </c>
      <c r="AC360" t="str">
        <f>IFERROR(INDEX(diakadat!$U$2:$U$50,MATCH(D360,diakadat!$J$2:$J$50),1),"")</f>
        <v/>
      </c>
      <c r="AD360" t="str">
        <f>IFERROR(INDEX(diakadat!$V$2:$V$50,MATCH(D360,diakadat!$J$2:$J$50),1),"")</f>
        <v/>
      </c>
      <c r="AE360" t="str">
        <f>IFERROR(INDEX(diakadat!$W$2:$W$50,MATCH(D360,diakadat!$J$2:$J$50),1),"")</f>
        <v/>
      </c>
      <c r="AI360" t="str">
        <f>IFERROR(INDEX(diakadat!$X$2:$X$50,MATCH(D360,diakadat!$J$2:$J$50),1),"")</f>
        <v/>
      </c>
      <c r="AK360">
        <f t="shared" si="5"/>
        <v>329</v>
      </c>
      <c r="AL360" t="str" cm="1">
        <f t="array" ref="AL360">ElsoBetuNagy(R360)</f>
        <v/>
      </c>
      <c r="AO360" t="str" cm="1">
        <f t="array" ref="AO360">DatumSzovegge5(AN360)</f>
        <v>1899.</v>
      </c>
      <c r="AP360" t="str" cm="1">
        <f t="array" ref="AP360">DatumSzovegge3(AN360)</f>
        <v>december</v>
      </c>
      <c r="AQ360" t="str" cm="1">
        <f t="array" ref="AQ360">DatumSzovegge4(AN360)</f>
        <v>30.</v>
      </c>
    </row>
    <row r="361" spans="4:43" x14ac:dyDescent="0.25">
      <c r="D361" t="str" cm="1">
        <f t="array" ref="D361">SzuressNev($B$1,ROW()-1)</f>
        <v/>
      </c>
      <c r="E361">
        <f>COUNTIF($D$2:D361,D361)</f>
        <v>340</v>
      </c>
      <c r="F361" t="str" cm="1">
        <f t="array" ref="F361">ElutasitasEgyOk2(D361,E361)</f>
        <v/>
      </c>
      <c r="G361" t="str">
        <f>IFERROR(INDEX(diakadat!$I$2:$I$50,MATCH(D361,diakadat!$J$2:$J$50,0),1),"")</f>
        <v/>
      </c>
      <c r="H361" t="str">
        <f>IFERROR(INDEX(diakadat!$O$2:$O$50,MATCH(D361,diakadat!$J$2:$J$50,0),1),"")</f>
        <v/>
      </c>
      <c r="I361" t="str">
        <f>IFERROR(INDEX(diakadat!#REF!,MATCH(D361,diakadat!$J$2:$J$50,0),1),"")</f>
        <v/>
      </c>
      <c r="J361" t="str">
        <f>IFERROR(INDEX(diakadat!$K$2:$K$50,MATCH(D361,diakadat!$J$2:$J$50,0),1),"")</f>
        <v/>
      </c>
      <c r="K361" t="str" cm="1">
        <f t="array" ref="K361">IFERROR(DatumSzovegge2(INDEX(diakadat!$L$2:$L$50,MATCH(D361,diakadat!$J$2:$J$50,0),1)),"")</f>
        <v/>
      </c>
      <c r="L361" t="str" cm="1">
        <f t="array" ref="L361">IFERROR(DatumSzovegge5(INDEX(diakadat!$L$2:$L$50,MATCH(D361,diakadat!$J$2:$J$50,0),1)),"")</f>
        <v/>
      </c>
      <c r="M361" t="str" cm="1">
        <f t="array" ref="M361">IFERROR(DatumSzovegge3(INDEX(diakadat!$L$2:$L$50,MATCH(D361,diakadat!$J$2:$J$50,0),1)),"")</f>
        <v/>
      </c>
      <c r="N361" t="str" cm="1">
        <f t="array" ref="N361">IFERROR(DatumSzovegge4(INDEX(diakadat!$L$2:$L$50,MATCH(D361,diakadat!$J$2:$J$50,0),1)),"")</f>
        <v/>
      </c>
      <c r="O361" t="str">
        <f>IFERROR(INDEX(diakadat!$R$2:$R$50,MATCH(D361,diakadat!$J$2:$J$50,0),1),"")</f>
        <v/>
      </c>
      <c r="P361" t="str">
        <f>IFERROR(INDEX(diakadat!$AI$2:$AI$50,MATCH(D361,diakadat!$J$2:$J$50,0),1),"")</f>
        <v/>
      </c>
      <c r="Q361" t="str">
        <f>IFERROR(INDEX('rangsor'!$C$2:$C$343,MATCH(D361,'rangsor'!$A$2:$A$343,0),1),"")</f>
        <v/>
      </c>
      <c r="T361" t="s">
        <v>831</v>
      </c>
      <c r="U361" t="str" cm="1">
        <f t="array" ref="U361">Határozat(D361)</f>
        <v/>
      </c>
      <c r="AC361" t="str">
        <f>IFERROR(INDEX(diakadat!$U$2:$U$50,MATCH(D361,diakadat!$J$2:$J$50),1),"")</f>
        <v/>
      </c>
      <c r="AD361" t="str">
        <f>IFERROR(INDEX(diakadat!$V$2:$V$50,MATCH(D361,diakadat!$J$2:$J$50),1),"")</f>
        <v/>
      </c>
      <c r="AE361" t="str">
        <f>IFERROR(INDEX(diakadat!$W$2:$W$50,MATCH(D361,diakadat!$J$2:$J$50),1),"")</f>
        <v/>
      </c>
      <c r="AI361" t="str">
        <f>IFERROR(INDEX(diakadat!$X$2:$X$50,MATCH(D361,diakadat!$J$2:$J$50),1),"")</f>
        <v/>
      </c>
      <c r="AK361">
        <f t="shared" si="5"/>
        <v>329</v>
      </c>
      <c r="AL361" t="str" cm="1">
        <f t="array" ref="AL361">ElsoBetuNagy(R361)</f>
        <v/>
      </c>
      <c r="AO361" t="str" cm="1">
        <f t="array" ref="AO361">DatumSzovegge5(AN361)</f>
        <v>1899.</v>
      </c>
      <c r="AP361" t="str" cm="1">
        <f t="array" ref="AP361">DatumSzovegge3(AN361)</f>
        <v>december</v>
      </c>
      <c r="AQ361" t="str" cm="1">
        <f t="array" ref="AQ361">DatumSzovegge4(AN361)</f>
        <v>30.</v>
      </c>
    </row>
    <row r="362" spans="4:43" x14ac:dyDescent="0.25">
      <c r="D362" t="str" cm="1">
        <f t="array" ref="D362">SzuressNev($B$1,ROW()-1)</f>
        <v/>
      </c>
      <c r="E362">
        <f>COUNTIF($D$2:D362,D362)</f>
        <v>341</v>
      </c>
      <c r="F362" t="str" cm="1">
        <f t="array" ref="F362">ElutasitasEgyOk2(D362,E362)</f>
        <v/>
      </c>
      <c r="G362" t="str">
        <f>IFERROR(INDEX(diakadat!$I$2:$I$50,MATCH(D362,diakadat!$J$2:$J$50,0),1),"")</f>
        <v/>
      </c>
      <c r="H362" t="str">
        <f>IFERROR(INDEX(diakadat!$O$2:$O$50,MATCH(D362,diakadat!$J$2:$J$50,0),1),"")</f>
        <v/>
      </c>
      <c r="I362" t="str">
        <f>IFERROR(INDEX(diakadat!#REF!,MATCH(D362,diakadat!$J$2:$J$50,0),1),"")</f>
        <v/>
      </c>
      <c r="J362" t="str">
        <f>IFERROR(INDEX(diakadat!$K$2:$K$50,MATCH(D362,diakadat!$J$2:$J$50,0),1),"")</f>
        <v/>
      </c>
      <c r="K362" t="str" cm="1">
        <f t="array" ref="K362">IFERROR(DatumSzovegge2(INDEX(diakadat!$L$2:$L$50,MATCH(D362,diakadat!$J$2:$J$50,0),1)),"")</f>
        <v/>
      </c>
      <c r="L362" t="str" cm="1">
        <f t="array" ref="L362">IFERROR(DatumSzovegge5(INDEX(diakadat!$L$2:$L$50,MATCH(D362,diakadat!$J$2:$J$50,0),1)),"")</f>
        <v/>
      </c>
      <c r="M362" t="str" cm="1">
        <f t="array" ref="M362">IFERROR(DatumSzovegge3(INDEX(diakadat!$L$2:$L$50,MATCH(D362,diakadat!$J$2:$J$50,0),1)),"")</f>
        <v/>
      </c>
      <c r="N362" t="str" cm="1">
        <f t="array" ref="N362">IFERROR(DatumSzovegge4(INDEX(diakadat!$L$2:$L$50,MATCH(D362,diakadat!$J$2:$J$50,0),1)),"")</f>
        <v/>
      </c>
      <c r="O362" t="str">
        <f>IFERROR(INDEX(diakadat!$R$2:$R$50,MATCH(D362,diakadat!$J$2:$J$50,0),1),"")</f>
        <v/>
      </c>
      <c r="P362" t="str">
        <f>IFERROR(INDEX(diakadat!$AI$2:$AI$50,MATCH(D362,diakadat!$J$2:$J$50,0),1),"")</f>
        <v/>
      </c>
      <c r="Q362" t="str">
        <f>IFERROR(INDEX('rangsor'!$C$2:$C$343,MATCH(D362,'rangsor'!$A$2:$A$343,0),1),"")</f>
        <v/>
      </c>
      <c r="T362" t="s">
        <v>831</v>
      </c>
      <c r="U362" t="str" cm="1">
        <f t="array" ref="U362">Határozat(D362)</f>
        <v/>
      </c>
      <c r="AC362" t="str">
        <f>IFERROR(INDEX(diakadat!$U$2:$U$50,MATCH(D362,diakadat!$J$2:$J$50),1),"")</f>
        <v/>
      </c>
      <c r="AD362" t="str">
        <f>IFERROR(INDEX(diakadat!$V$2:$V$50,MATCH(D362,diakadat!$J$2:$J$50),1),"")</f>
        <v/>
      </c>
      <c r="AE362" t="str">
        <f>IFERROR(INDEX(diakadat!$W$2:$W$50,MATCH(D362,diakadat!$J$2:$J$50),1),"")</f>
        <v/>
      </c>
      <c r="AI362" t="str">
        <f>IFERROR(INDEX(diakadat!$X$2:$X$50,MATCH(D362,diakadat!$J$2:$J$50),1),"")</f>
        <v/>
      </c>
      <c r="AK362">
        <f t="shared" si="5"/>
        <v>329</v>
      </c>
      <c r="AL362" t="str" cm="1">
        <f t="array" ref="AL362">ElsoBetuNagy(R362)</f>
        <v/>
      </c>
      <c r="AO362" t="str" cm="1">
        <f t="array" ref="AO362">DatumSzovegge5(AN362)</f>
        <v>1899.</v>
      </c>
      <c r="AP362" t="str" cm="1">
        <f t="array" ref="AP362">DatumSzovegge3(AN362)</f>
        <v>december</v>
      </c>
      <c r="AQ362" t="str" cm="1">
        <f t="array" ref="AQ362">DatumSzovegge4(AN362)</f>
        <v>30.</v>
      </c>
    </row>
    <row r="363" spans="4:43" x14ac:dyDescent="0.25">
      <c r="D363" t="str" cm="1">
        <f t="array" ref="D363">SzuressNev($B$1,ROW()-1)</f>
        <v/>
      </c>
      <c r="E363">
        <f>COUNTIF($D$2:D363,D363)</f>
        <v>342</v>
      </c>
      <c r="F363" t="str" cm="1">
        <f t="array" ref="F363">ElutasitasEgyOk2(D363,E363)</f>
        <v/>
      </c>
      <c r="G363" t="str">
        <f>IFERROR(INDEX(diakadat!$I$2:$I$50,MATCH(D363,diakadat!$J$2:$J$50,0),1),"")</f>
        <v/>
      </c>
      <c r="H363" t="str">
        <f>IFERROR(INDEX(diakadat!$O$2:$O$50,MATCH(D363,diakadat!$J$2:$J$50,0),1),"")</f>
        <v/>
      </c>
      <c r="I363" t="str">
        <f>IFERROR(INDEX(diakadat!#REF!,MATCH(D363,diakadat!$J$2:$J$50,0),1),"")</f>
        <v/>
      </c>
      <c r="J363" t="str">
        <f>IFERROR(INDEX(diakadat!$K$2:$K$50,MATCH(D363,diakadat!$J$2:$J$50,0),1),"")</f>
        <v/>
      </c>
      <c r="K363" t="str" cm="1">
        <f t="array" ref="K363">IFERROR(DatumSzovegge2(INDEX(diakadat!$L$2:$L$50,MATCH(D363,diakadat!$J$2:$J$50,0),1)),"")</f>
        <v/>
      </c>
      <c r="L363" t="str" cm="1">
        <f t="array" ref="L363">IFERROR(DatumSzovegge5(INDEX(diakadat!$L$2:$L$50,MATCH(D363,diakadat!$J$2:$J$50,0),1)),"")</f>
        <v/>
      </c>
      <c r="M363" t="str" cm="1">
        <f t="array" ref="M363">IFERROR(DatumSzovegge3(INDEX(diakadat!$L$2:$L$50,MATCH(D363,diakadat!$J$2:$J$50,0),1)),"")</f>
        <v/>
      </c>
      <c r="N363" t="str" cm="1">
        <f t="array" ref="N363">IFERROR(DatumSzovegge4(INDEX(diakadat!$L$2:$L$50,MATCH(D363,diakadat!$J$2:$J$50,0),1)),"")</f>
        <v/>
      </c>
      <c r="O363" t="str">
        <f>IFERROR(INDEX(diakadat!$R$2:$R$50,MATCH(D363,diakadat!$J$2:$J$50,0),1),"")</f>
        <v/>
      </c>
      <c r="P363" t="str">
        <f>IFERROR(INDEX(diakadat!$AI$2:$AI$50,MATCH(D363,diakadat!$J$2:$J$50,0),1),"")</f>
        <v/>
      </c>
      <c r="Q363" t="str">
        <f>IFERROR(INDEX('rangsor'!$C$2:$C$343,MATCH(D363,'rangsor'!$A$2:$A$343,0),1),"")</f>
        <v/>
      </c>
      <c r="T363" t="s">
        <v>831</v>
      </c>
      <c r="U363" t="str" cm="1">
        <f t="array" ref="U363">Határozat(D363)</f>
        <v/>
      </c>
      <c r="AC363" t="str">
        <f>IFERROR(INDEX(diakadat!$U$2:$U$50,MATCH(D363,diakadat!$J$2:$J$50),1),"")</f>
        <v/>
      </c>
      <c r="AD363" t="str">
        <f>IFERROR(INDEX(diakadat!$V$2:$V$50,MATCH(D363,diakadat!$J$2:$J$50),1),"")</f>
        <v/>
      </c>
      <c r="AE363" t="str">
        <f>IFERROR(INDEX(diakadat!$W$2:$W$50,MATCH(D363,diakadat!$J$2:$J$50),1),"")</f>
        <v/>
      </c>
      <c r="AI363" t="str">
        <f>IFERROR(INDEX(diakadat!$X$2:$X$50,MATCH(D363,diakadat!$J$2:$J$50),1),"")</f>
        <v/>
      </c>
      <c r="AK363">
        <f t="shared" si="5"/>
        <v>329</v>
      </c>
      <c r="AL363" t="str" cm="1">
        <f t="array" ref="AL363">ElsoBetuNagy(R363)</f>
        <v/>
      </c>
      <c r="AO363" t="str" cm="1">
        <f t="array" ref="AO363">DatumSzovegge5(AN363)</f>
        <v>1899.</v>
      </c>
      <c r="AP363" t="str" cm="1">
        <f t="array" ref="AP363">DatumSzovegge3(AN363)</f>
        <v>december</v>
      </c>
      <c r="AQ363" t="str" cm="1">
        <f t="array" ref="AQ363">DatumSzovegge4(AN363)</f>
        <v>30.</v>
      </c>
    </row>
    <row r="364" spans="4:43" x14ac:dyDescent="0.25">
      <c r="D364" t="str" cm="1">
        <f t="array" ref="D364">SzuressNev($B$1,ROW()-1)</f>
        <v/>
      </c>
      <c r="E364">
        <f>COUNTIF($D$2:D364,D364)</f>
        <v>343</v>
      </c>
      <c r="F364" t="str" cm="1">
        <f t="array" ref="F364">ElutasitasEgyOk2(D364,E364)</f>
        <v/>
      </c>
      <c r="G364" t="str">
        <f>IFERROR(INDEX(diakadat!$I$2:$I$50,MATCH(D364,diakadat!$J$2:$J$50,0),1),"")</f>
        <v/>
      </c>
      <c r="H364" t="str">
        <f>IFERROR(INDEX(diakadat!$O$2:$O$50,MATCH(D364,diakadat!$J$2:$J$50,0),1),"")</f>
        <v/>
      </c>
      <c r="I364" t="str">
        <f>IFERROR(INDEX(diakadat!#REF!,MATCH(D364,diakadat!$J$2:$J$50,0),1),"")</f>
        <v/>
      </c>
      <c r="J364" t="str">
        <f>IFERROR(INDEX(diakadat!$K$2:$K$50,MATCH(D364,diakadat!$J$2:$J$50,0),1),"")</f>
        <v/>
      </c>
      <c r="K364" t="str" cm="1">
        <f t="array" ref="K364">IFERROR(DatumSzovegge2(INDEX(diakadat!$L$2:$L$50,MATCH(D364,diakadat!$J$2:$J$50,0),1)),"")</f>
        <v/>
      </c>
      <c r="L364" t="str" cm="1">
        <f t="array" ref="L364">IFERROR(DatumSzovegge5(INDEX(diakadat!$L$2:$L$50,MATCH(D364,diakadat!$J$2:$J$50,0),1)),"")</f>
        <v/>
      </c>
      <c r="M364" t="str" cm="1">
        <f t="array" ref="M364">IFERROR(DatumSzovegge3(INDEX(diakadat!$L$2:$L$50,MATCH(D364,diakadat!$J$2:$J$50,0),1)),"")</f>
        <v/>
      </c>
      <c r="N364" t="str" cm="1">
        <f t="array" ref="N364">IFERROR(DatumSzovegge4(INDEX(diakadat!$L$2:$L$50,MATCH(D364,diakadat!$J$2:$J$50,0),1)),"")</f>
        <v/>
      </c>
      <c r="O364" t="str">
        <f>IFERROR(INDEX(diakadat!$R$2:$R$50,MATCH(D364,diakadat!$J$2:$J$50,0),1),"")</f>
        <v/>
      </c>
      <c r="P364" t="str">
        <f>IFERROR(INDEX(diakadat!$AI$2:$AI$50,MATCH(D364,diakadat!$J$2:$J$50,0),1),"")</f>
        <v/>
      </c>
      <c r="Q364" t="str">
        <f>IFERROR(INDEX('rangsor'!$C$2:$C$343,MATCH(D364,'rangsor'!$A$2:$A$343,0),1),"")</f>
        <v/>
      </c>
      <c r="T364" t="s">
        <v>831</v>
      </c>
      <c r="U364" t="str" cm="1">
        <f t="array" ref="U364">Határozat(D364)</f>
        <v/>
      </c>
      <c r="AC364" t="str">
        <f>IFERROR(INDEX(diakadat!$U$2:$U$50,MATCH(D364,diakadat!$J$2:$J$50),1),"")</f>
        <v/>
      </c>
      <c r="AD364" t="str">
        <f>IFERROR(INDEX(diakadat!$V$2:$V$50,MATCH(D364,diakadat!$J$2:$J$50),1),"")</f>
        <v/>
      </c>
      <c r="AE364" t="str">
        <f>IFERROR(INDEX(diakadat!$W$2:$W$50,MATCH(D364,diakadat!$J$2:$J$50),1),"")</f>
        <v/>
      </c>
      <c r="AI364" t="str">
        <f>IFERROR(INDEX(diakadat!$X$2:$X$50,MATCH(D364,diakadat!$J$2:$J$50),1),"")</f>
        <v/>
      </c>
      <c r="AK364">
        <f t="shared" si="5"/>
        <v>329</v>
      </c>
      <c r="AL364" t="str" cm="1">
        <f t="array" ref="AL364">ElsoBetuNagy(R364)</f>
        <v/>
      </c>
      <c r="AO364" t="str" cm="1">
        <f t="array" ref="AO364">DatumSzovegge5(AN364)</f>
        <v>1899.</v>
      </c>
      <c r="AP364" t="str" cm="1">
        <f t="array" ref="AP364">DatumSzovegge3(AN364)</f>
        <v>december</v>
      </c>
      <c r="AQ364" t="str" cm="1">
        <f t="array" ref="AQ364">DatumSzovegge4(AN364)</f>
        <v>30.</v>
      </c>
    </row>
    <row r="365" spans="4:43" x14ac:dyDescent="0.25">
      <c r="D365" t="str" cm="1">
        <f t="array" ref="D365">SzuressNev($B$1,ROW()-1)</f>
        <v/>
      </c>
      <c r="E365">
        <f>COUNTIF($D$2:D365,D365)</f>
        <v>344</v>
      </c>
      <c r="F365" t="str" cm="1">
        <f t="array" ref="F365">ElutasitasEgyOk2(D365,E365)</f>
        <v/>
      </c>
      <c r="G365" t="str">
        <f>IFERROR(INDEX(diakadat!$I$2:$I$50,MATCH(D365,diakadat!$J$2:$J$50,0),1),"")</f>
        <v/>
      </c>
      <c r="H365" t="str">
        <f>IFERROR(INDEX(diakadat!$O$2:$O$50,MATCH(D365,diakadat!$J$2:$J$50,0),1),"")</f>
        <v/>
      </c>
      <c r="I365" t="str">
        <f>IFERROR(INDEX(diakadat!#REF!,MATCH(D365,diakadat!$J$2:$J$50,0),1),"")</f>
        <v/>
      </c>
      <c r="J365" t="str">
        <f>IFERROR(INDEX(diakadat!$K$2:$K$50,MATCH(D365,diakadat!$J$2:$J$50,0),1),"")</f>
        <v/>
      </c>
      <c r="K365" t="str" cm="1">
        <f t="array" ref="K365">IFERROR(DatumSzovegge2(INDEX(diakadat!$L$2:$L$50,MATCH(D365,diakadat!$J$2:$J$50,0),1)),"")</f>
        <v/>
      </c>
      <c r="L365" t="str" cm="1">
        <f t="array" ref="L365">IFERROR(DatumSzovegge5(INDEX(diakadat!$L$2:$L$50,MATCH(D365,diakadat!$J$2:$J$50,0),1)),"")</f>
        <v/>
      </c>
      <c r="M365" t="str" cm="1">
        <f t="array" ref="M365">IFERROR(DatumSzovegge3(INDEX(diakadat!$L$2:$L$50,MATCH(D365,diakadat!$J$2:$J$50,0),1)),"")</f>
        <v/>
      </c>
      <c r="N365" t="str" cm="1">
        <f t="array" ref="N365">IFERROR(DatumSzovegge4(INDEX(diakadat!$L$2:$L$50,MATCH(D365,diakadat!$J$2:$J$50,0),1)),"")</f>
        <v/>
      </c>
      <c r="O365" t="str">
        <f>IFERROR(INDEX(diakadat!$R$2:$R$50,MATCH(D365,diakadat!$J$2:$J$50,0),1),"")</f>
        <v/>
      </c>
      <c r="P365" t="str">
        <f>IFERROR(INDEX(diakadat!$AI$2:$AI$50,MATCH(D365,diakadat!$J$2:$J$50,0),1),"")</f>
        <v/>
      </c>
      <c r="Q365" t="str">
        <f>IFERROR(INDEX('rangsor'!$C$2:$C$343,MATCH(D365,'rangsor'!$A$2:$A$343,0),1),"")</f>
        <v/>
      </c>
      <c r="T365" t="s">
        <v>831</v>
      </c>
      <c r="U365" t="str" cm="1">
        <f t="array" ref="U365">Határozat(D365)</f>
        <v/>
      </c>
      <c r="AC365" t="str">
        <f>IFERROR(INDEX(diakadat!$U$2:$U$50,MATCH(D365,diakadat!$J$2:$J$50),1),"")</f>
        <v/>
      </c>
      <c r="AD365" t="str">
        <f>IFERROR(INDEX(diakadat!$V$2:$V$50,MATCH(D365,diakadat!$J$2:$J$50),1),"")</f>
        <v/>
      </c>
      <c r="AE365" t="str">
        <f>IFERROR(INDEX(diakadat!$W$2:$W$50,MATCH(D365,diakadat!$J$2:$J$50),1),"")</f>
        <v/>
      </c>
      <c r="AI365" t="str">
        <f>IFERROR(INDEX(diakadat!$X$2:$X$50,MATCH(D365,diakadat!$J$2:$J$50),1),"")</f>
        <v/>
      </c>
      <c r="AK365">
        <f t="shared" si="5"/>
        <v>329</v>
      </c>
      <c r="AL365" t="str" cm="1">
        <f t="array" ref="AL365">ElsoBetuNagy(R365)</f>
        <v/>
      </c>
      <c r="AO365" t="str" cm="1">
        <f t="array" ref="AO365">DatumSzovegge5(AN365)</f>
        <v>1899.</v>
      </c>
      <c r="AP365" t="str" cm="1">
        <f t="array" ref="AP365">DatumSzovegge3(AN365)</f>
        <v>december</v>
      </c>
      <c r="AQ365" t="str" cm="1">
        <f t="array" ref="AQ365">DatumSzovegge4(AN365)</f>
        <v>30.</v>
      </c>
    </row>
    <row r="366" spans="4:43" x14ac:dyDescent="0.25">
      <c r="D366" t="str" cm="1">
        <f t="array" ref="D366">SzuressNev($B$1,ROW()-1)</f>
        <v/>
      </c>
      <c r="E366">
        <f>COUNTIF($D$2:D366,D366)</f>
        <v>345</v>
      </c>
      <c r="F366" t="str" cm="1">
        <f t="array" ref="F366">ElutasitasEgyOk2(D366,E366)</f>
        <v/>
      </c>
      <c r="G366" t="str">
        <f>IFERROR(INDEX(diakadat!$I$2:$I$50,MATCH(D366,diakadat!$J$2:$J$50,0),1),"")</f>
        <v/>
      </c>
      <c r="H366" t="str">
        <f>IFERROR(INDEX(diakadat!$O$2:$O$50,MATCH(D366,diakadat!$J$2:$J$50,0),1),"")</f>
        <v/>
      </c>
      <c r="I366" t="str">
        <f>IFERROR(INDEX(diakadat!#REF!,MATCH(D366,diakadat!$J$2:$J$50,0),1),"")</f>
        <v/>
      </c>
      <c r="J366" t="str">
        <f>IFERROR(INDEX(diakadat!$K$2:$K$50,MATCH(D366,diakadat!$J$2:$J$50,0),1),"")</f>
        <v/>
      </c>
      <c r="K366" t="str" cm="1">
        <f t="array" ref="K366">IFERROR(DatumSzovegge2(INDEX(diakadat!$L$2:$L$50,MATCH(D366,diakadat!$J$2:$J$50,0),1)),"")</f>
        <v/>
      </c>
      <c r="L366" t="str" cm="1">
        <f t="array" ref="L366">IFERROR(DatumSzovegge5(INDEX(diakadat!$L$2:$L$50,MATCH(D366,diakadat!$J$2:$J$50,0),1)),"")</f>
        <v/>
      </c>
      <c r="M366" t="str" cm="1">
        <f t="array" ref="M366">IFERROR(DatumSzovegge3(INDEX(diakadat!$L$2:$L$50,MATCH(D366,diakadat!$J$2:$J$50,0),1)),"")</f>
        <v/>
      </c>
      <c r="N366" t="str" cm="1">
        <f t="array" ref="N366">IFERROR(DatumSzovegge4(INDEX(diakadat!$L$2:$L$50,MATCH(D366,diakadat!$J$2:$J$50,0),1)),"")</f>
        <v/>
      </c>
      <c r="O366" t="str">
        <f>IFERROR(INDEX(diakadat!$R$2:$R$50,MATCH(D366,diakadat!$J$2:$J$50,0),1),"")</f>
        <v/>
      </c>
      <c r="P366" t="str">
        <f>IFERROR(INDEX(diakadat!$AI$2:$AI$50,MATCH(D366,diakadat!$J$2:$J$50,0),1),"")</f>
        <v/>
      </c>
      <c r="Q366" t="str">
        <f>IFERROR(INDEX('rangsor'!$C$2:$C$343,MATCH(D366,'rangsor'!$A$2:$A$343,0),1),"")</f>
        <v/>
      </c>
      <c r="T366" t="s">
        <v>831</v>
      </c>
      <c r="U366" t="str" cm="1">
        <f t="array" ref="U366">Határozat(D366)</f>
        <v/>
      </c>
      <c r="AC366" t="str">
        <f>IFERROR(INDEX(diakadat!$U$2:$U$50,MATCH(D366,diakadat!$J$2:$J$50),1),"")</f>
        <v/>
      </c>
      <c r="AD366" t="str">
        <f>IFERROR(INDEX(diakadat!$V$2:$V$50,MATCH(D366,diakadat!$J$2:$J$50),1),"")</f>
        <v/>
      </c>
      <c r="AE366" t="str">
        <f>IFERROR(INDEX(diakadat!$W$2:$W$50,MATCH(D366,diakadat!$J$2:$J$50),1),"")</f>
        <v/>
      </c>
      <c r="AI366" t="str">
        <f>IFERROR(INDEX(diakadat!$X$2:$X$50,MATCH(D366,diakadat!$J$2:$J$50),1),"")</f>
        <v/>
      </c>
      <c r="AK366">
        <f t="shared" si="5"/>
        <v>329</v>
      </c>
      <c r="AL366" t="str" cm="1">
        <f t="array" ref="AL366">ElsoBetuNagy(R366)</f>
        <v/>
      </c>
      <c r="AO366" t="str" cm="1">
        <f t="array" ref="AO366">DatumSzovegge5(AN366)</f>
        <v>1899.</v>
      </c>
      <c r="AP366" t="str" cm="1">
        <f t="array" ref="AP366">DatumSzovegge3(AN366)</f>
        <v>december</v>
      </c>
      <c r="AQ366" t="str" cm="1">
        <f t="array" ref="AQ366">DatumSzovegge4(AN366)</f>
        <v>30.</v>
      </c>
    </row>
    <row r="367" spans="4:43" x14ac:dyDescent="0.25">
      <c r="D367" t="str" cm="1">
        <f t="array" ref="D367">SzuressNev($B$1,ROW()-1)</f>
        <v/>
      </c>
      <c r="E367">
        <f>COUNTIF($D$2:D367,D367)</f>
        <v>346</v>
      </c>
      <c r="F367" t="str" cm="1">
        <f t="array" ref="F367">ElutasitasEgyOk2(D367,E367)</f>
        <v/>
      </c>
      <c r="G367" t="str">
        <f>IFERROR(INDEX(diakadat!$I$2:$I$50,MATCH(D367,diakadat!$J$2:$J$50,0),1),"")</f>
        <v/>
      </c>
      <c r="H367" t="str">
        <f>IFERROR(INDEX(diakadat!$O$2:$O$50,MATCH(D367,diakadat!$J$2:$J$50,0),1),"")</f>
        <v/>
      </c>
      <c r="I367" t="str">
        <f>IFERROR(INDEX(diakadat!#REF!,MATCH(D367,diakadat!$J$2:$J$50,0),1),"")</f>
        <v/>
      </c>
      <c r="J367" t="str">
        <f>IFERROR(INDEX(diakadat!$K$2:$K$50,MATCH(D367,diakadat!$J$2:$J$50,0),1),"")</f>
        <v/>
      </c>
      <c r="K367" t="str" cm="1">
        <f t="array" ref="K367">IFERROR(DatumSzovegge2(INDEX(diakadat!$L$2:$L$50,MATCH(D367,diakadat!$J$2:$J$50,0),1)),"")</f>
        <v/>
      </c>
      <c r="L367" t="str" cm="1">
        <f t="array" ref="L367">IFERROR(DatumSzovegge5(INDEX(diakadat!$L$2:$L$50,MATCH(D367,diakadat!$J$2:$J$50,0),1)),"")</f>
        <v/>
      </c>
      <c r="M367" t="str" cm="1">
        <f t="array" ref="M367">IFERROR(DatumSzovegge3(INDEX(diakadat!$L$2:$L$50,MATCH(D367,diakadat!$J$2:$J$50,0),1)),"")</f>
        <v/>
      </c>
      <c r="N367" t="str" cm="1">
        <f t="array" ref="N367">IFERROR(DatumSzovegge4(INDEX(diakadat!$L$2:$L$50,MATCH(D367,diakadat!$J$2:$J$50,0),1)),"")</f>
        <v/>
      </c>
      <c r="O367" t="str">
        <f>IFERROR(INDEX(diakadat!$R$2:$R$50,MATCH(D367,diakadat!$J$2:$J$50,0),1),"")</f>
        <v/>
      </c>
      <c r="P367" t="str">
        <f>IFERROR(INDEX(diakadat!$AI$2:$AI$50,MATCH(D367,diakadat!$J$2:$J$50,0),1),"")</f>
        <v/>
      </c>
      <c r="Q367" t="str">
        <f>IFERROR(INDEX('rangsor'!$C$2:$C$343,MATCH(D367,'rangsor'!$A$2:$A$343,0),1),"")</f>
        <v/>
      </c>
      <c r="T367" t="s">
        <v>831</v>
      </c>
      <c r="U367" t="str" cm="1">
        <f t="array" ref="U367">Határozat(D367)</f>
        <v/>
      </c>
      <c r="AC367" t="str">
        <f>IFERROR(INDEX(diakadat!$U$2:$U$50,MATCH(D367,diakadat!$J$2:$J$50),1),"")</f>
        <v/>
      </c>
      <c r="AD367" t="str">
        <f>IFERROR(INDEX(diakadat!$V$2:$V$50,MATCH(D367,diakadat!$J$2:$J$50),1),"")</f>
        <v/>
      </c>
      <c r="AE367" t="str">
        <f>IFERROR(INDEX(diakadat!$W$2:$W$50,MATCH(D367,diakadat!$J$2:$J$50),1),"")</f>
        <v/>
      </c>
      <c r="AI367" t="str">
        <f>IFERROR(INDEX(diakadat!$X$2:$X$50,MATCH(D367,diakadat!$J$2:$J$50),1),"")</f>
        <v/>
      </c>
      <c r="AK367">
        <f t="shared" si="5"/>
        <v>329</v>
      </c>
      <c r="AL367" t="str" cm="1">
        <f t="array" ref="AL367">ElsoBetuNagy(R367)</f>
        <v/>
      </c>
      <c r="AO367" t="str" cm="1">
        <f t="array" ref="AO367">DatumSzovegge5(AN367)</f>
        <v>1899.</v>
      </c>
      <c r="AP367" t="str" cm="1">
        <f t="array" ref="AP367">DatumSzovegge3(AN367)</f>
        <v>december</v>
      </c>
      <c r="AQ367" t="str" cm="1">
        <f t="array" ref="AQ367">DatumSzovegge4(AN367)</f>
        <v>30.</v>
      </c>
    </row>
    <row r="368" spans="4:43" x14ac:dyDescent="0.25">
      <c r="D368" t="str" cm="1">
        <f t="array" ref="D368">SzuressNev($B$1,ROW()-1)</f>
        <v/>
      </c>
      <c r="E368">
        <f>COUNTIF($D$2:D368,D368)</f>
        <v>347</v>
      </c>
      <c r="F368" t="str" cm="1">
        <f t="array" ref="F368">ElutasitasEgyOk2(D368,E368)</f>
        <v/>
      </c>
      <c r="G368" t="str">
        <f>IFERROR(INDEX(diakadat!$I$2:$I$50,MATCH(D368,diakadat!$J$2:$J$50,0),1),"")</f>
        <v/>
      </c>
      <c r="H368" t="str">
        <f>IFERROR(INDEX(diakadat!$O$2:$O$50,MATCH(D368,diakadat!$J$2:$J$50,0),1),"")</f>
        <v/>
      </c>
      <c r="I368" t="str">
        <f>IFERROR(INDEX(diakadat!#REF!,MATCH(D368,diakadat!$J$2:$J$50,0),1),"")</f>
        <v/>
      </c>
      <c r="J368" t="str">
        <f>IFERROR(INDEX(diakadat!$K$2:$K$50,MATCH(D368,diakadat!$J$2:$J$50,0),1),"")</f>
        <v/>
      </c>
      <c r="K368" t="str" cm="1">
        <f t="array" ref="K368">IFERROR(DatumSzovegge2(INDEX(diakadat!$L$2:$L$50,MATCH(D368,diakadat!$J$2:$J$50,0),1)),"")</f>
        <v/>
      </c>
      <c r="L368" t="str" cm="1">
        <f t="array" ref="L368">IFERROR(DatumSzovegge5(INDEX(diakadat!$L$2:$L$50,MATCH(D368,diakadat!$J$2:$J$50,0),1)),"")</f>
        <v/>
      </c>
      <c r="M368" t="str" cm="1">
        <f t="array" ref="M368">IFERROR(DatumSzovegge3(INDEX(diakadat!$L$2:$L$50,MATCH(D368,diakadat!$J$2:$J$50,0),1)),"")</f>
        <v/>
      </c>
      <c r="N368" t="str" cm="1">
        <f t="array" ref="N368">IFERROR(DatumSzovegge4(INDEX(diakadat!$L$2:$L$50,MATCH(D368,diakadat!$J$2:$J$50,0),1)),"")</f>
        <v/>
      </c>
      <c r="O368" t="str">
        <f>IFERROR(INDEX(diakadat!$R$2:$R$50,MATCH(D368,diakadat!$J$2:$J$50,0),1),"")</f>
        <v/>
      </c>
      <c r="P368" t="str">
        <f>IFERROR(INDEX(diakadat!$AI$2:$AI$50,MATCH(D368,diakadat!$J$2:$J$50,0),1),"")</f>
        <v/>
      </c>
      <c r="Q368" t="str">
        <f>IFERROR(INDEX('rangsor'!$C$2:$C$343,MATCH(D368,'rangsor'!$A$2:$A$343,0),1),"")</f>
        <v/>
      </c>
      <c r="T368" t="s">
        <v>831</v>
      </c>
      <c r="U368" t="str" cm="1">
        <f t="array" ref="U368">Határozat(D368)</f>
        <v/>
      </c>
      <c r="AC368" t="str">
        <f>IFERROR(INDEX(diakadat!$U$2:$U$50,MATCH(D368,diakadat!$J$2:$J$50),1),"")</f>
        <v/>
      </c>
      <c r="AD368" t="str">
        <f>IFERROR(INDEX(diakadat!$V$2:$V$50,MATCH(D368,diakadat!$J$2:$J$50),1),"")</f>
        <v/>
      </c>
      <c r="AE368" t="str">
        <f>IFERROR(INDEX(diakadat!$W$2:$W$50,MATCH(D368,diakadat!$J$2:$J$50),1),"")</f>
        <v/>
      </c>
      <c r="AI368" t="str">
        <f>IFERROR(INDEX(diakadat!$X$2:$X$50,MATCH(D368,diakadat!$J$2:$J$50),1),"")</f>
        <v/>
      </c>
      <c r="AK368">
        <f t="shared" si="5"/>
        <v>329</v>
      </c>
      <c r="AL368" t="str" cm="1">
        <f t="array" ref="AL368">ElsoBetuNagy(R368)</f>
        <v/>
      </c>
      <c r="AO368" t="str" cm="1">
        <f t="array" ref="AO368">DatumSzovegge5(AN368)</f>
        <v>1899.</v>
      </c>
      <c r="AP368" t="str" cm="1">
        <f t="array" ref="AP368">DatumSzovegge3(AN368)</f>
        <v>december</v>
      </c>
      <c r="AQ368" t="str" cm="1">
        <f t="array" ref="AQ368">DatumSzovegge4(AN368)</f>
        <v>30.</v>
      </c>
    </row>
    <row r="369" spans="4:43" x14ac:dyDescent="0.25">
      <c r="D369" t="str" cm="1">
        <f t="array" ref="D369">SzuressNev($B$1,ROW()-1)</f>
        <v/>
      </c>
      <c r="E369">
        <f>COUNTIF($D$2:D369,D369)</f>
        <v>348</v>
      </c>
      <c r="F369" t="str" cm="1">
        <f t="array" ref="F369">ElutasitasEgyOk2(D369,E369)</f>
        <v/>
      </c>
      <c r="G369" t="str">
        <f>IFERROR(INDEX(diakadat!$I$2:$I$50,MATCH(D369,diakadat!$J$2:$J$50,0),1),"")</f>
        <v/>
      </c>
      <c r="H369" t="str">
        <f>IFERROR(INDEX(diakadat!$O$2:$O$50,MATCH(D369,diakadat!$J$2:$J$50,0),1),"")</f>
        <v/>
      </c>
      <c r="I369" t="str">
        <f>IFERROR(INDEX(diakadat!#REF!,MATCH(D369,diakadat!$J$2:$J$50,0),1),"")</f>
        <v/>
      </c>
      <c r="J369" t="str">
        <f>IFERROR(INDEX(diakadat!$K$2:$K$50,MATCH(D369,diakadat!$J$2:$J$50,0),1),"")</f>
        <v/>
      </c>
      <c r="K369" t="str" cm="1">
        <f t="array" ref="K369">IFERROR(DatumSzovegge2(INDEX(diakadat!$L$2:$L$50,MATCH(D369,diakadat!$J$2:$J$50,0),1)),"")</f>
        <v/>
      </c>
      <c r="L369" t="str" cm="1">
        <f t="array" ref="L369">IFERROR(DatumSzovegge5(INDEX(diakadat!$L$2:$L$50,MATCH(D369,diakadat!$J$2:$J$50,0),1)),"")</f>
        <v/>
      </c>
      <c r="M369" t="str" cm="1">
        <f t="array" ref="M369">IFERROR(DatumSzovegge3(INDEX(diakadat!$L$2:$L$50,MATCH(D369,diakadat!$J$2:$J$50,0),1)),"")</f>
        <v/>
      </c>
      <c r="N369" t="str" cm="1">
        <f t="array" ref="N369">IFERROR(DatumSzovegge4(INDEX(diakadat!$L$2:$L$50,MATCH(D369,diakadat!$J$2:$J$50,0),1)),"")</f>
        <v/>
      </c>
      <c r="O369" t="str">
        <f>IFERROR(INDEX(diakadat!$R$2:$R$50,MATCH(D369,diakadat!$J$2:$J$50,0),1),"")</f>
        <v/>
      </c>
      <c r="P369" t="str">
        <f>IFERROR(INDEX(diakadat!$AI$2:$AI$50,MATCH(D369,diakadat!$J$2:$J$50,0),1),"")</f>
        <v/>
      </c>
      <c r="Q369" t="str">
        <f>IFERROR(INDEX('rangsor'!$C$2:$C$343,MATCH(D369,'rangsor'!$A$2:$A$343,0),1),"")</f>
        <v/>
      </c>
      <c r="T369" t="s">
        <v>831</v>
      </c>
      <c r="U369" t="str" cm="1">
        <f t="array" ref="U369">Határozat(D369)</f>
        <v/>
      </c>
      <c r="AC369" t="str">
        <f>IFERROR(INDEX(diakadat!$U$2:$U$50,MATCH(D369,diakadat!$J$2:$J$50),1),"")</f>
        <v/>
      </c>
      <c r="AD369" t="str">
        <f>IFERROR(INDEX(diakadat!$V$2:$V$50,MATCH(D369,diakadat!$J$2:$J$50),1),"")</f>
        <v/>
      </c>
      <c r="AE369" t="str">
        <f>IFERROR(INDEX(diakadat!$W$2:$W$50,MATCH(D369,diakadat!$J$2:$J$50),1),"")</f>
        <v/>
      </c>
      <c r="AI369" t="str">
        <f>IFERROR(INDEX(diakadat!$X$2:$X$50,MATCH(D369,diakadat!$J$2:$J$50),1),"")</f>
        <v/>
      </c>
      <c r="AK369">
        <f t="shared" si="5"/>
        <v>329</v>
      </c>
      <c r="AL369" t="str" cm="1">
        <f t="array" ref="AL369">ElsoBetuNagy(R369)</f>
        <v/>
      </c>
      <c r="AO369" t="str" cm="1">
        <f t="array" ref="AO369">DatumSzovegge5(AN369)</f>
        <v>1899.</v>
      </c>
      <c r="AP369" t="str" cm="1">
        <f t="array" ref="AP369">DatumSzovegge3(AN369)</f>
        <v>december</v>
      </c>
      <c r="AQ369" t="str" cm="1">
        <f t="array" ref="AQ369">DatumSzovegge4(AN369)</f>
        <v>30.</v>
      </c>
    </row>
    <row r="370" spans="4:43" x14ac:dyDescent="0.25">
      <c r="D370" t="str" cm="1">
        <f t="array" ref="D370">SzuressNev($B$1,ROW()-1)</f>
        <v/>
      </c>
      <c r="E370">
        <f>COUNTIF($D$2:D370,D370)</f>
        <v>349</v>
      </c>
      <c r="F370" t="str" cm="1">
        <f t="array" ref="F370">ElutasitasEgyOk2(D370,E370)</f>
        <v/>
      </c>
      <c r="G370" t="str">
        <f>IFERROR(INDEX(diakadat!$I$2:$I$50,MATCH(D370,diakadat!$J$2:$J$50,0),1),"")</f>
        <v/>
      </c>
      <c r="H370" t="str">
        <f>IFERROR(INDEX(diakadat!$O$2:$O$50,MATCH(D370,diakadat!$J$2:$J$50,0),1),"")</f>
        <v/>
      </c>
      <c r="I370" t="str">
        <f>IFERROR(INDEX(diakadat!#REF!,MATCH(D370,diakadat!$J$2:$J$50,0),1),"")</f>
        <v/>
      </c>
      <c r="J370" t="str">
        <f>IFERROR(INDEX(diakadat!$K$2:$K$50,MATCH(D370,diakadat!$J$2:$J$50,0),1),"")</f>
        <v/>
      </c>
      <c r="K370" t="str" cm="1">
        <f t="array" ref="K370">IFERROR(DatumSzovegge2(INDEX(diakadat!$L$2:$L$50,MATCH(D370,diakadat!$J$2:$J$50,0),1)),"")</f>
        <v/>
      </c>
      <c r="L370" t="str" cm="1">
        <f t="array" ref="L370">IFERROR(DatumSzovegge5(INDEX(diakadat!$L$2:$L$50,MATCH(D370,diakadat!$J$2:$J$50,0),1)),"")</f>
        <v/>
      </c>
      <c r="M370" t="str" cm="1">
        <f t="array" ref="M370">IFERROR(DatumSzovegge3(INDEX(diakadat!$L$2:$L$50,MATCH(D370,diakadat!$J$2:$J$50,0),1)),"")</f>
        <v/>
      </c>
      <c r="N370" t="str" cm="1">
        <f t="array" ref="N370">IFERROR(DatumSzovegge4(INDEX(diakadat!$L$2:$L$50,MATCH(D370,diakadat!$J$2:$J$50,0),1)),"")</f>
        <v/>
      </c>
      <c r="O370" t="str">
        <f>IFERROR(INDEX(diakadat!$R$2:$R$50,MATCH(D370,diakadat!$J$2:$J$50,0),1),"")</f>
        <v/>
      </c>
      <c r="P370" t="str">
        <f>IFERROR(INDEX(diakadat!$AI$2:$AI$50,MATCH(D370,diakadat!$J$2:$J$50,0),1),"")</f>
        <v/>
      </c>
      <c r="Q370" t="str">
        <f>IFERROR(INDEX('rangsor'!$C$2:$C$343,MATCH(D370,'rangsor'!$A$2:$A$343,0),1),"")</f>
        <v/>
      </c>
      <c r="T370" t="s">
        <v>831</v>
      </c>
      <c r="U370" t="str" cm="1">
        <f t="array" ref="U370">Határozat(D370)</f>
        <v/>
      </c>
      <c r="AC370" t="str">
        <f>IFERROR(INDEX(diakadat!$U$2:$U$50,MATCH(D370,diakadat!$J$2:$J$50),1),"")</f>
        <v/>
      </c>
      <c r="AD370" t="str">
        <f>IFERROR(INDEX(diakadat!$V$2:$V$50,MATCH(D370,diakadat!$J$2:$J$50),1),"")</f>
        <v/>
      </c>
      <c r="AE370" t="str">
        <f>IFERROR(INDEX(diakadat!$W$2:$W$50,MATCH(D370,diakadat!$J$2:$J$50),1),"")</f>
        <v/>
      </c>
      <c r="AI370" t="str">
        <f>IFERROR(INDEX(diakadat!$X$2:$X$50,MATCH(D370,diakadat!$J$2:$J$50),1),"")</f>
        <v/>
      </c>
      <c r="AK370">
        <f t="shared" si="5"/>
        <v>329</v>
      </c>
      <c r="AL370" t="str" cm="1">
        <f t="array" ref="AL370">ElsoBetuNagy(R370)</f>
        <v/>
      </c>
      <c r="AO370" t="str" cm="1">
        <f t="array" ref="AO370">DatumSzovegge5(AN370)</f>
        <v>1899.</v>
      </c>
      <c r="AP370" t="str" cm="1">
        <f t="array" ref="AP370">DatumSzovegge3(AN370)</f>
        <v>december</v>
      </c>
      <c r="AQ370" t="str" cm="1">
        <f t="array" ref="AQ370">DatumSzovegge4(AN370)</f>
        <v>30.</v>
      </c>
    </row>
    <row r="371" spans="4:43" x14ac:dyDescent="0.25">
      <c r="D371" t="str" cm="1">
        <f t="array" ref="D371">SzuressNev($B$1,ROW()-1)</f>
        <v/>
      </c>
      <c r="E371">
        <f>COUNTIF($D$2:D371,D371)</f>
        <v>350</v>
      </c>
      <c r="F371" t="str" cm="1">
        <f t="array" ref="F371">ElutasitasEgyOk2(D371,E371)</f>
        <v/>
      </c>
      <c r="G371" t="str">
        <f>IFERROR(INDEX(diakadat!$I$2:$I$50,MATCH(D371,diakadat!$J$2:$J$50,0),1),"")</f>
        <v/>
      </c>
      <c r="H371" t="str">
        <f>IFERROR(INDEX(diakadat!$O$2:$O$50,MATCH(D371,diakadat!$J$2:$J$50,0),1),"")</f>
        <v/>
      </c>
      <c r="I371" t="str">
        <f>IFERROR(INDEX(diakadat!#REF!,MATCH(D371,diakadat!$J$2:$J$50,0),1),"")</f>
        <v/>
      </c>
      <c r="J371" t="str">
        <f>IFERROR(INDEX(diakadat!$K$2:$K$50,MATCH(D371,diakadat!$J$2:$J$50,0),1),"")</f>
        <v/>
      </c>
      <c r="K371" t="str" cm="1">
        <f t="array" ref="K371">IFERROR(DatumSzovegge2(INDEX(diakadat!$L$2:$L$50,MATCH(D371,diakadat!$J$2:$J$50,0),1)),"")</f>
        <v/>
      </c>
      <c r="L371" t="str" cm="1">
        <f t="array" ref="L371">IFERROR(DatumSzovegge5(INDEX(diakadat!$L$2:$L$50,MATCH(D371,diakadat!$J$2:$J$50,0),1)),"")</f>
        <v/>
      </c>
      <c r="M371" t="str" cm="1">
        <f t="array" ref="M371">IFERROR(DatumSzovegge3(INDEX(diakadat!$L$2:$L$50,MATCH(D371,diakadat!$J$2:$J$50,0),1)),"")</f>
        <v/>
      </c>
      <c r="N371" t="str" cm="1">
        <f t="array" ref="N371">IFERROR(DatumSzovegge4(INDEX(diakadat!$L$2:$L$50,MATCH(D371,diakadat!$J$2:$J$50,0),1)),"")</f>
        <v/>
      </c>
      <c r="O371" t="str">
        <f>IFERROR(INDEX(diakadat!$R$2:$R$50,MATCH(D371,diakadat!$J$2:$J$50,0),1),"")</f>
        <v/>
      </c>
      <c r="P371" t="str">
        <f>IFERROR(INDEX(diakadat!$AI$2:$AI$50,MATCH(D371,diakadat!$J$2:$J$50,0),1),"")</f>
        <v/>
      </c>
      <c r="Q371" t="str">
        <f>IFERROR(INDEX('rangsor'!$C$2:$C$343,MATCH(D371,'rangsor'!$A$2:$A$343,0),1),"")</f>
        <v/>
      </c>
      <c r="T371" t="s">
        <v>831</v>
      </c>
      <c r="U371" t="str" cm="1">
        <f t="array" ref="U371">Határozat(D371)</f>
        <v/>
      </c>
      <c r="AC371" t="str">
        <f>IFERROR(INDEX(diakadat!$U$2:$U$50,MATCH(D371,diakadat!$J$2:$J$50),1),"")</f>
        <v/>
      </c>
      <c r="AD371" t="str">
        <f>IFERROR(INDEX(diakadat!$V$2:$V$50,MATCH(D371,diakadat!$J$2:$J$50),1),"")</f>
        <v/>
      </c>
      <c r="AE371" t="str">
        <f>IFERROR(INDEX(diakadat!$W$2:$W$50,MATCH(D371,diakadat!$J$2:$J$50),1),"")</f>
        <v/>
      </c>
      <c r="AI371" t="str">
        <f>IFERROR(INDEX(diakadat!$X$2:$X$50,MATCH(D371,diakadat!$J$2:$J$50),1),"")</f>
        <v/>
      </c>
      <c r="AK371">
        <f t="shared" si="5"/>
        <v>329</v>
      </c>
      <c r="AL371" t="str" cm="1">
        <f t="array" ref="AL371">ElsoBetuNagy(R371)</f>
        <v/>
      </c>
      <c r="AO371" t="str" cm="1">
        <f t="array" ref="AO371">DatumSzovegge5(AN371)</f>
        <v>1899.</v>
      </c>
      <c r="AP371" t="str" cm="1">
        <f t="array" ref="AP371">DatumSzovegge3(AN371)</f>
        <v>december</v>
      </c>
      <c r="AQ371" t="str" cm="1">
        <f t="array" ref="AQ371">DatumSzovegge4(AN371)</f>
        <v>30.</v>
      </c>
    </row>
    <row r="372" spans="4:43" x14ac:dyDescent="0.25">
      <c r="D372" t="str" cm="1">
        <f t="array" ref="D372">SzuressNev($B$1,ROW()-1)</f>
        <v/>
      </c>
      <c r="E372">
        <f>COUNTIF($D$2:D372,D372)</f>
        <v>351</v>
      </c>
      <c r="F372" t="str" cm="1">
        <f t="array" ref="F372">ElutasitasEgyOk2(D372,E372)</f>
        <v/>
      </c>
      <c r="G372" t="str">
        <f>IFERROR(INDEX(diakadat!$I$2:$I$50,MATCH(D372,diakadat!$J$2:$J$50,0),1),"")</f>
        <v/>
      </c>
      <c r="H372" t="str">
        <f>IFERROR(INDEX(diakadat!$O$2:$O$50,MATCH(D372,diakadat!$J$2:$J$50,0),1),"")</f>
        <v/>
      </c>
      <c r="I372" t="str">
        <f>IFERROR(INDEX(diakadat!#REF!,MATCH(D372,diakadat!$J$2:$J$50,0),1),"")</f>
        <v/>
      </c>
      <c r="J372" t="str">
        <f>IFERROR(INDEX(diakadat!$K$2:$K$50,MATCH(D372,diakadat!$J$2:$J$50,0),1),"")</f>
        <v/>
      </c>
      <c r="K372" t="str" cm="1">
        <f t="array" ref="K372">IFERROR(DatumSzovegge2(INDEX(diakadat!$L$2:$L$50,MATCH(D372,diakadat!$J$2:$J$50,0),1)),"")</f>
        <v/>
      </c>
      <c r="L372" t="str" cm="1">
        <f t="array" ref="L372">IFERROR(DatumSzovegge5(INDEX(diakadat!$L$2:$L$50,MATCH(D372,diakadat!$J$2:$J$50,0),1)),"")</f>
        <v/>
      </c>
      <c r="M372" t="str" cm="1">
        <f t="array" ref="M372">IFERROR(DatumSzovegge3(INDEX(diakadat!$L$2:$L$50,MATCH(D372,diakadat!$J$2:$J$50,0),1)),"")</f>
        <v/>
      </c>
      <c r="N372" t="str" cm="1">
        <f t="array" ref="N372">IFERROR(DatumSzovegge4(INDEX(diakadat!$L$2:$L$50,MATCH(D372,diakadat!$J$2:$J$50,0),1)),"")</f>
        <v/>
      </c>
      <c r="O372" t="str">
        <f>IFERROR(INDEX(diakadat!$R$2:$R$50,MATCH(D372,diakadat!$J$2:$J$50,0),1),"")</f>
        <v/>
      </c>
      <c r="P372" t="str">
        <f>IFERROR(INDEX(diakadat!$AI$2:$AI$50,MATCH(D372,diakadat!$J$2:$J$50,0),1),"")</f>
        <v/>
      </c>
      <c r="Q372" t="str">
        <f>IFERROR(INDEX('rangsor'!$C$2:$C$343,MATCH(D372,'rangsor'!$A$2:$A$343,0),1),"")</f>
        <v/>
      </c>
      <c r="T372" t="s">
        <v>831</v>
      </c>
      <c r="U372" t="str" cm="1">
        <f t="array" ref="U372">Határozat(D372)</f>
        <v/>
      </c>
      <c r="AC372" t="str">
        <f>IFERROR(INDEX(diakadat!$U$2:$U$50,MATCH(D372,diakadat!$J$2:$J$50),1),"")</f>
        <v/>
      </c>
      <c r="AD372" t="str">
        <f>IFERROR(INDEX(diakadat!$V$2:$V$50,MATCH(D372,diakadat!$J$2:$J$50),1),"")</f>
        <v/>
      </c>
      <c r="AE372" t="str">
        <f>IFERROR(INDEX(diakadat!$W$2:$W$50,MATCH(D372,diakadat!$J$2:$J$50),1),"")</f>
        <v/>
      </c>
      <c r="AI372" t="str">
        <f>IFERROR(INDEX(diakadat!$X$2:$X$50,MATCH(D372,diakadat!$J$2:$J$50),1),"")</f>
        <v/>
      </c>
      <c r="AK372">
        <f t="shared" si="5"/>
        <v>329</v>
      </c>
      <c r="AL372" t="str" cm="1">
        <f t="array" ref="AL372">ElsoBetuNagy(R372)</f>
        <v/>
      </c>
      <c r="AO372" t="str" cm="1">
        <f t="array" ref="AO372">DatumSzovegge5(AN372)</f>
        <v>1899.</v>
      </c>
      <c r="AP372" t="str" cm="1">
        <f t="array" ref="AP372">DatumSzovegge3(AN372)</f>
        <v>december</v>
      </c>
      <c r="AQ372" t="str" cm="1">
        <f t="array" ref="AQ372">DatumSzovegge4(AN372)</f>
        <v>30.</v>
      </c>
    </row>
    <row r="373" spans="4:43" x14ac:dyDescent="0.25">
      <c r="D373" t="str" cm="1">
        <f t="array" ref="D373">SzuressNev($B$1,ROW()-1)</f>
        <v/>
      </c>
      <c r="E373">
        <f>COUNTIF($D$2:D373,D373)</f>
        <v>352</v>
      </c>
      <c r="F373" t="str" cm="1">
        <f t="array" ref="F373">ElutasitasEgyOk2(D373,E373)</f>
        <v/>
      </c>
      <c r="G373" t="str">
        <f>IFERROR(INDEX(diakadat!$I$2:$I$50,MATCH(D373,diakadat!$J$2:$J$50,0),1),"")</f>
        <v/>
      </c>
      <c r="H373" t="str">
        <f>IFERROR(INDEX(diakadat!$O$2:$O$50,MATCH(D373,diakadat!$J$2:$J$50,0),1),"")</f>
        <v/>
      </c>
      <c r="I373" t="str">
        <f>IFERROR(INDEX(diakadat!#REF!,MATCH(D373,diakadat!$J$2:$J$50,0),1),"")</f>
        <v/>
      </c>
      <c r="J373" t="str">
        <f>IFERROR(INDEX(diakadat!$K$2:$K$50,MATCH(D373,diakadat!$J$2:$J$50,0),1),"")</f>
        <v/>
      </c>
      <c r="K373" t="str" cm="1">
        <f t="array" ref="K373">IFERROR(DatumSzovegge2(INDEX(diakadat!$L$2:$L$50,MATCH(D373,diakadat!$J$2:$J$50,0),1)),"")</f>
        <v/>
      </c>
      <c r="L373" t="str" cm="1">
        <f t="array" ref="L373">IFERROR(DatumSzovegge5(INDEX(diakadat!$L$2:$L$50,MATCH(D373,diakadat!$J$2:$J$50,0),1)),"")</f>
        <v/>
      </c>
      <c r="M373" t="str" cm="1">
        <f t="array" ref="M373">IFERROR(DatumSzovegge3(INDEX(diakadat!$L$2:$L$50,MATCH(D373,diakadat!$J$2:$J$50,0),1)),"")</f>
        <v/>
      </c>
      <c r="N373" t="str" cm="1">
        <f t="array" ref="N373">IFERROR(DatumSzovegge4(INDEX(diakadat!$L$2:$L$50,MATCH(D373,diakadat!$J$2:$J$50,0),1)),"")</f>
        <v/>
      </c>
      <c r="O373" t="str">
        <f>IFERROR(INDEX(diakadat!$R$2:$R$50,MATCH(D373,diakadat!$J$2:$J$50,0),1),"")</f>
        <v/>
      </c>
      <c r="P373" t="str">
        <f>IFERROR(INDEX(diakadat!$AI$2:$AI$50,MATCH(D373,diakadat!$J$2:$J$50,0),1),"")</f>
        <v/>
      </c>
      <c r="Q373" t="str">
        <f>IFERROR(INDEX('rangsor'!$C$2:$C$343,MATCH(D373,'rangsor'!$A$2:$A$343,0),1),"")</f>
        <v/>
      </c>
      <c r="T373" t="s">
        <v>831</v>
      </c>
      <c r="U373" t="str" cm="1">
        <f t="array" ref="U373">Határozat(D373)</f>
        <v/>
      </c>
      <c r="AC373" t="str">
        <f>IFERROR(INDEX(diakadat!$U$2:$U$50,MATCH(D373,diakadat!$J$2:$J$50),1),"")</f>
        <v/>
      </c>
      <c r="AD373" t="str">
        <f>IFERROR(INDEX(diakadat!$V$2:$V$50,MATCH(D373,diakadat!$J$2:$J$50),1),"")</f>
        <v/>
      </c>
      <c r="AE373" t="str">
        <f>IFERROR(INDEX(diakadat!$W$2:$W$50,MATCH(D373,diakadat!$J$2:$J$50),1),"")</f>
        <v/>
      </c>
      <c r="AI373" t="str">
        <f>IFERROR(INDEX(diakadat!$X$2:$X$50,MATCH(D373,diakadat!$J$2:$J$50),1),"")</f>
        <v/>
      </c>
      <c r="AK373">
        <f t="shared" si="5"/>
        <v>329</v>
      </c>
      <c r="AL373" t="str" cm="1">
        <f t="array" ref="AL373">ElsoBetuNagy(R373)</f>
        <v/>
      </c>
      <c r="AO373" t="str" cm="1">
        <f t="array" ref="AO373">DatumSzovegge5(AN373)</f>
        <v>1899.</v>
      </c>
      <c r="AP373" t="str" cm="1">
        <f t="array" ref="AP373">DatumSzovegge3(AN373)</f>
        <v>december</v>
      </c>
      <c r="AQ373" t="str" cm="1">
        <f t="array" ref="AQ373">DatumSzovegge4(AN373)</f>
        <v>30.</v>
      </c>
    </row>
    <row r="374" spans="4:43" x14ac:dyDescent="0.25">
      <c r="D374" t="str" cm="1">
        <f t="array" ref="D374">SzuressNev($B$1,ROW()-1)</f>
        <v/>
      </c>
      <c r="E374">
        <f>COUNTIF($D$2:D374,D374)</f>
        <v>353</v>
      </c>
      <c r="F374" t="str" cm="1">
        <f t="array" ref="F374">ElutasitasEgyOk2(D374,E374)</f>
        <v/>
      </c>
      <c r="G374" t="str">
        <f>IFERROR(INDEX(diakadat!$I$2:$I$50,MATCH(D374,diakadat!$J$2:$J$50,0),1),"")</f>
        <v/>
      </c>
      <c r="H374" t="str">
        <f>IFERROR(INDEX(diakadat!$O$2:$O$50,MATCH(D374,diakadat!$J$2:$J$50,0),1),"")</f>
        <v/>
      </c>
      <c r="I374" t="str">
        <f>IFERROR(INDEX(diakadat!#REF!,MATCH(D374,diakadat!$J$2:$J$50,0),1),"")</f>
        <v/>
      </c>
      <c r="J374" t="str">
        <f>IFERROR(INDEX(diakadat!$K$2:$K$50,MATCH(D374,diakadat!$J$2:$J$50,0),1),"")</f>
        <v/>
      </c>
      <c r="K374" t="str" cm="1">
        <f t="array" ref="K374">IFERROR(DatumSzovegge2(INDEX(diakadat!$L$2:$L$50,MATCH(D374,diakadat!$J$2:$J$50,0),1)),"")</f>
        <v/>
      </c>
      <c r="L374" t="str" cm="1">
        <f t="array" ref="L374">IFERROR(DatumSzovegge5(INDEX(diakadat!$L$2:$L$50,MATCH(D374,diakadat!$J$2:$J$50,0),1)),"")</f>
        <v/>
      </c>
      <c r="M374" t="str" cm="1">
        <f t="array" ref="M374">IFERROR(DatumSzovegge3(INDEX(diakadat!$L$2:$L$50,MATCH(D374,diakadat!$J$2:$J$50,0),1)),"")</f>
        <v/>
      </c>
      <c r="N374" t="str" cm="1">
        <f t="array" ref="N374">IFERROR(DatumSzovegge4(INDEX(diakadat!$L$2:$L$50,MATCH(D374,diakadat!$J$2:$J$50,0),1)),"")</f>
        <v/>
      </c>
      <c r="O374" t="str">
        <f>IFERROR(INDEX(diakadat!$R$2:$R$50,MATCH(D374,diakadat!$J$2:$J$50,0),1),"")</f>
        <v/>
      </c>
      <c r="P374" t="str">
        <f>IFERROR(INDEX(diakadat!$AI$2:$AI$50,MATCH(D374,diakadat!$J$2:$J$50,0),1),"")</f>
        <v/>
      </c>
      <c r="Q374" t="str">
        <f>IFERROR(INDEX('rangsor'!$C$2:$C$343,MATCH(D374,'rangsor'!$A$2:$A$343,0),1),"")</f>
        <v/>
      </c>
      <c r="T374" t="s">
        <v>831</v>
      </c>
      <c r="U374" t="str" cm="1">
        <f t="array" ref="U374">Határozat(D374)</f>
        <v/>
      </c>
      <c r="AC374" t="str">
        <f>IFERROR(INDEX(diakadat!$U$2:$U$50,MATCH(D374,diakadat!$J$2:$J$50),1),"")</f>
        <v/>
      </c>
      <c r="AD374" t="str">
        <f>IFERROR(INDEX(diakadat!$V$2:$V$50,MATCH(D374,diakadat!$J$2:$J$50),1),"")</f>
        <v/>
      </c>
      <c r="AE374" t="str">
        <f>IFERROR(INDEX(diakadat!$W$2:$W$50,MATCH(D374,diakadat!$J$2:$J$50),1),"")</f>
        <v/>
      </c>
      <c r="AI374" t="str">
        <f>IFERROR(INDEX(diakadat!$X$2:$X$50,MATCH(D374,diakadat!$J$2:$J$50),1),"")</f>
        <v/>
      </c>
      <c r="AK374">
        <f t="shared" si="5"/>
        <v>329</v>
      </c>
      <c r="AL374" t="str" cm="1">
        <f t="array" ref="AL374">ElsoBetuNagy(R374)</f>
        <v/>
      </c>
      <c r="AO374" t="str" cm="1">
        <f t="array" ref="AO374">DatumSzovegge5(AN374)</f>
        <v>1899.</v>
      </c>
      <c r="AP374" t="str" cm="1">
        <f t="array" ref="AP374">DatumSzovegge3(AN374)</f>
        <v>december</v>
      </c>
      <c r="AQ374" t="str" cm="1">
        <f t="array" ref="AQ374">DatumSzovegge4(AN374)</f>
        <v>30.</v>
      </c>
    </row>
    <row r="375" spans="4:43" x14ac:dyDescent="0.25">
      <c r="D375" t="str" cm="1">
        <f t="array" ref="D375">SzuressNev($B$1,ROW()-1)</f>
        <v/>
      </c>
      <c r="E375">
        <f>COUNTIF($D$2:D375,D375)</f>
        <v>354</v>
      </c>
      <c r="F375" t="str" cm="1">
        <f t="array" ref="F375">ElutasitasEgyOk2(D375,E375)</f>
        <v/>
      </c>
      <c r="G375" t="str">
        <f>IFERROR(INDEX(diakadat!$I$2:$I$50,MATCH(D375,diakadat!$J$2:$J$50,0),1),"")</f>
        <v/>
      </c>
      <c r="H375" t="str">
        <f>IFERROR(INDEX(diakadat!$O$2:$O$50,MATCH(D375,diakadat!$J$2:$J$50,0),1),"")</f>
        <v/>
      </c>
      <c r="I375" t="str">
        <f>IFERROR(INDEX(diakadat!#REF!,MATCH(D375,diakadat!$J$2:$J$50,0),1),"")</f>
        <v/>
      </c>
      <c r="J375" t="str">
        <f>IFERROR(INDEX(diakadat!$K$2:$K$50,MATCH(D375,diakadat!$J$2:$J$50,0),1),"")</f>
        <v/>
      </c>
      <c r="K375" t="str" cm="1">
        <f t="array" ref="K375">IFERROR(DatumSzovegge2(INDEX(diakadat!$L$2:$L$50,MATCH(D375,diakadat!$J$2:$J$50,0),1)),"")</f>
        <v/>
      </c>
      <c r="L375" t="str" cm="1">
        <f t="array" ref="L375">IFERROR(DatumSzovegge5(INDEX(diakadat!$L$2:$L$50,MATCH(D375,diakadat!$J$2:$J$50,0),1)),"")</f>
        <v/>
      </c>
      <c r="M375" t="str" cm="1">
        <f t="array" ref="M375">IFERROR(DatumSzovegge3(INDEX(diakadat!$L$2:$L$50,MATCH(D375,diakadat!$J$2:$J$50,0),1)),"")</f>
        <v/>
      </c>
      <c r="N375" t="str" cm="1">
        <f t="array" ref="N375">IFERROR(DatumSzovegge4(INDEX(diakadat!$L$2:$L$50,MATCH(D375,diakadat!$J$2:$J$50,0),1)),"")</f>
        <v/>
      </c>
      <c r="O375" t="str">
        <f>IFERROR(INDEX(diakadat!$R$2:$R$50,MATCH(D375,diakadat!$J$2:$J$50,0),1),"")</f>
        <v/>
      </c>
      <c r="P375" t="str">
        <f>IFERROR(INDEX(diakadat!$AI$2:$AI$50,MATCH(D375,diakadat!$J$2:$J$50,0),1),"")</f>
        <v/>
      </c>
      <c r="Q375" t="str">
        <f>IFERROR(INDEX('rangsor'!$C$2:$C$343,MATCH(D375,'rangsor'!$A$2:$A$343,0),1),"")</f>
        <v/>
      </c>
      <c r="T375" t="s">
        <v>831</v>
      </c>
      <c r="U375" t="str" cm="1">
        <f t="array" ref="U375">Határozat(D375)</f>
        <v/>
      </c>
      <c r="AC375" t="str">
        <f>IFERROR(INDEX(diakadat!$U$2:$U$50,MATCH(D375,diakadat!$J$2:$J$50),1),"")</f>
        <v/>
      </c>
      <c r="AD375" t="str">
        <f>IFERROR(INDEX(diakadat!$V$2:$V$50,MATCH(D375,diakadat!$J$2:$J$50),1),"")</f>
        <v/>
      </c>
      <c r="AE375" t="str">
        <f>IFERROR(INDEX(diakadat!$W$2:$W$50,MATCH(D375,diakadat!$J$2:$J$50),1),"")</f>
        <v/>
      </c>
      <c r="AI375" t="str">
        <f>IFERROR(INDEX(diakadat!$X$2:$X$50,MATCH(D375,diakadat!$J$2:$J$50),1),"")</f>
        <v/>
      </c>
      <c r="AK375">
        <f t="shared" si="5"/>
        <v>329</v>
      </c>
      <c r="AL375" t="str" cm="1">
        <f t="array" ref="AL375">ElsoBetuNagy(R375)</f>
        <v/>
      </c>
      <c r="AO375" t="str" cm="1">
        <f t="array" ref="AO375">DatumSzovegge5(AN375)</f>
        <v>1899.</v>
      </c>
      <c r="AP375" t="str" cm="1">
        <f t="array" ref="AP375">DatumSzovegge3(AN375)</f>
        <v>december</v>
      </c>
      <c r="AQ375" t="str" cm="1">
        <f t="array" ref="AQ375">DatumSzovegge4(AN375)</f>
        <v>30.</v>
      </c>
    </row>
    <row r="376" spans="4:43" x14ac:dyDescent="0.25">
      <c r="D376" t="str" cm="1">
        <f t="array" ref="D376">SzuressNev($B$1,ROW()-1)</f>
        <v/>
      </c>
      <c r="E376">
        <f>COUNTIF($D$2:D376,D376)</f>
        <v>355</v>
      </c>
      <c r="F376" t="str" cm="1">
        <f t="array" ref="F376">ElutasitasEgyOk2(D376,E376)</f>
        <v/>
      </c>
      <c r="G376" t="str">
        <f>IFERROR(INDEX(diakadat!$I$2:$I$50,MATCH(D376,diakadat!$J$2:$J$50,0),1),"")</f>
        <v/>
      </c>
      <c r="H376" t="str">
        <f>IFERROR(INDEX(diakadat!$O$2:$O$50,MATCH(D376,diakadat!$J$2:$J$50,0),1),"")</f>
        <v/>
      </c>
      <c r="I376" t="str">
        <f>IFERROR(INDEX(diakadat!#REF!,MATCH(D376,diakadat!$J$2:$J$50,0),1),"")</f>
        <v/>
      </c>
      <c r="J376" t="str">
        <f>IFERROR(INDEX(diakadat!$K$2:$K$50,MATCH(D376,diakadat!$J$2:$J$50,0),1),"")</f>
        <v/>
      </c>
      <c r="K376" t="str" cm="1">
        <f t="array" ref="K376">IFERROR(DatumSzovegge2(INDEX(diakadat!$L$2:$L$50,MATCH(D376,diakadat!$J$2:$J$50,0),1)),"")</f>
        <v/>
      </c>
      <c r="L376" t="str" cm="1">
        <f t="array" ref="L376">IFERROR(DatumSzovegge5(INDEX(diakadat!$L$2:$L$50,MATCH(D376,diakadat!$J$2:$J$50,0),1)),"")</f>
        <v/>
      </c>
      <c r="M376" t="str" cm="1">
        <f t="array" ref="M376">IFERROR(DatumSzovegge3(INDEX(diakadat!$L$2:$L$50,MATCH(D376,diakadat!$J$2:$J$50,0),1)),"")</f>
        <v/>
      </c>
      <c r="N376" t="str" cm="1">
        <f t="array" ref="N376">IFERROR(DatumSzovegge4(INDEX(diakadat!$L$2:$L$50,MATCH(D376,diakadat!$J$2:$J$50,0),1)),"")</f>
        <v/>
      </c>
      <c r="O376" t="str">
        <f>IFERROR(INDEX(diakadat!$R$2:$R$50,MATCH(D376,diakadat!$J$2:$J$50,0),1),"")</f>
        <v/>
      </c>
      <c r="P376" t="str">
        <f>IFERROR(INDEX(diakadat!$AI$2:$AI$50,MATCH(D376,diakadat!$J$2:$J$50,0),1),"")</f>
        <v/>
      </c>
      <c r="Q376" t="str">
        <f>IFERROR(INDEX('rangsor'!$C$2:$C$343,MATCH(D376,'rangsor'!$A$2:$A$343,0),1),"")</f>
        <v/>
      </c>
      <c r="T376" t="s">
        <v>831</v>
      </c>
      <c r="U376" t="str" cm="1">
        <f t="array" ref="U376">Határozat(D376)</f>
        <v/>
      </c>
      <c r="AC376" t="str">
        <f>IFERROR(INDEX(diakadat!$U$2:$U$50,MATCH(D376,diakadat!$J$2:$J$50),1),"")</f>
        <v/>
      </c>
      <c r="AD376" t="str">
        <f>IFERROR(INDEX(diakadat!$V$2:$V$50,MATCH(D376,diakadat!$J$2:$J$50),1),"")</f>
        <v/>
      </c>
      <c r="AE376" t="str">
        <f>IFERROR(INDEX(diakadat!$W$2:$W$50,MATCH(D376,diakadat!$J$2:$J$50),1),"")</f>
        <v/>
      </c>
      <c r="AI376" t="str">
        <f>IFERROR(INDEX(diakadat!$X$2:$X$50,MATCH(D376,diakadat!$J$2:$J$50),1),"")</f>
        <v/>
      </c>
      <c r="AK376">
        <f t="shared" si="5"/>
        <v>329</v>
      </c>
      <c r="AL376" t="str" cm="1">
        <f t="array" ref="AL376">ElsoBetuNagy(R376)</f>
        <v/>
      </c>
      <c r="AO376" t="str" cm="1">
        <f t="array" ref="AO376">DatumSzovegge5(AN376)</f>
        <v>1899.</v>
      </c>
      <c r="AP376" t="str" cm="1">
        <f t="array" ref="AP376">DatumSzovegge3(AN376)</f>
        <v>december</v>
      </c>
      <c r="AQ376" t="str" cm="1">
        <f t="array" ref="AQ376">DatumSzovegge4(AN376)</f>
        <v>30.</v>
      </c>
    </row>
    <row r="377" spans="4:43" x14ac:dyDescent="0.25">
      <c r="D377" t="str" cm="1">
        <f t="array" ref="D377">SzuressNev($B$1,ROW()-1)</f>
        <v/>
      </c>
      <c r="E377">
        <f>COUNTIF($D$2:D377,D377)</f>
        <v>356</v>
      </c>
      <c r="F377" t="str" cm="1">
        <f t="array" ref="F377">ElutasitasEgyOk2(D377,E377)</f>
        <v/>
      </c>
      <c r="G377" t="str">
        <f>IFERROR(INDEX(diakadat!$I$2:$I$50,MATCH(D377,diakadat!$J$2:$J$50,0),1),"")</f>
        <v/>
      </c>
      <c r="H377" t="str">
        <f>IFERROR(INDEX(diakadat!$O$2:$O$50,MATCH(D377,diakadat!$J$2:$J$50,0),1),"")</f>
        <v/>
      </c>
      <c r="I377" t="str">
        <f>IFERROR(INDEX(diakadat!#REF!,MATCH(D377,diakadat!$J$2:$J$50,0),1),"")</f>
        <v/>
      </c>
      <c r="J377" t="str">
        <f>IFERROR(INDEX(diakadat!$K$2:$K$50,MATCH(D377,diakadat!$J$2:$J$50,0),1),"")</f>
        <v/>
      </c>
      <c r="K377" t="str" cm="1">
        <f t="array" ref="K377">IFERROR(DatumSzovegge2(INDEX(diakadat!$L$2:$L$50,MATCH(D377,diakadat!$J$2:$J$50,0),1)),"")</f>
        <v/>
      </c>
      <c r="L377" t="str" cm="1">
        <f t="array" ref="L377">IFERROR(DatumSzovegge5(INDEX(diakadat!$L$2:$L$50,MATCH(D377,diakadat!$J$2:$J$50,0),1)),"")</f>
        <v/>
      </c>
      <c r="M377" t="str" cm="1">
        <f t="array" ref="M377">IFERROR(DatumSzovegge3(INDEX(diakadat!$L$2:$L$50,MATCH(D377,diakadat!$J$2:$J$50,0),1)),"")</f>
        <v/>
      </c>
      <c r="N377" t="str" cm="1">
        <f t="array" ref="N377">IFERROR(DatumSzovegge4(INDEX(diakadat!$L$2:$L$50,MATCH(D377,diakadat!$J$2:$J$50,0),1)),"")</f>
        <v/>
      </c>
      <c r="O377" t="str">
        <f>IFERROR(INDEX(diakadat!$R$2:$R$50,MATCH(D377,diakadat!$J$2:$J$50,0),1),"")</f>
        <v/>
      </c>
      <c r="P377" t="str">
        <f>IFERROR(INDEX(diakadat!$AI$2:$AI$50,MATCH(D377,diakadat!$J$2:$J$50,0),1),"")</f>
        <v/>
      </c>
      <c r="Q377" t="str">
        <f>IFERROR(INDEX('rangsor'!$C$2:$C$343,MATCH(D377,'rangsor'!$A$2:$A$343,0),1),"")</f>
        <v/>
      </c>
      <c r="T377" t="s">
        <v>831</v>
      </c>
      <c r="U377" t="str" cm="1">
        <f t="array" ref="U377">Határozat(D377)</f>
        <v/>
      </c>
      <c r="AC377" t="str">
        <f>IFERROR(INDEX(diakadat!$U$2:$U$50,MATCH(D377,diakadat!$J$2:$J$50),1),"")</f>
        <v/>
      </c>
      <c r="AD377" t="str">
        <f>IFERROR(INDEX(diakadat!$V$2:$V$50,MATCH(D377,diakadat!$J$2:$J$50),1),"")</f>
        <v/>
      </c>
      <c r="AE377" t="str">
        <f>IFERROR(INDEX(diakadat!$W$2:$W$50,MATCH(D377,diakadat!$J$2:$J$50),1),"")</f>
        <v/>
      </c>
      <c r="AI377" t="str">
        <f>IFERROR(INDEX(diakadat!$X$2:$X$50,MATCH(D377,diakadat!$J$2:$J$50),1),"")</f>
        <v/>
      </c>
      <c r="AK377">
        <f t="shared" si="5"/>
        <v>329</v>
      </c>
      <c r="AL377" t="str" cm="1">
        <f t="array" ref="AL377">ElsoBetuNagy(R377)</f>
        <v/>
      </c>
      <c r="AO377" t="str" cm="1">
        <f t="array" ref="AO377">DatumSzovegge5(AN377)</f>
        <v>1899.</v>
      </c>
      <c r="AP377" t="str" cm="1">
        <f t="array" ref="AP377">DatumSzovegge3(AN377)</f>
        <v>december</v>
      </c>
      <c r="AQ377" t="str" cm="1">
        <f t="array" ref="AQ377">DatumSzovegge4(AN377)</f>
        <v>30.</v>
      </c>
    </row>
    <row r="378" spans="4:43" x14ac:dyDescent="0.25">
      <c r="D378" t="str" cm="1">
        <f t="array" ref="D378">SzuressNev($B$1,ROW()-1)</f>
        <v/>
      </c>
      <c r="E378">
        <f>COUNTIF($D$2:D593,D378)</f>
        <v>572</v>
      </c>
      <c r="F378" t="str" cm="1">
        <f t="array" ref="F378">ElutasitasEgyOk2(D378,E378)</f>
        <v/>
      </c>
      <c r="G378" t="str">
        <f>IFERROR(INDEX(diakadat!$I$2:$I$50,MATCH(D378,diakadat!$J$2:$J$50,0),1),"")</f>
        <v/>
      </c>
      <c r="H378" t="str">
        <f>IFERROR(INDEX(diakadat!$O$2:$O$50,MATCH(D378,diakadat!$J$2:$J$50,0),1),"")</f>
        <v/>
      </c>
      <c r="I378" t="str">
        <f>IFERROR(INDEX(diakadat!#REF!,MATCH(D378,diakadat!$J$2:$J$50,0),1),"")</f>
        <v/>
      </c>
      <c r="J378" t="str">
        <f>IFERROR(INDEX(diakadat!$K$2:$K$50,MATCH(D378,diakadat!$J$2:$J$50,0),1),"")</f>
        <v/>
      </c>
      <c r="K378" t="str" cm="1">
        <f t="array" ref="K378">IFERROR(DatumSzovegge2(INDEX(diakadat!$L$2:$L$50,MATCH(D378,diakadat!$J$2:$J$50,0),1)),"")</f>
        <v/>
      </c>
      <c r="L378" t="str" cm="1">
        <f t="array" ref="L378">IFERROR(DatumSzovegge5(INDEX(diakadat!$L$2:$L$50,MATCH(D378,diakadat!$J$2:$J$50,0),1)),"")</f>
        <v/>
      </c>
      <c r="M378" t="str" cm="1">
        <f t="array" ref="M378">IFERROR(DatumSzovegge3(INDEX(diakadat!$L$2:$L$50,MATCH(D378,diakadat!$J$2:$J$50,0),1)),"")</f>
        <v/>
      </c>
      <c r="N378" t="str" cm="1">
        <f t="array" ref="N378">IFERROR(DatumSzovegge4(INDEX(diakadat!$L$2:$L$50,MATCH(D378,diakadat!$J$2:$J$50,0),1)),"")</f>
        <v/>
      </c>
      <c r="O378" t="str">
        <f>IFERROR(INDEX(diakadat!$R$2:$R$50,MATCH(D378,diakadat!$J$2:$J$50,0),1),"")</f>
        <v/>
      </c>
      <c r="P378" t="str">
        <f>IFERROR(INDEX(diakadat!$AI$2:$AI$50,MATCH(D378,diakadat!$J$2:$J$50,0),1),"")</f>
        <v/>
      </c>
      <c r="Q378" t="str">
        <f>IFERROR(INDEX('rangsor'!$C$2:$C$343,MATCH(D378,'rangsor'!$A$2:$A$343,0),1),"")</f>
        <v/>
      </c>
      <c r="T378" t="s">
        <v>831</v>
      </c>
      <c r="U378" t="str" cm="1">
        <f t="array" ref="U378">Határozat(D378)</f>
        <v/>
      </c>
      <c r="AC378" t="str">
        <f>IFERROR(INDEX(diakadat!$U$2:$U$50,MATCH(D378,diakadat!$J$2:$J$50),1),"")</f>
        <v/>
      </c>
      <c r="AD378" t="str">
        <f>IFERROR(INDEX(diakadat!$V$2:$V$50,MATCH(D378,diakadat!$J$2:$J$50),1),"")</f>
        <v/>
      </c>
      <c r="AE378" t="str">
        <f>IFERROR(INDEX(diakadat!$W$2:$W$50,MATCH(D378,diakadat!$J$2:$J$50),1),"")</f>
        <v/>
      </c>
      <c r="AI378" t="str">
        <f>IFERROR(INDEX(diakadat!$X$2:$X$50,MATCH(D378,diakadat!$J$2:$J$50),1),"")</f>
        <v/>
      </c>
      <c r="AK378">
        <f t="shared" si="5"/>
        <v>329</v>
      </c>
      <c r="AL378" t="str" cm="1">
        <f t="array" ref="AL378">ElsoBetuNagy(R378)</f>
        <v/>
      </c>
      <c r="AO378" t="str" cm="1">
        <f t="array" ref="AO378">DatumSzovegge5(AN378)</f>
        <v>1899.</v>
      </c>
      <c r="AP378" t="str" cm="1">
        <f t="array" ref="AP378">DatumSzovegge3(AN378)</f>
        <v>december</v>
      </c>
      <c r="AQ378" t="str" cm="1">
        <f t="array" ref="AQ378">DatumSzovegge4(AN378)</f>
        <v>30.</v>
      </c>
    </row>
    <row r="379" spans="4:43" x14ac:dyDescent="0.25">
      <c r="D379" t="str" cm="1">
        <f t="array" ref="D379">SzuressNev($B$1,ROW()-1)</f>
        <v/>
      </c>
      <c r="E379">
        <f>COUNTIF($D$2:D379,D379)</f>
        <v>358</v>
      </c>
      <c r="F379" t="str" cm="1">
        <f t="array" ref="F379">ElutasitasEgyOk2(D379,E379)</f>
        <v/>
      </c>
      <c r="G379" t="str">
        <f>IFERROR(INDEX(diakadat!$I$2:$I$50,MATCH(D379,diakadat!$J$2:$J$50,0),1),"")</f>
        <v/>
      </c>
      <c r="H379" t="str">
        <f>IFERROR(INDEX(diakadat!$O$2:$O$50,MATCH(D379,diakadat!$J$2:$J$50,0),1),"")</f>
        <v/>
      </c>
      <c r="I379" t="str">
        <f>IFERROR(INDEX(diakadat!#REF!,MATCH(D379,diakadat!$J$2:$J$50,0),1),"")</f>
        <v/>
      </c>
      <c r="J379" t="str">
        <f>IFERROR(INDEX(diakadat!$K$2:$K$50,MATCH(D379,diakadat!$J$2:$J$50,0),1),"")</f>
        <v/>
      </c>
      <c r="K379" t="str" cm="1">
        <f t="array" ref="K379">IFERROR(DatumSzovegge2(INDEX(diakadat!$L$2:$L$50,MATCH(D379,diakadat!$J$2:$J$50,0),1)),"")</f>
        <v/>
      </c>
      <c r="L379" t="str" cm="1">
        <f t="array" ref="L379">IFERROR(DatumSzovegge5(INDEX(diakadat!$L$2:$L$50,MATCH(D379,diakadat!$J$2:$J$50,0),1)),"")</f>
        <v/>
      </c>
      <c r="M379" t="str" cm="1">
        <f t="array" ref="M379">IFERROR(DatumSzovegge3(INDEX(diakadat!$L$2:$L$50,MATCH(D379,diakadat!$J$2:$J$50,0),1)),"")</f>
        <v/>
      </c>
      <c r="N379" t="str" cm="1">
        <f t="array" ref="N379">IFERROR(DatumSzovegge4(INDEX(diakadat!$L$2:$L$50,MATCH(D379,diakadat!$J$2:$J$50,0),1)),"")</f>
        <v/>
      </c>
      <c r="O379" t="str">
        <f>IFERROR(INDEX(diakadat!$R$2:$R$50,MATCH(D379,diakadat!$J$2:$J$50,0),1),"")</f>
        <v/>
      </c>
      <c r="P379" t="str">
        <f>IFERROR(INDEX(diakadat!$AI$2:$AI$50,MATCH(D379,diakadat!$J$2:$J$50,0),1),"")</f>
        <v/>
      </c>
      <c r="Q379" t="str">
        <f>IFERROR(INDEX('rangsor'!$C$2:$C$343,MATCH(D379,'rangsor'!$A$2:$A$343,0),1),"")</f>
        <v/>
      </c>
      <c r="T379" t="s">
        <v>831</v>
      </c>
      <c r="U379" t="str" cm="1">
        <f t="array" ref="U379">Határozat(D379)</f>
        <v/>
      </c>
      <c r="AC379" t="str">
        <f>IFERROR(INDEX(diakadat!$U$2:$U$50,MATCH(D379,diakadat!$J$2:$J$50),1),"")</f>
        <v/>
      </c>
      <c r="AD379" t="str">
        <f>IFERROR(INDEX(diakadat!$V$2:$V$50,MATCH(D379,diakadat!$J$2:$J$50),1),"")</f>
        <v/>
      </c>
      <c r="AE379" t="str">
        <f>IFERROR(INDEX(diakadat!$W$2:$W$50,MATCH(D379,diakadat!$J$2:$J$50),1),"")</f>
        <v/>
      </c>
      <c r="AI379" t="str">
        <f>IFERROR(INDEX(diakadat!$X$2:$X$50,MATCH(D379,diakadat!$J$2:$J$50),1),"")</f>
        <v/>
      </c>
      <c r="AK379">
        <f t="shared" si="5"/>
        <v>329</v>
      </c>
      <c r="AL379" t="str" cm="1">
        <f t="array" ref="AL379">ElsoBetuNagy(R379)</f>
        <v/>
      </c>
      <c r="AO379" t="str" cm="1">
        <f t="array" ref="AO379">DatumSzovegge5(AN379)</f>
        <v>1899.</v>
      </c>
      <c r="AP379" t="str" cm="1">
        <f t="array" ref="AP379">DatumSzovegge3(AN379)</f>
        <v>december</v>
      </c>
      <c r="AQ379" t="str" cm="1">
        <f t="array" ref="AQ379">DatumSzovegge4(AN379)</f>
        <v>30.</v>
      </c>
    </row>
    <row r="380" spans="4:43" x14ac:dyDescent="0.25">
      <c r="D380" t="str" cm="1">
        <f t="array" ref="D380">SzuressNev($B$1,ROW()-1)</f>
        <v/>
      </c>
      <c r="E380">
        <f>COUNTIF($D$2:D380,D380)</f>
        <v>359</v>
      </c>
      <c r="F380" t="str" cm="1">
        <f t="array" ref="F380">ElutasitasEgyOk2(D380,E380)</f>
        <v/>
      </c>
      <c r="G380" t="str">
        <f>IFERROR(INDEX(diakadat!$I$2:$I$50,MATCH(D380,diakadat!$J$2:$J$50,0),1),"")</f>
        <v/>
      </c>
      <c r="H380" t="str">
        <f>IFERROR(INDEX(diakadat!$O$2:$O$50,MATCH(D380,diakadat!$J$2:$J$50,0),1),"")</f>
        <v/>
      </c>
      <c r="I380" t="str">
        <f>IFERROR(INDEX(diakadat!#REF!,MATCH(D380,diakadat!$J$2:$J$50,0),1),"")</f>
        <v/>
      </c>
      <c r="J380" t="str">
        <f>IFERROR(INDEX(diakadat!$K$2:$K$50,MATCH(D380,diakadat!$J$2:$J$50,0),1),"")</f>
        <v/>
      </c>
      <c r="K380" t="str" cm="1">
        <f t="array" ref="K380">IFERROR(DatumSzovegge2(INDEX(diakadat!$L$2:$L$50,MATCH(D380,diakadat!$J$2:$J$50,0),1)),"")</f>
        <v/>
      </c>
      <c r="L380" t="str" cm="1">
        <f t="array" ref="L380">IFERROR(DatumSzovegge5(INDEX(diakadat!$L$2:$L$50,MATCH(D380,diakadat!$J$2:$J$50,0),1)),"")</f>
        <v/>
      </c>
      <c r="M380" t="str" cm="1">
        <f t="array" ref="M380">IFERROR(DatumSzovegge3(INDEX(diakadat!$L$2:$L$50,MATCH(D380,diakadat!$J$2:$J$50,0),1)),"")</f>
        <v/>
      </c>
      <c r="N380" t="str" cm="1">
        <f t="array" ref="N380">IFERROR(DatumSzovegge4(INDEX(diakadat!$L$2:$L$50,MATCH(D380,diakadat!$J$2:$J$50,0),1)),"")</f>
        <v/>
      </c>
      <c r="O380" t="str">
        <f>IFERROR(INDEX(diakadat!$R$2:$R$50,MATCH(D380,diakadat!$J$2:$J$50,0),1),"")</f>
        <v/>
      </c>
      <c r="P380" t="str">
        <f>IFERROR(INDEX(diakadat!$AI$2:$AI$50,MATCH(D380,diakadat!$J$2:$J$50,0),1),"")</f>
        <v/>
      </c>
      <c r="Q380" t="str">
        <f>IFERROR(INDEX('rangsor'!$C$2:$C$343,MATCH(D380,'rangsor'!$A$2:$A$343,0),1),"")</f>
        <v/>
      </c>
      <c r="T380" t="s">
        <v>831</v>
      </c>
      <c r="U380" t="str" cm="1">
        <f t="array" ref="U380">Határozat(D380)</f>
        <v/>
      </c>
      <c r="AC380" t="str">
        <f>IFERROR(INDEX(diakadat!$U$2:$U$50,MATCH(D380,diakadat!$J$2:$J$50),1),"")</f>
        <v/>
      </c>
      <c r="AD380" t="str">
        <f>IFERROR(INDEX(diakadat!$V$2:$V$50,MATCH(D380,diakadat!$J$2:$J$50),1),"")</f>
        <v/>
      </c>
      <c r="AE380" t="str">
        <f>IFERROR(INDEX(diakadat!$W$2:$W$50,MATCH(D380,diakadat!$J$2:$J$50),1),"")</f>
        <v/>
      </c>
      <c r="AI380" t="str">
        <f>IFERROR(INDEX(diakadat!$X$2:$X$50,MATCH(D380,diakadat!$J$2:$J$50),1),"")</f>
        <v/>
      </c>
      <c r="AK380">
        <f t="shared" si="5"/>
        <v>329</v>
      </c>
      <c r="AL380" t="str" cm="1">
        <f t="array" ref="AL380">ElsoBetuNagy(R380)</f>
        <v/>
      </c>
      <c r="AO380" t="str" cm="1">
        <f t="array" ref="AO380">DatumSzovegge5(AN380)</f>
        <v>1899.</v>
      </c>
      <c r="AP380" t="str" cm="1">
        <f t="array" ref="AP380">DatumSzovegge3(AN380)</f>
        <v>december</v>
      </c>
      <c r="AQ380" t="str" cm="1">
        <f t="array" ref="AQ380">DatumSzovegge4(AN380)</f>
        <v>30.</v>
      </c>
    </row>
    <row r="381" spans="4:43" x14ac:dyDescent="0.25">
      <c r="D381" t="str" cm="1">
        <f t="array" ref="D381">SzuressNev($B$1,ROW()-1)</f>
        <v/>
      </c>
      <c r="E381">
        <f>COUNTIF($D$2:D381,D381)</f>
        <v>360</v>
      </c>
      <c r="F381" t="str" cm="1">
        <f t="array" ref="F381">ElutasitasEgyOk2(D381,E381)</f>
        <v/>
      </c>
      <c r="G381" t="str">
        <f>IFERROR(INDEX(diakadat!$I$2:$I$50,MATCH(D381,diakadat!$J$2:$J$50,0),1),"")</f>
        <v/>
      </c>
      <c r="H381" t="str">
        <f>IFERROR(INDEX(diakadat!$O$2:$O$50,MATCH(D381,diakadat!$J$2:$J$50,0),1),"")</f>
        <v/>
      </c>
      <c r="I381" t="str">
        <f>IFERROR(INDEX(diakadat!#REF!,MATCH(D381,diakadat!$J$2:$J$50,0),1),"")</f>
        <v/>
      </c>
      <c r="J381" t="str">
        <f>IFERROR(INDEX(diakadat!$K$2:$K$50,MATCH(D381,diakadat!$J$2:$J$50,0),1),"")</f>
        <v/>
      </c>
      <c r="K381" t="str" cm="1">
        <f t="array" ref="K381">IFERROR(DatumSzovegge2(INDEX(diakadat!$L$2:$L$50,MATCH(D381,diakadat!$J$2:$J$50,0),1)),"")</f>
        <v/>
      </c>
      <c r="L381" t="str" cm="1">
        <f t="array" ref="L381">IFERROR(DatumSzovegge5(INDEX(diakadat!$L$2:$L$50,MATCH(D381,diakadat!$J$2:$J$50,0),1)),"")</f>
        <v/>
      </c>
      <c r="M381" t="str" cm="1">
        <f t="array" ref="M381">IFERROR(DatumSzovegge3(INDEX(diakadat!$L$2:$L$50,MATCH(D381,diakadat!$J$2:$J$50,0),1)),"")</f>
        <v/>
      </c>
      <c r="N381" t="str" cm="1">
        <f t="array" ref="N381">IFERROR(DatumSzovegge4(INDEX(diakadat!$L$2:$L$50,MATCH(D381,diakadat!$J$2:$J$50,0),1)),"")</f>
        <v/>
      </c>
      <c r="O381" t="str">
        <f>IFERROR(INDEX(diakadat!$R$2:$R$50,MATCH(D381,diakadat!$J$2:$J$50,0),1),"")</f>
        <v/>
      </c>
      <c r="P381" t="str">
        <f>IFERROR(INDEX(diakadat!$AI$2:$AI$50,MATCH(D381,diakadat!$J$2:$J$50,0),1),"")</f>
        <v/>
      </c>
      <c r="Q381" t="str">
        <f>IFERROR(INDEX('rangsor'!$C$2:$C$343,MATCH(D381,'rangsor'!$A$2:$A$343,0),1),"")</f>
        <v/>
      </c>
      <c r="T381" t="s">
        <v>831</v>
      </c>
      <c r="U381" t="str" cm="1">
        <f t="array" ref="U381">Határozat(D381)</f>
        <v/>
      </c>
      <c r="AC381" t="str">
        <f>IFERROR(INDEX(diakadat!$U$2:$U$50,MATCH(D381,diakadat!$J$2:$J$50),1),"")</f>
        <v/>
      </c>
      <c r="AD381" t="str">
        <f>IFERROR(INDEX(diakadat!$V$2:$V$50,MATCH(D381,diakadat!$J$2:$J$50),1),"")</f>
        <v/>
      </c>
      <c r="AE381" t="str">
        <f>IFERROR(INDEX(diakadat!$W$2:$W$50,MATCH(D381,diakadat!$J$2:$J$50),1),"")</f>
        <v/>
      </c>
      <c r="AI381" t="str">
        <f>IFERROR(INDEX(diakadat!$X$2:$X$50,MATCH(D381,diakadat!$J$2:$J$50),1),"")</f>
        <v/>
      </c>
      <c r="AK381">
        <f t="shared" si="5"/>
        <v>329</v>
      </c>
      <c r="AL381" t="str" cm="1">
        <f t="array" ref="AL381">ElsoBetuNagy(R381)</f>
        <v/>
      </c>
      <c r="AO381" t="str" cm="1">
        <f t="array" ref="AO381">DatumSzovegge5(AN381)</f>
        <v>1899.</v>
      </c>
      <c r="AP381" t="str" cm="1">
        <f t="array" ref="AP381">DatumSzovegge3(AN381)</f>
        <v>december</v>
      </c>
      <c r="AQ381" t="str" cm="1">
        <f t="array" ref="AQ381">DatumSzovegge4(AN381)</f>
        <v>30.</v>
      </c>
    </row>
    <row r="382" spans="4:43" x14ac:dyDescent="0.25">
      <c r="D382" t="str" cm="1">
        <f t="array" ref="D382">SzuressNev($B$1,ROW()-1)</f>
        <v/>
      </c>
      <c r="E382">
        <f>COUNTIF($D$2:D382,D382)</f>
        <v>361</v>
      </c>
      <c r="F382" t="str" cm="1">
        <f t="array" ref="F382">ElutasitasEgyOk2(D382,E382)</f>
        <v/>
      </c>
      <c r="G382" t="str">
        <f>IFERROR(INDEX(diakadat!$I$2:$I$50,MATCH(D382,diakadat!$J$2:$J$50,0),1),"")</f>
        <v/>
      </c>
      <c r="H382" t="str">
        <f>IFERROR(INDEX(diakadat!$O$2:$O$50,MATCH(D382,diakadat!$J$2:$J$50,0),1),"")</f>
        <v/>
      </c>
      <c r="I382" t="str">
        <f>IFERROR(INDEX(diakadat!#REF!,MATCH(D382,diakadat!$J$2:$J$50,0),1),"")</f>
        <v/>
      </c>
      <c r="J382" t="str">
        <f>IFERROR(INDEX(diakadat!$K$2:$K$50,MATCH(D382,diakadat!$J$2:$J$50,0),1),"")</f>
        <v/>
      </c>
      <c r="K382" t="str" cm="1">
        <f t="array" ref="K382">IFERROR(DatumSzovegge2(INDEX(diakadat!$L$2:$L$50,MATCH(D382,diakadat!$J$2:$J$50,0),1)),"")</f>
        <v/>
      </c>
      <c r="L382" t="str" cm="1">
        <f t="array" ref="L382">IFERROR(DatumSzovegge5(INDEX(diakadat!$L$2:$L$50,MATCH(D382,diakadat!$J$2:$J$50,0),1)),"")</f>
        <v/>
      </c>
      <c r="M382" t="str" cm="1">
        <f t="array" ref="M382">IFERROR(DatumSzovegge3(INDEX(diakadat!$L$2:$L$50,MATCH(D382,diakadat!$J$2:$J$50,0),1)),"")</f>
        <v/>
      </c>
      <c r="N382" t="str" cm="1">
        <f t="array" ref="N382">IFERROR(DatumSzovegge4(INDEX(diakadat!$L$2:$L$50,MATCH(D382,diakadat!$J$2:$J$50,0),1)),"")</f>
        <v/>
      </c>
      <c r="O382" t="str">
        <f>IFERROR(INDEX(diakadat!$R$2:$R$50,MATCH(D382,diakadat!$J$2:$J$50,0),1),"")</f>
        <v/>
      </c>
      <c r="P382" t="str">
        <f>IFERROR(INDEX(diakadat!$AI$2:$AI$50,MATCH(D382,diakadat!$J$2:$J$50,0),1),"")</f>
        <v/>
      </c>
      <c r="Q382" t="str">
        <f>IFERROR(INDEX('rangsor'!$C$2:$C$343,MATCH(D382,'rangsor'!$A$2:$A$343,0),1),"")</f>
        <v/>
      </c>
      <c r="T382" t="s">
        <v>831</v>
      </c>
      <c r="U382" t="str" cm="1">
        <f t="array" ref="U382">Határozat(D382)</f>
        <v/>
      </c>
      <c r="AC382" t="str">
        <f>IFERROR(INDEX(diakadat!$U$2:$U$50,MATCH(D382,diakadat!$J$2:$J$50),1),"")</f>
        <v/>
      </c>
      <c r="AD382" t="str">
        <f>IFERROR(INDEX(diakadat!$V$2:$V$50,MATCH(D382,diakadat!$J$2:$J$50),1),"")</f>
        <v/>
      </c>
      <c r="AE382" t="str">
        <f>IFERROR(INDEX(diakadat!$W$2:$W$50,MATCH(D382,diakadat!$J$2:$J$50),1),"")</f>
        <v/>
      </c>
      <c r="AI382" t="str">
        <f>IFERROR(INDEX(diakadat!$X$2:$X$50,MATCH(D382,diakadat!$J$2:$J$50),1),"")</f>
        <v/>
      </c>
      <c r="AK382">
        <f t="shared" si="5"/>
        <v>329</v>
      </c>
      <c r="AL382" t="str" cm="1">
        <f t="array" ref="AL382">ElsoBetuNagy(R382)</f>
        <v/>
      </c>
      <c r="AO382" t="str" cm="1">
        <f t="array" ref="AO382">DatumSzovegge5(AN382)</f>
        <v>1899.</v>
      </c>
      <c r="AP382" t="str" cm="1">
        <f t="array" ref="AP382">DatumSzovegge3(AN382)</f>
        <v>december</v>
      </c>
      <c r="AQ382" t="str" cm="1">
        <f t="array" ref="AQ382">DatumSzovegge4(AN382)</f>
        <v>30.</v>
      </c>
    </row>
    <row r="383" spans="4:43" x14ac:dyDescent="0.25">
      <c r="D383" t="str" cm="1">
        <f t="array" ref="D383">SzuressNev($B$1,ROW()-1)</f>
        <v/>
      </c>
      <c r="E383">
        <f>COUNTIF($D$2:D383,D383)</f>
        <v>362</v>
      </c>
      <c r="F383" t="str" cm="1">
        <f t="array" ref="F383">ElutasitasEgyOk2(D383,E383)</f>
        <v/>
      </c>
      <c r="G383" t="str">
        <f>IFERROR(INDEX(diakadat!$I$2:$I$50,MATCH(D383,diakadat!$J$2:$J$50,0),1),"")</f>
        <v/>
      </c>
      <c r="H383" t="str">
        <f>IFERROR(INDEX(diakadat!$O$2:$O$50,MATCH(D383,diakadat!$J$2:$J$50,0),1),"")</f>
        <v/>
      </c>
      <c r="I383" t="str">
        <f>IFERROR(INDEX(diakadat!#REF!,MATCH(D383,diakadat!$J$2:$J$50,0),1),"")</f>
        <v/>
      </c>
      <c r="J383" t="str">
        <f>IFERROR(INDEX(diakadat!$K$2:$K$50,MATCH(D383,diakadat!$J$2:$J$50,0),1),"")</f>
        <v/>
      </c>
      <c r="K383" t="str" cm="1">
        <f t="array" ref="K383">IFERROR(DatumSzovegge2(INDEX(diakadat!$L$2:$L$50,MATCH(D383,diakadat!$J$2:$J$50,0),1)),"")</f>
        <v/>
      </c>
      <c r="L383" t="str" cm="1">
        <f t="array" ref="L383">IFERROR(DatumSzovegge5(INDEX(diakadat!$L$2:$L$50,MATCH(D383,diakadat!$J$2:$J$50,0),1)),"")</f>
        <v/>
      </c>
      <c r="M383" t="str" cm="1">
        <f t="array" ref="M383">IFERROR(DatumSzovegge3(INDEX(diakadat!$L$2:$L$50,MATCH(D383,diakadat!$J$2:$J$50,0),1)),"")</f>
        <v/>
      </c>
      <c r="N383" t="str" cm="1">
        <f t="array" ref="N383">IFERROR(DatumSzovegge4(INDEX(diakadat!$L$2:$L$50,MATCH(D383,diakadat!$J$2:$J$50,0),1)),"")</f>
        <v/>
      </c>
      <c r="O383" t="str">
        <f>IFERROR(INDEX(diakadat!$R$2:$R$50,MATCH(D383,diakadat!$J$2:$J$50,0),1),"")</f>
        <v/>
      </c>
      <c r="P383" t="str">
        <f>IFERROR(INDEX(diakadat!$AI$2:$AI$50,MATCH(D383,diakadat!$J$2:$J$50,0),1),"")</f>
        <v/>
      </c>
      <c r="Q383" t="str">
        <f>IFERROR(INDEX('rangsor'!$C$2:$C$343,MATCH(D383,'rangsor'!$A$2:$A$343,0),1),"")</f>
        <v/>
      </c>
      <c r="T383" t="s">
        <v>831</v>
      </c>
      <c r="U383" t="str" cm="1">
        <f t="array" ref="U383">Határozat(D383)</f>
        <v/>
      </c>
      <c r="AC383" t="str">
        <f>IFERROR(INDEX(diakadat!$U$2:$U$50,MATCH(D383,diakadat!$J$2:$J$50),1),"")</f>
        <v/>
      </c>
      <c r="AD383" t="str">
        <f>IFERROR(INDEX(diakadat!$V$2:$V$50,MATCH(D383,diakadat!$J$2:$J$50),1),"")</f>
        <v/>
      </c>
      <c r="AE383" t="str">
        <f>IFERROR(INDEX(diakadat!$W$2:$W$50,MATCH(D383,diakadat!$J$2:$J$50),1),"")</f>
        <v/>
      </c>
      <c r="AI383" t="str">
        <f>IFERROR(INDEX(diakadat!$X$2:$X$50,MATCH(D383,diakadat!$J$2:$J$50),1),"")</f>
        <v/>
      </c>
      <c r="AK383">
        <f t="shared" si="5"/>
        <v>329</v>
      </c>
      <c r="AL383" t="str" cm="1">
        <f t="array" ref="AL383">ElsoBetuNagy(R383)</f>
        <v/>
      </c>
      <c r="AO383" t="str" cm="1">
        <f t="array" ref="AO383">DatumSzovegge5(AN383)</f>
        <v>1899.</v>
      </c>
      <c r="AP383" t="str" cm="1">
        <f t="array" ref="AP383">DatumSzovegge3(AN383)</f>
        <v>december</v>
      </c>
      <c r="AQ383" t="str" cm="1">
        <f t="array" ref="AQ383">DatumSzovegge4(AN383)</f>
        <v>30.</v>
      </c>
    </row>
    <row r="384" spans="4:43" x14ac:dyDescent="0.25">
      <c r="D384" t="str" cm="1">
        <f t="array" ref="D384">SzuressNev($B$1,ROW()-1)</f>
        <v/>
      </c>
      <c r="E384">
        <f>COUNTIF($D$2:D384,D384)</f>
        <v>363</v>
      </c>
      <c r="F384" t="str" cm="1">
        <f t="array" ref="F384">ElutasitasEgyOk2(D384,E384)</f>
        <v/>
      </c>
      <c r="G384" t="str">
        <f>IFERROR(INDEX(diakadat!$I$2:$I$50,MATCH(D384,diakadat!$J$2:$J$50,0),1),"")</f>
        <v/>
      </c>
      <c r="H384" t="str">
        <f>IFERROR(INDEX(diakadat!$O$2:$O$50,MATCH(D384,diakadat!$J$2:$J$50,0),1),"")</f>
        <v/>
      </c>
      <c r="I384" t="str">
        <f>IFERROR(INDEX(diakadat!#REF!,MATCH(D384,diakadat!$J$2:$J$50,0),1),"")</f>
        <v/>
      </c>
      <c r="J384" t="str">
        <f>IFERROR(INDEX(diakadat!$K$2:$K$50,MATCH(D384,diakadat!$J$2:$J$50,0),1),"")</f>
        <v/>
      </c>
      <c r="K384" t="str" cm="1">
        <f t="array" ref="K384">IFERROR(DatumSzovegge2(INDEX(diakadat!$L$2:$L$50,MATCH(D384,diakadat!$J$2:$J$50,0),1)),"")</f>
        <v/>
      </c>
      <c r="L384" t="str" cm="1">
        <f t="array" ref="L384">IFERROR(DatumSzovegge5(INDEX(diakadat!$L$2:$L$50,MATCH(D384,diakadat!$J$2:$J$50,0),1)),"")</f>
        <v/>
      </c>
      <c r="M384" t="str" cm="1">
        <f t="array" ref="M384">IFERROR(DatumSzovegge3(INDEX(diakadat!$L$2:$L$50,MATCH(D384,diakadat!$J$2:$J$50,0),1)),"")</f>
        <v/>
      </c>
      <c r="N384" t="str" cm="1">
        <f t="array" ref="N384">IFERROR(DatumSzovegge4(INDEX(diakadat!$L$2:$L$50,MATCH(D384,diakadat!$J$2:$J$50,0),1)),"")</f>
        <v/>
      </c>
      <c r="O384" t="str">
        <f>IFERROR(INDEX(diakadat!$R$2:$R$50,MATCH(D384,diakadat!$J$2:$J$50,0),1),"")</f>
        <v/>
      </c>
      <c r="P384" t="str">
        <f>IFERROR(INDEX(diakadat!$AI$2:$AI$50,MATCH(D384,diakadat!$J$2:$J$50,0),1),"")</f>
        <v/>
      </c>
      <c r="Q384" t="str">
        <f>IFERROR(INDEX('rangsor'!$C$2:$C$343,MATCH(D384,'rangsor'!$A$2:$A$343,0),1),"")</f>
        <v/>
      </c>
      <c r="T384" t="s">
        <v>831</v>
      </c>
      <c r="U384" t="str" cm="1">
        <f t="array" ref="U384">Határozat(D384)</f>
        <v/>
      </c>
      <c r="AC384" t="str">
        <f>IFERROR(INDEX(diakadat!$U$2:$U$50,MATCH(D384,diakadat!$J$2:$J$50),1),"")</f>
        <v/>
      </c>
      <c r="AD384" t="str">
        <f>IFERROR(INDEX(diakadat!$V$2:$V$50,MATCH(D384,diakadat!$J$2:$J$50),1),"")</f>
        <v/>
      </c>
      <c r="AE384" t="str">
        <f>IFERROR(INDEX(diakadat!$W$2:$W$50,MATCH(D384,diakadat!$J$2:$J$50),1),"")</f>
        <v/>
      </c>
      <c r="AI384" t="str">
        <f>IFERROR(INDEX(diakadat!$X$2:$X$50,MATCH(D384,diakadat!$J$2:$J$50),1),"")</f>
        <v/>
      </c>
      <c r="AK384">
        <f t="shared" si="5"/>
        <v>329</v>
      </c>
      <c r="AL384" t="str" cm="1">
        <f t="array" ref="AL384">ElsoBetuNagy(R384)</f>
        <v/>
      </c>
      <c r="AO384" t="str" cm="1">
        <f t="array" ref="AO384">DatumSzovegge5(AN384)</f>
        <v>1899.</v>
      </c>
      <c r="AP384" t="str" cm="1">
        <f t="array" ref="AP384">DatumSzovegge3(AN384)</f>
        <v>december</v>
      </c>
      <c r="AQ384" t="str" cm="1">
        <f t="array" ref="AQ384">DatumSzovegge4(AN384)</f>
        <v>30.</v>
      </c>
    </row>
    <row r="385" spans="4:43" x14ac:dyDescent="0.25">
      <c r="D385" t="str" cm="1">
        <f t="array" ref="D385">SzuressNev($B$1,ROW()-1)</f>
        <v/>
      </c>
      <c r="E385">
        <f>COUNTIF($D$2:D385,D385)</f>
        <v>364</v>
      </c>
      <c r="F385" t="str" cm="1">
        <f t="array" ref="F385">ElutasitasEgyOk2(D385,E385)</f>
        <v/>
      </c>
      <c r="G385" t="str">
        <f>IFERROR(INDEX(diakadat!$I$2:$I$50,MATCH(D385,diakadat!$J$2:$J$50,0),1),"")</f>
        <v/>
      </c>
      <c r="H385" t="str">
        <f>IFERROR(INDEX(diakadat!$O$2:$O$50,MATCH(D385,diakadat!$J$2:$J$50,0),1),"")</f>
        <v/>
      </c>
      <c r="I385" t="str">
        <f>IFERROR(INDEX(diakadat!#REF!,MATCH(D385,diakadat!$J$2:$J$50,0),1),"")</f>
        <v/>
      </c>
      <c r="J385" t="str">
        <f>IFERROR(INDEX(diakadat!$K$2:$K$50,MATCH(D385,diakadat!$J$2:$J$50,0),1),"")</f>
        <v/>
      </c>
      <c r="K385" t="str" cm="1">
        <f t="array" ref="K385">IFERROR(DatumSzovegge2(INDEX(diakadat!$L$2:$L$50,MATCH(D385,diakadat!$J$2:$J$50,0),1)),"")</f>
        <v/>
      </c>
      <c r="L385" t="str" cm="1">
        <f t="array" ref="L385">IFERROR(DatumSzovegge5(INDEX(diakadat!$L$2:$L$50,MATCH(D385,diakadat!$J$2:$J$50,0),1)),"")</f>
        <v/>
      </c>
      <c r="M385" t="str" cm="1">
        <f t="array" ref="M385">IFERROR(DatumSzovegge3(INDEX(diakadat!$L$2:$L$50,MATCH(D385,diakadat!$J$2:$J$50,0),1)),"")</f>
        <v/>
      </c>
      <c r="N385" t="str" cm="1">
        <f t="array" ref="N385">IFERROR(DatumSzovegge4(INDEX(diakadat!$L$2:$L$50,MATCH(D385,diakadat!$J$2:$J$50,0),1)),"")</f>
        <v/>
      </c>
      <c r="O385" t="str">
        <f>IFERROR(INDEX(diakadat!$R$2:$R$50,MATCH(D385,diakadat!$J$2:$J$50,0),1),"")</f>
        <v/>
      </c>
      <c r="P385" t="str">
        <f>IFERROR(INDEX(diakadat!$AI$2:$AI$50,MATCH(D385,diakadat!$J$2:$J$50,0),1),"")</f>
        <v/>
      </c>
      <c r="Q385" t="str">
        <f>IFERROR(INDEX('rangsor'!$C$2:$C$343,MATCH(D385,'rangsor'!$A$2:$A$343,0),1),"")</f>
        <v/>
      </c>
      <c r="T385" t="s">
        <v>831</v>
      </c>
      <c r="U385" t="str" cm="1">
        <f t="array" ref="U385">Határozat(D385)</f>
        <v/>
      </c>
      <c r="AC385" t="str">
        <f>IFERROR(INDEX(diakadat!$U$2:$U$50,MATCH(D385,diakadat!$J$2:$J$50),1),"")</f>
        <v/>
      </c>
      <c r="AD385" t="str">
        <f>IFERROR(INDEX(diakadat!$V$2:$V$50,MATCH(D385,diakadat!$J$2:$J$50),1),"")</f>
        <v/>
      </c>
      <c r="AE385" t="str">
        <f>IFERROR(INDEX(diakadat!$W$2:$W$50,MATCH(D385,diakadat!$J$2:$J$50),1),"")</f>
        <v/>
      </c>
      <c r="AI385" t="str">
        <f>IFERROR(INDEX(diakadat!$X$2:$X$50,MATCH(D385,diakadat!$J$2:$J$50),1),"")</f>
        <v/>
      </c>
      <c r="AK385">
        <f t="shared" si="5"/>
        <v>329</v>
      </c>
      <c r="AL385" t="str" cm="1">
        <f t="array" ref="AL385">ElsoBetuNagy(R385)</f>
        <v/>
      </c>
      <c r="AO385" t="str" cm="1">
        <f t="array" ref="AO385">DatumSzovegge5(AN385)</f>
        <v>1899.</v>
      </c>
      <c r="AP385" t="str" cm="1">
        <f t="array" ref="AP385">DatumSzovegge3(AN385)</f>
        <v>december</v>
      </c>
      <c r="AQ385" t="str" cm="1">
        <f t="array" ref="AQ385">DatumSzovegge4(AN385)</f>
        <v>30.</v>
      </c>
    </row>
    <row r="386" spans="4:43" x14ac:dyDescent="0.25">
      <c r="D386" t="str" cm="1">
        <f t="array" ref="D386">SzuressNev($B$1,ROW()-1)</f>
        <v/>
      </c>
      <c r="E386">
        <f>COUNTIF($D$2:D386,D386)</f>
        <v>365</v>
      </c>
      <c r="F386" t="str" cm="1">
        <f t="array" ref="F386">ElutasitasEgyOk2(D386,E386)</f>
        <v/>
      </c>
      <c r="G386" t="str">
        <f>IFERROR(INDEX(diakadat!$I$2:$I$50,MATCH(D386,diakadat!$J$2:$J$50,0),1),"")</f>
        <v/>
      </c>
      <c r="H386" t="str">
        <f>IFERROR(INDEX(diakadat!$O$2:$O$50,MATCH(D386,diakadat!$J$2:$J$50,0),1),"")</f>
        <v/>
      </c>
      <c r="I386" t="str">
        <f>IFERROR(INDEX(diakadat!#REF!,MATCH(D386,diakadat!$J$2:$J$50,0),1),"")</f>
        <v/>
      </c>
      <c r="J386" t="str">
        <f>IFERROR(INDEX(diakadat!$K$2:$K$50,MATCH(D386,diakadat!$J$2:$J$50,0),1),"")</f>
        <v/>
      </c>
      <c r="K386" t="str" cm="1">
        <f t="array" ref="K386">IFERROR(DatumSzovegge2(INDEX(diakadat!$L$2:$L$50,MATCH(D386,diakadat!$J$2:$J$50,0),1)),"")</f>
        <v/>
      </c>
      <c r="L386" t="str" cm="1">
        <f t="array" ref="L386">IFERROR(DatumSzovegge5(INDEX(diakadat!$L$2:$L$50,MATCH(D386,diakadat!$J$2:$J$50,0),1)),"")</f>
        <v/>
      </c>
      <c r="M386" t="str" cm="1">
        <f t="array" ref="M386">IFERROR(DatumSzovegge3(INDEX(diakadat!$L$2:$L$50,MATCH(D386,diakadat!$J$2:$J$50,0),1)),"")</f>
        <v/>
      </c>
      <c r="N386" t="str" cm="1">
        <f t="array" ref="N386">IFERROR(DatumSzovegge4(INDEX(diakadat!$L$2:$L$50,MATCH(D386,diakadat!$J$2:$J$50,0),1)),"")</f>
        <v/>
      </c>
      <c r="O386" t="str">
        <f>IFERROR(INDEX(diakadat!$R$2:$R$50,MATCH(D386,diakadat!$J$2:$J$50,0),1),"")</f>
        <v/>
      </c>
      <c r="P386" t="str">
        <f>IFERROR(INDEX(diakadat!$AI$2:$AI$50,MATCH(D386,diakadat!$J$2:$J$50,0),1),"")</f>
        <v/>
      </c>
      <c r="Q386" t="str">
        <f>IFERROR(INDEX('rangsor'!$C$2:$C$343,MATCH(D386,'rangsor'!$A$2:$A$343,0),1),"")</f>
        <v/>
      </c>
      <c r="T386" t="s">
        <v>831</v>
      </c>
      <c r="U386" t="str" cm="1">
        <f t="array" ref="U386">Határozat(D386)</f>
        <v/>
      </c>
      <c r="AC386" t="str">
        <f>IFERROR(INDEX(diakadat!$U$2:$U$50,MATCH(D386,diakadat!$J$2:$J$50),1),"")</f>
        <v/>
      </c>
      <c r="AD386" t="str">
        <f>IFERROR(INDEX(diakadat!$V$2:$V$50,MATCH(D386,diakadat!$J$2:$J$50),1),"")</f>
        <v/>
      </c>
      <c r="AE386" t="str">
        <f>IFERROR(INDEX(diakadat!$W$2:$W$50,MATCH(D386,diakadat!$J$2:$J$50),1),"")</f>
        <v/>
      </c>
      <c r="AI386" t="str">
        <f>IFERROR(INDEX(diakadat!$X$2:$X$50,MATCH(D386,diakadat!$J$2:$J$50),1),"")</f>
        <v/>
      </c>
      <c r="AK386">
        <f t="shared" ref="AK386:AK449" si="6">COUNTIF($AD$2:$AD$350,AD386)</f>
        <v>329</v>
      </c>
      <c r="AL386" t="str" cm="1">
        <f t="array" ref="AL386">ElsoBetuNagy(R386)</f>
        <v/>
      </c>
      <c r="AO386" t="str" cm="1">
        <f t="array" ref="AO386">DatumSzovegge5(AN386)</f>
        <v>1899.</v>
      </c>
      <c r="AP386" t="str" cm="1">
        <f t="array" ref="AP386">DatumSzovegge3(AN386)</f>
        <v>december</v>
      </c>
      <c r="AQ386" t="str" cm="1">
        <f t="array" ref="AQ386">DatumSzovegge4(AN386)</f>
        <v>30.</v>
      </c>
    </row>
    <row r="387" spans="4:43" x14ac:dyDescent="0.25">
      <c r="D387" t="str" cm="1">
        <f t="array" ref="D387">SzuressNev($B$1,ROW()-1)</f>
        <v/>
      </c>
      <c r="E387">
        <f>COUNTIF($D$2:D387,D387)</f>
        <v>366</v>
      </c>
      <c r="F387" t="str" cm="1">
        <f t="array" ref="F387">ElutasitasEgyOk2(D387,E387)</f>
        <v/>
      </c>
      <c r="G387" t="str">
        <f>IFERROR(INDEX(diakadat!$I$2:$I$50,MATCH(D387,diakadat!$J$2:$J$50,0),1),"")</f>
        <v/>
      </c>
      <c r="H387" t="str">
        <f>IFERROR(INDEX(diakadat!$O$2:$O$50,MATCH(D387,diakadat!$J$2:$J$50,0),1),"")</f>
        <v/>
      </c>
      <c r="I387" t="str">
        <f>IFERROR(INDEX(diakadat!#REF!,MATCH(D387,diakadat!$J$2:$J$50,0),1),"")</f>
        <v/>
      </c>
      <c r="J387" t="str">
        <f>IFERROR(INDEX(diakadat!$K$2:$K$50,MATCH(D387,diakadat!$J$2:$J$50,0),1),"")</f>
        <v/>
      </c>
      <c r="K387" t="str" cm="1">
        <f t="array" ref="K387">IFERROR(DatumSzovegge2(INDEX(diakadat!$L$2:$L$50,MATCH(D387,diakadat!$J$2:$J$50,0),1)),"")</f>
        <v/>
      </c>
      <c r="L387" t="str" cm="1">
        <f t="array" ref="L387">IFERROR(DatumSzovegge5(INDEX(diakadat!$L$2:$L$50,MATCH(D387,diakadat!$J$2:$J$50,0),1)),"")</f>
        <v/>
      </c>
      <c r="M387" t="str" cm="1">
        <f t="array" ref="M387">IFERROR(DatumSzovegge3(INDEX(diakadat!$L$2:$L$50,MATCH(D387,diakadat!$J$2:$J$50,0),1)),"")</f>
        <v/>
      </c>
      <c r="N387" t="str" cm="1">
        <f t="array" ref="N387">IFERROR(DatumSzovegge4(INDEX(diakadat!$L$2:$L$50,MATCH(D387,diakadat!$J$2:$J$50,0),1)),"")</f>
        <v/>
      </c>
      <c r="O387" t="str">
        <f>IFERROR(INDEX(diakadat!$R$2:$R$50,MATCH(D387,diakadat!$J$2:$J$50,0),1),"")</f>
        <v/>
      </c>
      <c r="P387" t="str">
        <f>IFERROR(INDEX(diakadat!$AI$2:$AI$50,MATCH(D387,diakadat!$J$2:$J$50,0),1),"")</f>
        <v/>
      </c>
      <c r="Q387" t="str">
        <f>IFERROR(INDEX('rangsor'!$C$2:$C$343,MATCH(D387,'rangsor'!$A$2:$A$343,0),1),"")</f>
        <v/>
      </c>
      <c r="T387" t="s">
        <v>831</v>
      </c>
      <c r="U387" t="str" cm="1">
        <f t="array" ref="U387">Határozat(D387)</f>
        <v/>
      </c>
      <c r="AC387" t="str">
        <f>IFERROR(INDEX(diakadat!$U$2:$U$50,MATCH(D387,diakadat!$J$2:$J$50),1),"")</f>
        <v/>
      </c>
      <c r="AD387" t="str">
        <f>IFERROR(INDEX(diakadat!$V$2:$V$50,MATCH(D387,diakadat!$J$2:$J$50),1),"")</f>
        <v/>
      </c>
      <c r="AE387" t="str">
        <f>IFERROR(INDEX(diakadat!$W$2:$W$50,MATCH(D387,diakadat!$J$2:$J$50),1),"")</f>
        <v/>
      </c>
      <c r="AI387" t="str">
        <f>IFERROR(INDEX(diakadat!$X$2:$X$50,MATCH(D387,diakadat!$J$2:$J$50),1),"")</f>
        <v/>
      </c>
      <c r="AK387">
        <f t="shared" si="6"/>
        <v>329</v>
      </c>
      <c r="AL387" t="str" cm="1">
        <f t="array" ref="AL387">ElsoBetuNagy(R387)</f>
        <v/>
      </c>
      <c r="AO387" t="str" cm="1">
        <f t="array" ref="AO387">DatumSzovegge5(AN387)</f>
        <v>1899.</v>
      </c>
      <c r="AP387" t="str" cm="1">
        <f t="array" ref="AP387">DatumSzovegge3(AN387)</f>
        <v>december</v>
      </c>
      <c r="AQ387" t="str" cm="1">
        <f t="array" ref="AQ387">DatumSzovegge4(AN387)</f>
        <v>30.</v>
      </c>
    </row>
    <row r="388" spans="4:43" x14ac:dyDescent="0.25">
      <c r="D388" t="str" cm="1">
        <f t="array" ref="D388">SzuressNev($B$1,ROW()-1)</f>
        <v/>
      </c>
      <c r="E388">
        <f>COUNTIF($D$2:D388,D388)</f>
        <v>367</v>
      </c>
      <c r="F388" t="str" cm="1">
        <f t="array" ref="F388">ElutasitasEgyOk2(D388,E388)</f>
        <v/>
      </c>
      <c r="G388" t="str">
        <f>IFERROR(INDEX(diakadat!$I$2:$I$50,MATCH(D388,diakadat!$J$2:$J$50,0),1),"")</f>
        <v/>
      </c>
      <c r="H388" t="str">
        <f>IFERROR(INDEX(diakadat!$O$2:$O$50,MATCH(D388,diakadat!$J$2:$J$50,0),1),"")</f>
        <v/>
      </c>
      <c r="I388" t="str">
        <f>IFERROR(INDEX(diakadat!#REF!,MATCH(D388,diakadat!$J$2:$J$50,0),1),"")</f>
        <v/>
      </c>
      <c r="J388" t="str">
        <f>IFERROR(INDEX(diakadat!$K$2:$K$50,MATCH(D388,diakadat!$J$2:$J$50,0),1),"")</f>
        <v/>
      </c>
      <c r="K388" t="str" cm="1">
        <f t="array" ref="K388">IFERROR(DatumSzovegge2(INDEX(diakadat!$L$2:$L$50,MATCH(D388,diakadat!$J$2:$J$50,0),1)),"")</f>
        <v/>
      </c>
      <c r="L388" t="str" cm="1">
        <f t="array" ref="L388">IFERROR(DatumSzovegge5(INDEX(diakadat!$L$2:$L$50,MATCH(D388,diakadat!$J$2:$J$50,0),1)),"")</f>
        <v/>
      </c>
      <c r="M388" t="str" cm="1">
        <f t="array" ref="M388">IFERROR(DatumSzovegge3(INDEX(diakadat!$L$2:$L$50,MATCH(D388,diakadat!$J$2:$J$50,0),1)),"")</f>
        <v/>
      </c>
      <c r="N388" t="str" cm="1">
        <f t="array" ref="N388">IFERROR(DatumSzovegge4(INDEX(diakadat!$L$2:$L$50,MATCH(D388,diakadat!$J$2:$J$50,0),1)),"")</f>
        <v/>
      </c>
      <c r="O388" t="str">
        <f>IFERROR(INDEX(diakadat!$R$2:$R$50,MATCH(D388,diakadat!$J$2:$J$50,0),1),"")</f>
        <v/>
      </c>
      <c r="P388" t="str">
        <f>IFERROR(INDEX(diakadat!$AI$2:$AI$50,MATCH(D388,diakadat!$J$2:$J$50,0),1),"")</f>
        <v/>
      </c>
      <c r="Q388" t="str">
        <f>IFERROR(INDEX('rangsor'!$C$2:$C$343,MATCH(D388,'rangsor'!$A$2:$A$343,0),1),"")</f>
        <v/>
      </c>
      <c r="T388" t="s">
        <v>831</v>
      </c>
      <c r="U388" t="str" cm="1">
        <f t="array" ref="U388">Határozat(D388)</f>
        <v/>
      </c>
      <c r="AC388" t="str">
        <f>IFERROR(INDEX(diakadat!$U$2:$U$50,MATCH(D388,diakadat!$J$2:$J$50),1),"")</f>
        <v/>
      </c>
      <c r="AD388" t="str">
        <f>IFERROR(INDEX(diakadat!$V$2:$V$50,MATCH(D388,diakadat!$J$2:$J$50),1),"")</f>
        <v/>
      </c>
      <c r="AE388" t="str">
        <f>IFERROR(INDEX(diakadat!$W$2:$W$50,MATCH(D388,diakadat!$J$2:$J$50),1),"")</f>
        <v/>
      </c>
      <c r="AI388" t="str">
        <f>IFERROR(INDEX(diakadat!$X$2:$X$50,MATCH(D388,diakadat!$J$2:$J$50),1),"")</f>
        <v/>
      </c>
      <c r="AK388">
        <f t="shared" si="6"/>
        <v>329</v>
      </c>
      <c r="AL388" t="str" cm="1">
        <f t="array" ref="AL388">ElsoBetuNagy(R388)</f>
        <v/>
      </c>
      <c r="AO388" t="str" cm="1">
        <f t="array" ref="AO388">DatumSzovegge5(AN388)</f>
        <v>1899.</v>
      </c>
      <c r="AP388" t="str" cm="1">
        <f t="array" ref="AP388">DatumSzovegge3(AN388)</f>
        <v>december</v>
      </c>
      <c r="AQ388" t="str" cm="1">
        <f t="array" ref="AQ388">DatumSzovegge4(AN388)</f>
        <v>30.</v>
      </c>
    </row>
    <row r="389" spans="4:43" x14ac:dyDescent="0.25">
      <c r="D389" t="str" cm="1">
        <f t="array" ref="D389">SzuressNev($B$1,ROW()-1)</f>
        <v/>
      </c>
      <c r="E389">
        <f>COUNTIF($D$2:D389,D389)</f>
        <v>368</v>
      </c>
      <c r="F389" t="str" cm="1">
        <f t="array" ref="F389">ElutasitasEgyOk2(D389,E389)</f>
        <v/>
      </c>
      <c r="G389" t="str">
        <f>IFERROR(INDEX(diakadat!$I$2:$I$50,MATCH(D389,diakadat!$J$2:$J$50,0),1),"")</f>
        <v/>
      </c>
      <c r="H389" t="str">
        <f>IFERROR(INDEX(diakadat!$O$2:$O$50,MATCH(D389,diakadat!$J$2:$J$50,0),1),"")</f>
        <v/>
      </c>
      <c r="I389" t="str">
        <f>IFERROR(INDEX(diakadat!#REF!,MATCH(D389,diakadat!$J$2:$J$50,0),1),"")</f>
        <v/>
      </c>
      <c r="J389" t="str">
        <f>IFERROR(INDEX(diakadat!$K$2:$K$50,MATCH(D389,diakadat!$J$2:$J$50,0),1),"")</f>
        <v/>
      </c>
      <c r="K389" t="str" cm="1">
        <f t="array" ref="K389">IFERROR(DatumSzovegge2(INDEX(diakadat!$L$2:$L$50,MATCH(D389,diakadat!$J$2:$J$50,0),1)),"")</f>
        <v/>
      </c>
      <c r="L389" t="str" cm="1">
        <f t="array" ref="L389">IFERROR(DatumSzovegge5(INDEX(diakadat!$L$2:$L$50,MATCH(D389,diakadat!$J$2:$J$50,0),1)),"")</f>
        <v/>
      </c>
      <c r="M389" t="str" cm="1">
        <f t="array" ref="M389">IFERROR(DatumSzovegge3(INDEX(diakadat!$L$2:$L$50,MATCH(D389,diakadat!$J$2:$J$50,0),1)),"")</f>
        <v/>
      </c>
      <c r="N389" t="str" cm="1">
        <f t="array" ref="N389">IFERROR(DatumSzovegge4(INDEX(diakadat!$L$2:$L$50,MATCH(D389,diakadat!$J$2:$J$50,0),1)),"")</f>
        <v/>
      </c>
      <c r="O389" t="str">
        <f>IFERROR(INDEX(diakadat!$R$2:$R$50,MATCH(D389,diakadat!$J$2:$J$50,0),1),"")</f>
        <v/>
      </c>
      <c r="P389" t="str">
        <f>IFERROR(INDEX(diakadat!$AI$2:$AI$50,MATCH(D389,diakadat!$J$2:$J$50,0),1),"")</f>
        <v/>
      </c>
      <c r="Q389" t="str">
        <f>IFERROR(INDEX('rangsor'!$C$2:$C$343,MATCH(D389,'rangsor'!$A$2:$A$343,0),1),"")</f>
        <v/>
      </c>
      <c r="T389" t="s">
        <v>831</v>
      </c>
      <c r="U389" t="str" cm="1">
        <f t="array" ref="U389">Határozat(D389)</f>
        <v/>
      </c>
      <c r="AC389" t="str">
        <f>IFERROR(INDEX(diakadat!$U$2:$U$50,MATCH(D389,diakadat!$J$2:$J$50),1),"")</f>
        <v/>
      </c>
      <c r="AD389" t="str">
        <f>IFERROR(INDEX(diakadat!$V$2:$V$50,MATCH(D389,diakadat!$J$2:$J$50),1),"")</f>
        <v/>
      </c>
      <c r="AE389" t="str">
        <f>IFERROR(INDEX(diakadat!$W$2:$W$50,MATCH(D389,diakadat!$J$2:$J$50),1),"")</f>
        <v/>
      </c>
      <c r="AI389" t="str">
        <f>IFERROR(INDEX(diakadat!$X$2:$X$50,MATCH(D389,diakadat!$J$2:$J$50),1),"")</f>
        <v/>
      </c>
      <c r="AK389">
        <f t="shared" si="6"/>
        <v>329</v>
      </c>
      <c r="AL389" t="str" cm="1">
        <f t="array" ref="AL389">ElsoBetuNagy(R389)</f>
        <v/>
      </c>
      <c r="AO389" t="str" cm="1">
        <f t="array" ref="AO389">DatumSzovegge5(AN389)</f>
        <v>1899.</v>
      </c>
      <c r="AP389" t="str" cm="1">
        <f t="array" ref="AP389">DatumSzovegge3(AN389)</f>
        <v>december</v>
      </c>
      <c r="AQ389" t="str" cm="1">
        <f t="array" ref="AQ389">DatumSzovegge4(AN389)</f>
        <v>30.</v>
      </c>
    </row>
    <row r="390" spans="4:43" x14ac:dyDescent="0.25">
      <c r="D390" t="str" cm="1">
        <f t="array" ref="D390">SzuressNev($B$1,ROW()-1)</f>
        <v/>
      </c>
      <c r="E390">
        <f>COUNTIF($D$2:D390,D390)</f>
        <v>369</v>
      </c>
      <c r="F390" t="str" cm="1">
        <f t="array" ref="F390">ElutasitasEgyOk2(D390,E390)</f>
        <v/>
      </c>
      <c r="G390" t="str">
        <f>IFERROR(INDEX(diakadat!$I$2:$I$50,MATCH(D390,diakadat!$J$2:$J$50,0),1),"")</f>
        <v/>
      </c>
      <c r="H390" t="str">
        <f>IFERROR(INDEX(diakadat!$O$2:$O$50,MATCH(D390,diakadat!$J$2:$J$50,0),1),"")</f>
        <v/>
      </c>
      <c r="I390" t="str">
        <f>IFERROR(INDEX(diakadat!#REF!,MATCH(D390,diakadat!$J$2:$J$50,0),1),"")</f>
        <v/>
      </c>
      <c r="J390" t="str">
        <f>IFERROR(INDEX(diakadat!$K$2:$K$50,MATCH(D390,diakadat!$J$2:$J$50,0),1),"")</f>
        <v/>
      </c>
      <c r="K390" t="str" cm="1">
        <f t="array" ref="K390">IFERROR(DatumSzovegge2(INDEX(diakadat!$L$2:$L$50,MATCH(D390,diakadat!$J$2:$J$50,0),1)),"")</f>
        <v/>
      </c>
      <c r="L390" t="str" cm="1">
        <f t="array" ref="L390">IFERROR(DatumSzovegge5(INDEX(diakadat!$L$2:$L$50,MATCH(D390,diakadat!$J$2:$J$50,0),1)),"")</f>
        <v/>
      </c>
      <c r="M390" t="str" cm="1">
        <f t="array" ref="M390">IFERROR(DatumSzovegge3(INDEX(diakadat!$L$2:$L$50,MATCH(D390,diakadat!$J$2:$J$50,0),1)),"")</f>
        <v/>
      </c>
      <c r="N390" t="str" cm="1">
        <f t="array" ref="N390">IFERROR(DatumSzovegge4(INDEX(diakadat!$L$2:$L$50,MATCH(D390,diakadat!$J$2:$J$50,0),1)),"")</f>
        <v/>
      </c>
      <c r="O390" t="str">
        <f>IFERROR(INDEX(diakadat!$R$2:$R$50,MATCH(D390,diakadat!$J$2:$J$50,0),1),"")</f>
        <v/>
      </c>
      <c r="P390" t="str">
        <f>IFERROR(INDEX(diakadat!$AI$2:$AI$50,MATCH(D390,diakadat!$J$2:$J$50,0),1),"")</f>
        <v/>
      </c>
      <c r="Q390" t="str">
        <f>IFERROR(INDEX('rangsor'!$C$2:$C$343,MATCH(D390,'rangsor'!$A$2:$A$343,0),1),"")</f>
        <v/>
      </c>
      <c r="T390" t="s">
        <v>831</v>
      </c>
      <c r="U390" t="str" cm="1">
        <f t="array" ref="U390">Határozat(D390)</f>
        <v/>
      </c>
      <c r="AC390" t="str">
        <f>IFERROR(INDEX(diakadat!$U$2:$U$50,MATCH(D390,diakadat!$J$2:$J$50),1),"")</f>
        <v/>
      </c>
      <c r="AD390" t="str">
        <f>IFERROR(INDEX(diakadat!$V$2:$V$50,MATCH(D390,diakadat!$J$2:$J$50),1),"")</f>
        <v/>
      </c>
      <c r="AE390" t="str">
        <f>IFERROR(INDEX(diakadat!$W$2:$W$50,MATCH(D390,diakadat!$J$2:$J$50),1),"")</f>
        <v/>
      </c>
      <c r="AI390" t="str">
        <f>IFERROR(INDEX(diakadat!$X$2:$X$50,MATCH(D390,diakadat!$J$2:$J$50),1),"")</f>
        <v/>
      </c>
      <c r="AK390">
        <f t="shared" si="6"/>
        <v>329</v>
      </c>
      <c r="AL390" t="str" cm="1">
        <f t="array" ref="AL390">ElsoBetuNagy(R390)</f>
        <v/>
      </c>
      <c r="AO390" t="str" cm="1">
        <f t="array" ref="AO390">DatumSzovegge5(AN390)</f>
        <v>1899.</v>
      </c>
      <c r="AP390" t="str" cm="1">
        <f t="array" ref="AP390">DatumSzovegge3(AN390)</f>
        <v>december</v>
      </c>
      <c r="AQ390" t="str" cm="1">
        <f t="array" ref="AQ390">DatumSzovegge4(AN390)</f>
        <v>30.</v>
      </c>
    </row>
    <row r="391" spans="4:43" x14ac:dyDescent="0.25">
      <c r="D391" t="str" cm="1">
        <f t="array" ref="D391">SzuressNev($B$1,ROW()-1)</f>
        <v/>
      </c>
      <c r="E391">
        <f>COUNTIF($D$2:D391,D391)</f>
        <v>370</v>
      </c>
      <c r="F391" t="str" cm="1">
        <f t="array" ref="F391">ElutasitasEgyOk2(D391,E391)</f>
        <v/>
      </c>
      <c r="G391" t="str">
        <f>IFERROR(INDEX(diakadat!$I$2:$I$50,MATCH(D391,diakadat!$J$2:$J$50,0),1),"")</f>
        <v/>
      </c>
      <c r="H391" t="str">
        <f>IFERROR(INDEX(diakadat!$O$2:$O$50,MATCH(D391,diakadat!$J$2:$J$50,0),1),"")</f>
        <v/>
      </c>
      <c r="I391" t="str">
        <f>IFERROR(INDEX(diakadat!#REF!,MATCH(D391,diakadat!$J$2:$J$50,0),1),"")</f>
        <v/>
      </c>
      <c r="J391" t="str">
        <f>IFERROR(INDEX(diakadat!$K$2:$K$50,MATCH(D391,diakadat!$J$2:$J$50,0),1),"")</f>
        <v/>
      </c>
      <c r="K391" t="str" cm="1">
        <f t="array" ref="K391">IFERROR(DatumSzovegge2(INDEX(diakadat!$L$2:$L$50,MATCH(D391,diakadat!$J$2:$J$50,0),1)),"")</f>
        <v/>
      </c>
      <c r="L391" t="str" cm="1">
        <f t="array" ref="L391">IFERROR(DatumSzovegge5(INDEX(diakadat!$L$2:$L$50,MATCH(D391,diakadat!$J$2:$J$50,0),1)),"")</f>
        <v/>
      </c>
      <c r="M391" t="str" cm="1">
        <f t="array" ref="M391">IFERROR(DatumSzovegge3(INDEX(diakadat!$L$2:$L$50,MATCH(D391,diakadat!$J$2:$J$50,0),1)),"")</f>
        <v/>
      </c>
      <c r="N391" t="str" cm="1">
        <f t="array" ref="N391">IFERROR(DatumSzovegge4(INDEX(diakadat!$L$2:$L$50,MATCH(D391,diakadat!$J$2:$J$50,0),1)),"")</f>
        <v/>
      </c>
      <c r="O391" t="str">
        <f>IFERROR(INDEX(diakadat!$R$2:$R$50,MATCH(D391,diakadat!$J$2:$J$50,0),1),"")</f>
        <v/>
      </c>
      <c r="P391" t="str">
        <f>IFERROR(INDEX(diakadat!$AI$2:$AI$50,MATCH(D391,diakadat!$J$2:$J$50,0),1),"")</f>
        <v/>
      </c>
      <c r="Q391" t="str">
        <f>IFERROR(INDEX('rangsor'!$C$2:$C$343,MATCH(D391,'rangsor'!$A$2:$A$343,0),1),"")</f>
        <v/>
      </c>
      <c r="T391" t="s">
        <v>831</v>
      </c>
      <c r="U391" t="str" cm="1">
        <f t="array" ref="U391">Határozat(D391)</f>
        <v/>
      </c>
      <c r="AC391" t="str">
        <f>IFERROR(INDEX(diakadat!$U$2:$U$50,MATCH(D391,diakadat!$J$2:$J$50),1),"")</f>
        <v/>
      </c>
      <c r="AD391" t="str">
        <f>IFERROR(INDEX(diakadat!$V$2:$V$50,MATCH(D391,diakadat!$J$2:$J$50),1),"")</f>
        <v/>
      </c>
      <c r="AE391" t="str">
        <f>IFERROR(INDEX(diakadat!$W$2:$W$50,MATCH(D391,diakadat!$J$2:$J$50),1),"")</f>
        <v/>
      </c>
      <c r="AI391" t="str">
        <f>IFERROR(INDEX(diakadat!$X$2:$X$50,MATCH(D391,diakadat!$J$2:$J$50),1),"")</f>
        <v/>
      </c>
      <c r="AK391">
        <f t="shared" si="6"/>
        <v>329</v>
      </c>
      <c r="AL391" t="str" cm="1">
        <f t="array" ref="AL391">ElsoBetuNagy(R391)</f>
        <v/>
      </c>
      <c r="AO391" t="str" cm="1">
        <f t="array" ref="AO391">DatumSzovegge5(AN391)</f>
        <v>1899.</v>
      </c>
      <c r="AP391" t="str" cm="1">
        <f t="array" ref="AP391">DatumSzovegge3(AN391)</f>
        <v>december</v>
      </c>
      <c r="AQ391" t="str" cm="1">
        <f t="array" ref="AQ391">DatumSzovegge4(AN391)</f>
        <v>30.</v>
      </c>
    </row>
    <row r="392" spans="4:43" x14ac:dyDescent="0.25">
      <c r="D392" t="str" cm="1">
        <f t="array" ref="D392">SzuressNev($B$1,ROW()-1)</f>
        <v/>
      </c>
      <c r="E392">
        <f>COUNTIF($D$2:D392,D392)</f>
        <v>371</v>
      </c>
      <c r="F392" t="str" cm="1">
        <f t="array" ref="F392">ElutasitasEgyOk2(D392,E392)</f>
        <v/>
      </c>
      <c r="G392" t="str">
        <f>IFERROR(INDEX(diakadat!$I$2:$I$50,MATCH(D392,diakadat!$J$2:$J$50,0),1),"")</f>
        <v/>
      </c>
      <c r="H392" t="str">
        <f>IFERROR(INDEX(diakadat!$O$2:$O$50,MATCH(D392,diakadat!$J$2:$J$50,0),1),"")</f>
        <v/>
      </c>
      <c r="I392" t="str">
        <f>IFERROR(INDEX(diakadat!#REF!,MATCH(D392,diakadat!$J$2:$J$50,0),1),"")</f>
        <v/>
      </c>
      <c r="J392" t="str">
        <f>IFERROR(INDEX(diakadat!$K$2:$K$50,MATCH(D392,diakadat!$J$2:$J$50,0),1),"")</f>
        <v/>
      </c>
      <c r="K392" t="str" cm="1">
        <f t="array" ref="K392">IFERROR(DatumSzovegge2(INDEX(diakadat!$L$2:$L$50,MATCH(D392,diakadat!$J$2:$J$50,0),1)),"")</f>
        <v/>
      </c>
      <c r="L392" t="str" cm="1">
        <f t="array" ref="L392">IFERROR(DatumSzovegge5(INDEX(diakadat!$L$2:$L$50,MATCH(D392,diakadat!$J$2:$J$50,0),1)),"")</f>
        <v/>
      </c>
      <c r="M392" t="str" cm="1">
        <f t="array" ref="M392">IFERROR(DatumSzovegge3(INDEX(diakadat!$L$2:$L$50,MATCH(D392,diakadat!$J$2:$J$50,0),1)),"")</f>
        <v/>
      </c>
      <c r="N392" t="str" cm="1">
        <f t="array" ref="N392">IFERROR(DatumSzovegge4(INDEX(diakadat!$L$2:$L$50,MATCH(D392,diakadat!$J$2:$J$50,0),1)),"")</f>
        <v/>
      </c>
      <c r="O392" t="str">
        <f>IFERROR(INDEX(diakadat!$R$2:$R$50,MATCH(D392,diakadat!$J$2:$J$50,0),1),"")</f>
        <v/>
      </c>
      <c r="P392" t="str">
        <f>IFERROR(INDEX(diakadat!$AI$2:$AI$50,MATCH(D392,diakadat!$J$2:$J$50,0),1),"")</f>
        <v/>
      </c>
      <c r="Q392" t="str">
        <f>IFERROR(INDEX('rangsor'!$C$2:$C$343,MATCH(D392,'rangsor'!$A$2:$A$343,0),1),"")</f>
        <v/>
      </c>
      <c r="T392" t="s">
        <v>831</v>
      </c>
      <c r="U392" t="str" cm="1">
        <f t="array" ref="U392">Határozat(D392)</f>
        <v/>
      </c>
      <c r="AC392" t="str">
        <f>IFERROR(INDEX(diakadat!$U$2:$U$50,MATCH(D392,diakadat!$J$2:$J$50),1),"")</f>
        <v/>
      </c>
      <c r="AD392" t="str">
        <f>IFERROR(INDEX(diakadat!$V$2:$V$50,MATCH(D392,diakadat!$J$2:$J$50),1),"")</f>
        <v/>
      </c>
      <c r="AE392" t="str">
        <f>IFERROR(INDEX(diakadat!$W$2:$W$50,MATCH(D392,diakadat!$J$2:$J$50),1),"")</f>
        <v/>
      </c>
      <c r="AI392" t="str">
        <f>IFERROR(INDEX(diakadat!$X$2:$X$50,MATCH(D392,diakadat!$J$2:$J$50),1),"")</f>
        <v/>
      </c>
      <c r="AK392">
        <f t="shared" si="6"/>
        <v>329</v>
      </c>
      <c r="AL392" t="str" cm="1">
        <f t="array" ref="AL392">ElsoBetuNagy(R392)</f>
        <v/>
      </c>
      <c r="AO392" t="str" cm="1">
        <f t="array" ref="AO392">DatumSzovegge5(AN392)</f>
        <v>1899.</v>
      </c>
      <c r="AP392" t="str" cm="1">
        <f t="array" ref="AP392">DatumSzovegge3(AN392)</f>
        <v>december</v>
      </c>
      <c r="AQ392" t="str" cm="1">
        <f t="array" ref="AQ392">DatumSzovegge4(AN392)</f>
        <v>30.</v>
      </c>
    </row>
    <row r="393" spans="4:43" x14ac:dyDescent="0.25">
      <c r="D393" t="str" cm="1">
        <f t="array" ref="D393">SzuressNev($B$1,ROW()-1)</f>
        <v/>
      </c>
      <c r="E393">
        <f>COUNTIF($D$2:D393,D393)</f>
        <v>372</v>
      </c>
      <c r="F393" t="str" cm="1">
        <f t="array" ref="F393">ElutasitasEgyOk2(D393,E393)</f>
        <v/>
      </c>
      <c r="G393" t="str">
        <f>IFERROR(INDEX(diakadat!$I$2:$I$50,MATCH(D393,diakadat!$J$2:$J$50,0),1),"")</f>
        <v/>
      </c>
      <c r="H393" t="str">
        <f>IFERROR(INDEX(diakadat!$O$2:$O$50,MATCH(D393,diakadat!$J$2:$J$50,0),1),"")</f>
        <v/>
      </c>
      <c r="I393" t="str">
        <f>IFERROR(INDEX(diakadat!#REF!,MATCH(D393,diakadat!$J$2:$J$50,0),1),"")</f>
        <v/>
      </c>
      <c r="J393" t="str">
        <f>IFERROR(INDEX(diakadat!$K$2:$K$50,MATCH(D393,diakadat!$J$2:$J$50,0),1),"")</f>
        <v/>
      </c>
      <c r="K393" t="str" cm="1">
        <f t="array" ref="K393">IFERROR(DatumSzovegge2(INDEX(diakadat!$L$2:$L$50,MATCH(D393,diakadat!$J$2:$J$50,0),1)),"")</f>
        <v/>
      </c>
      <c r="L393" t="str" cm="1">
        <f t="array" ref="L393">IFERROR(DatumSzovegge5(INDEX(diakadat!$L$2:$L$50,MATCH(D393,diakadat!$J$2:$J$50,0),1)),"")</f>
        <v/>
      </c>
      <c r="M393" t="str" cm="1">
        <f t="array" ref="M393">IFERROR(DatumSzovegge3(INDEX(diakadat!$L$2:$L$50,MATCH(D393,diakadat!$J$2:$J$50,0),1)),"")</f>
        <v/>
      </c>
      <c r="N393" t="str" cm="1">
        <f t="array" ref="N393">IFERROR(DatumSzovegge4(INDEX(diakadat!$L$2:$L$50,MATCH(D393,diakadat!$J$2:$J$50,0),1)),"")</f>
        <v/>
      </c>
      <c r="O393" t="str">
        <f>IFERROR(INDEX(diakadat!$R$2:$R$50,MATCH(D393,diakadat!$J$2:$J$50,0),1),"")</f>
        <v/>
      </c>
      <c r="P393" t="str">
        <f>IFERROR(INDEX(diakadat!$AI$2:$AI$50,MATCH(D393,diakadat!$J$2:$J$50,0),1),"")</f>
        <v/>
      </c>
      <c r="Q393" t="str">
        <f>IFERROR(INDEX('rangsor'!$C$2:$C$343,MATCH(D393,'rangsor'!$A$2:$A$343,0),1),"")</f>
        <v/>
      </c>
      <c r="T393" t="s">
        <v>831</v>
      </c>
      <c r="U393" t="str" cm="1">
        <f t="array" ref="U393">Határozat(D393)</f>
        <v/>
      </c>
      <c r="AC393" t="str">
        <f>IFERROR(INDEX(diakadat!$U$2:$U$50,MATCH(D393,diakadat!$J$2:$J$50),1),"")</f>
        <v/>
      </c>
      <c r="AD393" t="str">
        <f>IFERROR(INDEX(diakadat!$V$2:$V$50,MATCH(D393,diakadat!$J$2:$J$50),1),"")</f>
        <v/>
      </c>
      <c r="AE393" t="str">
        <f>IFERROR(INDEX(diakadat!$W$2:$W$50,MATCH(D393,diakadat!$J$2:$J$50),1),"")</f>
        <v/>
      </c>
      <c r="AI393" t="str">
        <f>IFERROR(INDEX(diakadat!$X$2:$X$50,MATCH(D393,diakadat!$J$2:$J$50),1),"")</f>
        <v/>
      </c>
      <c r="AK393">
        <f t="shared" si="6"/>
        <v>329</v>
      </c>
      <c r="AL393" t="str" cm="1">
        <f t="array" ref="AL393">ElsoBetuNagy(R393)</f>
        <v/>
      </c>
      <c r="AO393" t="str" cm="1">
        <f t="array" ref="AO393">DatumSzovegge5(AN393)</f>
        <v>1899.</v>
      </c>
      <c r="AP393" t="str" cm="1">
        <f t="array" ref="AP393">DatumSzovegge3(AN393)</f>
        <v>december</v>
      </c>
      <c r="AQ393" t="str" cm="1">
        <f t="array" ref="AQ393">DatumSzovegge4(AN393)</f>
        <v>30.</v>
      </c>
    </row>
    <row r="394" spans="4:43" x14ac:dyDescent="0.25">
      <c r="D394" t="str" cm="1">
        <f t="array" ref="D394">SzuressNev($B$1,ROW()-1)</f>
        <v/>
      </c>
      <c r="E394">
        <f>COUNTIF($D$2:D394,D394)</f>
        <v>373</v>
      </c>
      <c r="F394" t="str" cm="1">
        <f t="array" ref="F394">ElutasitasEgyOk2(D394,E394)</f>
        <v/>
      </c>
      <c r="G394" t="str">
        <f>IFERROR(INDEX(diakadat!$I$2:$I$50,MATCH(D394,diakadat!$J$2:$J$50,0),1),"")</f>
        <v/>
      </c>
      <c r="H394" t="str">
        <f>IFERROR(INDEX(diakadat!$O$2:$O$50,MATCH(D394,diakadat!$J$2:$J$50,0),1),"")</f>
        <v/>
      </c>
      <c r="I394" t="str">
        <f>IFERROR(INDEX(diakadat!#REF!,MATCH(D394,diakadat!$J$2:$J$50,0),1),"")</f>
        <v/>
      </c>
      <c r="J394" t="str">
        <f>IFERROR(INDEX(diakadat!$K$2:$K$50,MATCH(D394,diakadat!$J$2:$J$50,0),1),"")</f>
        <v/>
      </c>
      <c r="K394" t="str" cm="1">
        <f t="array" ref="K394">IFERROR(DatumSzovegge2(INDEX(diakadat!$L$2:$L$50,MATCH(D394,diakadat!$J$2:$J$50,0),1)),"")</f>
        <v/>
      </c>
      <c r="L394" t="str" cm="1">
        <f t="array" ref="L394">IFERROR(DatumSzovegge5(INDEX(diakadat!$L$2:$L$50,MATCH(D394,diakadat!$J$2:$J$50,0),1)),"")</f>
        <v/>
      </c>
      <c r="M394" t="str" cm="1">
        <f t="array" ref="M394">IFERROR(DatumSzovegge3(INDEX(diakadat!$L$2:$L$50,MATCH(D394,diakadat!$J$2:$J$50,0),1)),"")</f>
        <v/>
      </c>
      <c r="N394" t="str" cm="1">
        <f t="array" ref="N394">IFERROR(DatumSzovegge4(INDEX(diakadat!$L$2:$L$50,MATCH(D394,diakadat!$J$2:$J$50,0),1)),"")</f>
        <v/>
      </c>
      <c r="O394" t="str">
        <f>IFERROR(INDEX(diakadat!$R$2:$R$50,MATCH(D394,diakadat!$J$2:$J$50,0),1),"")</f>
        <v/>
      </c>
      <c r="P394" t="str">
        <f>IFERROR(INDEX(diakadat!$AI$2:$AI$50,MATCH(D394,diakadat!$J$2:$J$50,0),1),"")</f>
        <v/>
      </c>
      <c r="Q394" t="str">
        <f>IFERROR(INDEX('rangsor'!$C$2:$C$343,MATCH(D394,'rangsor'!$A$2:$A$343,0),1),"")</f>
        <v/>
      </c>
      <c r="T394" t="s">
        <v>831</v>
      </c>
      <c r="U394" t="str" cm="1">
        <f t="array" ref="U394">Határozat(D394)</f>
        <v/>
      </c>
      <c r="AC394" t="str">
        <f>IFERROR(INDEX(diakadat!$U$2:$U$50,MATCH(D394,diakadat!$J$2:$J$50),1),"")</f>
        <v/>
      </c>
      <c r="AD394" t="str">
        <f>IFERROR(INDEX(diakadat!$V$2:$V$50,MATCH(D394,diakadat!$J$2:$J$50),1),"")</f>
        <v/>
      </c>
      <c r="AE394" t="str">
        <f>IFERROR(INDEX(diakadat!$W$2:$W$50,MATCH(D394,diakadat!$J$2:$J$50),1),"")</f>
        <v/>
      </c>
      <c r="AI394" t="str">
        <f>IFERROR(INDEX(diakadat!$X$2:$X$50,MATCH(D394,diakadat!$J$2:$J$50),1),"")</f>
        <v/>
      </c>
      <c r="AK394">
        <f t="shared" si="6"/>
        <v>329</v>
      </c>
      <c r="AL394" t="str" cm="1">
        <f t="array" ref="AL394">ElsoBetuNagy(R394)</f>
        <v/>
      </c>
      <c r="AO394" t="str" cm="1">
        <f t="array" ref="AO394">DatumSzovegge5(AN394)</f>
        <v>1899.</v>
      </c>
      <c r="AP394" t="str" cm="1">
        <f t="array" ref="AP394">DatumSzovegge3(AN394)</f>
        <v>december</v>
      </c>
      <c r="AQ394" t="str" cm="1">
        <f t="array" ref="AQ394">DatumSzovegge4(AN394)</f>
        <v>30.</v>
      </c>
    </row>
    <row r="395" spans="4:43" x14ac:dyDescent="0.25">
      <c r="D395" t="str" cm="1">
        <f t="array" ref="D395">SzuressNev($B$1,ROW()-1)</f>
        <v/>
      </c>
      <c r="E395">
        <f>COUNTIF($D$2:D395,D395)</f>
        <v>374</v>
      </c>
      <c r="F395" t="str" cm="1">
        <f t="array" ref="F395">ElutasitasEgyOk2(D395,E395)</f>
        <v/>
      </c>
      <c r="G395" t="str">
        <f>IFERROR(INDEX(diakadat!$I$2:$I$50,MATCH(D395,diakadat!$J$2:$J$50,0),1),"")</f>
        <v/>
      </c>
      <c r="H395" t="str">
        <f>IFERROR(INDEX(diakadat!$O$2:$O$50,MATCH(D395,diakadat!$J$2:$J$50,0),1),"")</f>
        <v/>
      </c>
      <c r="I395" t="str">
        <f>IFERROR(INDEX(diakadat!#REF!,MATCH(D395,diakadat!$J$2:$J$50,0),1),"")</f>
        <v/>
      </c>
      <c r="J395" t="str">
        <f>IFERROR(INDEX(diakadat!$K$2:$K$50,MATCH(D395,diakadat!$J$2:$J$50,0),1),"")</f>
        <v/>
      </c>
      <c r="K395" t="str" cm="1">
        <f t="array" ref="K395">IFERROR(DatumSzovegge2(INDEX(diakadat!$L$2:$L$50,MATCH(D395,diakadat!$J$2:$J$50,0),1)),"")</f>
        <v/>
      </c>
      <c r="L395" t="str" cm="1">
        <f t="array" ref="L395">IFERROR(DatumSzovegge5(INDEX(diakadat!$L$2:$L$50,MATCH(D395,diakadat!$J$2:$J$50,0),1)),"")</f>
        <v/>
      </c>
      <c r="M395" t="str" cm="1">
        <f t="array" ref="M395">IFERROR(DatumSzovegge3(INDEX(diakadat!$L$2:$L$50,MATCH(D395,diakadat!$J$2:$J$50,0),1)),"")</f>
        <v/>
      </c>
      <c r="N395" t="str" cm="1">
        <f t="array" ref="N395">IFERROR(DatumSzovegge4(INDEX(diakadat!$L$2:$L$50,MATCH(D395,diakadat!$J$2:$J$50,0),1)),"")</f>
        <v/>
      </c>
      <c r="O395" t="str">
        <f>IFERROR(INDEX(diakadat!$R$2:$R$50,MATCH(D395,diakadat!$J$2:$J$50,0),1),"")</f>
        <v/>
      </c>
      <c r="P395" t="str">
        <f>IFERROR(INDEX(diakadat!$AI$2:$AI$50,MATCH(D395,diakadat!$J$2:$J$50,0),1),"")</f>
        <v/>
      </c>
      <c r="Q395" t="str">
        <f>IFERROR(INDEX('rangsor'!$C$2:$C$343,MATCH(D395,'rangsor'!$A$2:$A$343,0),1),"")</f>
        <v/>
      </c>
      <c r="T395" t="s">
        <v>831</v>
      </c>
      <c r="U395" t="str" cm="1">
        <f t="array" ref="U395">Határozat(D395)</f>
        <v/>
      </c>
      <c r="AC395" t="str">
        <f>IFERROR(INDEX(diakadat!$U$2:$U$50,MATCH(D395,diakadat!$J$2:$J$50),1),"")</f>
        <v/>
      </c>
      <c r="AD395" t="str">
        <f>IFERROR(INDEX(diakadat!$V$2:$V$50,MATCH(D395,diakadat!$J$2:$J$50),1),"")</f>
        <v/>
      </c>
      <c r="AE395" t="str">
        <f>IFERROR(INDEX(diakadat!$W$2:$W$50,MATCH(D395,diakadat!$J$2:$J$50),1),"")</f>
        <v/>
      </c>
      <c r="AI395" t="str">
        <f>IFERROR(INDEX(diakadat!$X$2:$X$50,MATCH(D395,diakadat!$J$2:$J$50),1),"")</f>
        <v/>
      </c>
      <c r="AK395">
        <f t="shared" si="6"/>
        <v>329</v>
      </c>
      <c r="AL395" t="str" cm="1">
        <f t="array" ref="AL395">ElsoBetuNagy(R395)</f>
        <v/>
      </c>
      <c r="AO395" t="str" cm="1">
        <f t="array" ref="AO395">DatumSzovegge5(AN395)</f>
        <v>1899.</v>
      </c>
      <c r="AP395" t="str" cm="1">
        <f t="array" ref="AP395">DatumSzovegge3(AN395)</f>
        <v>december</v>
      </c>
      <c r="AQ395" t="str" cm="1">
        <f t="array" ref="AQ395">DatumSzovegge4(AN395)</f>
        <v>30.</v>
      </c>
    </row>
    <row r="396" spans="4:43" x14ac:dyDescent="0.25">
      <c r="D396" t="str" cm="1">
        <f t="array" ref="D396">SzuressNev($B$1,ROW()-1)</f>
        <v/>
      </c>
      <c r="E396">
        <f>COUNTIF($D$2:D396,D396)</f>
        <v>375</v>
      </c>
      <c r="F396" t="str" cm="1">
        <f t="array" ref="F396">ElutasitasEgyOk2(D396,E396)</f>
        <v/>
      </c>
      <c r="G396" t="str">
        <f>IFERROR(INDEX(diakadat!$I$2:$I$50,MATCH(D396,diakadat!$J$2:$J$50,0),1),"")</f>
        <v/>
      </c>
      <c r="H396" t="str">
        <f>IFERROR(INDEX(diakadat!$O$2:$O$50,MATCH(D396,diakadat!$J$2:$J$50,0),1),"")</f>
        <v/>
      </c>
      <c r="I396" t="str">
        <f>IFERROR(INDEX(diakadat!#REF!,MATCH(D396,diakadat!$J$2:$J$50,0),1),"")</f>
        <v/>
      </c>
      <c r="J396" t="str">
        <f>IFERROR(INDEX(diakadat!$K$2:$K$50,MATCH(D396,diakadat!$J$2:$J$50,0),1),"")</f>
        <v/>
      </c>
      <c r="K396" t="str" cm="1">
        <f t="array" ref="K396">IFERROR(DatumSzovegge2(INDEX(diakadat!$L$2:$L$50,MATCH(D396,diakadat!$J$2:$J$50,0),1)),"")</f>
        <v/>
      </c>
      <c r="L396" t="str" cm="1">
        <f t="array" ref="L396">IFERROR(DatumSzovegge5(INDEX(diakadat!$L$2:$L$50,MATCH(D396,diakadat!$J$2:$J$50,0),1)),"")</f>
        <v/>
      </c>
      <c r="M396" t="str" cm="1">
        <f t="array" ref="M396">IFERROR(DatumSzovegge3(INDEX(diakadat!$L$2:$L$50,MATCH(D396,diakadat!$J$2:$J$50,0),1)),"")</f>
        <v/>
      </c>
      <c r="N396" t="str" cm="1">
        <f t="array" ref="N396">IFERROR(DatumSzovegge4(INDEX(diakadat!$L$2:$L$50,MATCH(D396,diakadat!$J$2:$J$50,0),1)),"")</f>
        <v/>
      </c>
      <c r="O396" t="str">
        <f>IFERROR(INDEX(diakadat!$R$2:$R$50,MATCH(D396,diakadat!$J$2:$J$50,0),1),"")</f>
        <v/>
      </c>
      <c r="P396" t="str">
        <f>IFERROR(INDEX(diakadat!$AI$2:$AI$50,MATCH(D396,diakadat!$J$2:$J$50,0),1),"")</f>
        <v/>
      </c>
      <c r="Q396" t="str">
        <f>IFERROR(INDEX('rangsor'!$C$2:$C$343,MATCH(D396,'rangsor'!$A$2:$A$343,0),1),"")</f>
        <v/>
      </c>
      <c r="T396" t="s">
        <v>831</v>
      </c>
      <c r="U396" t="str" cm="1">
        <f t="array" ref="U396">Határozat(D396)</f>
        <v/>
      </c>
      <c r="AC396" t="str">
        <f>IFERROR(INDEX(diakadat!$U$2:$U$50,MATCH(D396,diakadat!$J$2:$J$50),1),"")</f>
        <v/>
      </c>
      <c r="AD396" t="str">
        <f>IFERROR(INDEX(diakadat!$V$2:$V$50,MATCH(D396,diakadat!$J$2:$J$50),1),"")</f>
        <v/>
      </c>
      <c r="AE396" t="str">
        <f>IFERROR(INDEX(diakadat!$W$2:$W$50,MATCH(D396,diakadat!$J$2:$J$50),1),"")</f>
        <v/>
      </c>
      <c r="AI396" t="str">
        <f>IFERROR(INDEX(diakadat!$X$2:$X$50,MATCH(D396,diakadat!$J$2:$J$50),1),"")</f>
        <v/>
      </c>
      <c r="AK396">
        <f t="shared" si="6"/>
        <v>329</v>
      </c>
      <c r="AL396" t="str" cm="1">
        <f t="array" ref="AL396">ElsoBetuNagy(R396)</f>
        <v/>
      </c>
      <c r="AO396" t="str" cm="1">
        <f t="array" ref="AO396">DatumSzovegge5(AN396)</f>
        <v>1899.</v>
      </c>
      <c r="AP396" t="str" cm="1">
        <f t="array" ref="AP396">DatumSzovegge3(AN396)</f>
        <v>december</v>
      </c>
      <c r="AQ396" t="str" cm="1">
        <f t="array" ref="AQ396">DatumSzovegge4(AN396)</f>
        <v>30.</v>
      </c>
    </row>
    <row r="397" spans="4:43" x14ac:dyDescent="0.25">
      <c r="D397" t="str" cm="1">
        <f t="array" ref="D397">SzuressNev($B$1,ROW()-1)</f>
        <v/>
      </c>
      <c r="E397">
        <f>COUNTIF($D$2:D397,D397)</f>
        <v>376</v>
      </c>
      <c r="F397" t="str" cm="1">
        <f t="array" ref="F397">ElutasitasEgyOk2(D397,E397)</f>
        <v/>
      </c>
      <c r="G397" t="str">
        <f>IFERROR(INDEX(diakadat!$I$2:$I$50,MATCH(D397,diakadat!$J$2:$J$50,0),1),"")</f>
        <v/>
      </c>
      <c r="H397" t="str">
        <f>IFERROR(INDEX(diakadat!$O$2:$O$50,MATCH(D397,diakadat!$J$2:$J$50,0),1),"")</f>
        <v/>
      </c>
      <c r="I397" t="str">
        <f>IFERROR(INDEX(diakadat!#REF!,MATCH(D397,diakadat!$J$2:$J$50,0),1),"")</f>
        <v/>
      </c>
      <c r="J397" t="str">
        <f>IFERROR(INDEX(diakadat!$K$2:$K$50,MATCH(D397,diakadat!$J$2:$J$50,0),1),"")</f>
        <v/>
      </c>
      <c r="K397" t="str" cm="1">
        <f t="array" ref="K397">IFERROR(DatumSzovegge2(INDEX(diakadat!$L$2:$L$50,MATCH(D397,diakadat!$J$2:$J$50,0),1)),"")</f>
        <v/>
      </c>
      <c r="L397" t="str" cm="1">
        <f t="array" ref="L397">IFERROR(DatumSzovegge5(INDEX(diakadat!$L$2:$L$50,MATCH(D397,diakadat!$J$2:$J$50,0),1)),"")</f>
        <v/>
      </c>
      <c r="M397" t="str" cm="1">
        <f t="array" ref="M397">IFERROR(DatumSzovegge3(INDEX(diakadat!$L$2:$L$50,MATCH(D397,diakadat!$J$2:$J$50,0),1)),"")</f>
        <v/>
      </c>
      <c r="N397" t="str" cm="1">
        <f t="array" ref="N397">IFERROR(DatumSzovegge4(INDEX(diakadat!$L$2:$L$50,MATCH(D397,diakadat!$J$2:$J$50,0),1)),"")</f>
        <v/>
      </c>
      <c r="O397" t="str">
        <f>IFERROR(INDEX(diakadat!$R$2:$R$50,MATCH(D397,diakadat!$J$2:$J$50,0),1),"")</f>
        <v/>
      </c>
      <c r="P397" t="str">
        <f>IFERROR(INDEX(diakadat!$AI$2:$AI$50,MATCH(D397,diakadat!$J$2:$J$50,0),1),"")</f>
        <v/>
      </c>
      <c r="Q397" t="str">
        <f>IFERROR(INDEX('rangsor'!$C$2:$C$343,MATCH(D397,'rangsor'!$A$2:$A$343,0),1),"")</f>
        <v/>
      </c>
      <c r="T397" t="s">
        <v>831</v>
      </c>
      <c r="U397" t="str" cm="1">
        <f t="array" ref="U397">Határozat(D397)</f>
        <v/>
      </c>
      <c r="AC397" t="str">
        <f>IFERROR(INDEX(diakadat!$U$2:$U$50,MATCH(D397,diakadat!$J$2:$J$50),1),"")</f>
        <v/>
      </c>
      <c r="AD397" t="str">
        <f>IFERROR(INDEX(diakadat!$V$2:$V$50,MATCH(D397,diakadat!$J$2:$J$50),1),"")</f>
        <v/>
      </c>
      <c r="AE397" t="str">
        <f>IFERROR(INDEX(diakadat!$W$2:$W$50,MATCH(D397,diakadat!$J$2:$J$50),1),"")</f>
        <v/>
      </c>
      <c r="AI397" t="str">
        <f>IFERROR(INDEX(diakadat!$X$2:$X$50,MATCH(D397,diakadat!$J$2:$J$50),1),"")</f>
        <v/>
      </c>
      <c r="AK397">
        <f t="shared" si="6"/>
        <v>329</v>
      </c>
      <c r="AL397" t="str" cm="1">
        <f t="array" ref="AL397">ElsoBetuNagy(R397)</f>
        <v/>
      </c>
      <c r="AO397" t="str" cm="1">
        <f t="array" ref="AO397">DatumSzovegge5(AN397)</f>
        <v>1899.</v>
      </c>
      <c r="AP397" t="str" cm="1">
        <f t="array" ref="AP397">DatumSzovegge3(AN397)</f>
        <v>december</v>
      </c>
      <c r="AQ397" t="str" cm="1">
        <f t="array" ref="AQ397">DatumSzovegge4(AN397)</f>
        <v>30.</v>
      </c>
    </row>
    <row r="398" spans="4:43" x14ac:dyDescent="0.25">
      <c r="D398" t="str" cm="1">
        <f t="array" ref="D398">SzuressNev($B$1,ROW()-1)</f>
        <v/>
      </c>
      <c r="E398">
        <f>COUNTIF($D$2:D398,D398)</f>
        <v>377</v>
      </c>
      <c r="F398" t="str" cm="1">
        <f t="array" ref="F398">ElutasitasEgyOk2(D398,E398)</f>
        <v/>
      </c>
      <c r="G398" t="str">
        <f>IFERROR(INDEX(diakadat!$I$2:$I$50,MATCH(D398,diakadat!$J$2:$J$50,0),1),"")</f>
        <v/>
      </c>
      <c r="H398" t="str">
        <f>IFERROR(INDEX(diakadat!$O$2:$O$50,MATCH(D398,diakadat!$J$2:$J$50,0),1),"")</f>
        <v/>
      </c>
      <c r="I398" t="str">
        <f>IFERROR(INDEX(diakadat!#REF!,MATCH(D398,diakadat!$J$2:$J$50,0),1),"")</f>
        <v/>
      </c>
      <c r="J398" t="str">
        <f>IFERROR(INDEX(diakadat!$K$2:$K$50,MATCH(D398,diakadat!$J$2:$J$50,0),1),"")</f>
        <v/>
      </c>
      <c r="K398" t="str" cm="1">
        <f t="array" ref="K398">IFERROR(DatumSzovegge2(INDEX(diakadat!$L$2:$L$50,MATCH(D398,diakadat!$J$2:$J$50,0),1)),"")</f>
        <v/>
      </c>
      <c r="L398" t="str" cm="1">
        <f t="array" ref="L398">IFERROR(DatumSzovegge5(INDEX(diakadat!$L$2:$L$50,MATCH(D398,diakadat!$J$2:$J$50,0),1)),"")</f>
        <v/>
      </c>
      <c r="M398" t="str" cm="1">
        <f t="array" ref="M398">IFERROR(DatumSzovegge3(INDEX(diakadat!$L$2:$L$50,MATCH(D398,diakadat!$J$2:$J$50,0),1)),"")</f>
        <v/>
      </c>
      <c r="N398" t="str" cm="1">
        <f t="array" ref="N398">IFERROR(DatumSzovegge4(INDEX(diakadat!$L$2:$L$50,MATCH(D398,diakadat!$J$2:$J$50,0),1)),"")</f>
        <v/>
      </c>
      <c r="O398" t="str">
        <f>IFERROR(INDEX(diakadat!$R$2:$R$50,MATCH(D398,diakadat!$J$2:$J$50,0),1),"")</f>
        <v/>
      </c>
      <c r="P398" t="str">
        <f>IFERROR(INDEX(diakadat!$AI$2:$AI$50,MATCH(D398,diakadat!$J$2:$J$50,0),1),"")</f>
        <v/>
      </c>
      <c r="Q398" t="str">
        <f>IFERROR(INDEX('rangsor'!$C$2:$C$343,MATCH(D398,'rangsor'!$A$2:$A$343,0),1),"")</f>
        <v/>
      </c>
      <c r="T398" t="s">
        <v>831</v>
      </c>
      <c r="U398" t="str" cm="1">
        <f t="array" ref="U398">Határozat(D398)</f>
        <v/>
      </c>
      <c r="AC398" t="str">
        <f>IFERROR(INDEX(diakadat!$U$2:$U$50,MATCH(D398,diakadat!$J$2:$J$50),1),"")</f>
        <v/>
      </c>
      <c r="AD398" t="str">
        <f>IFERROR(INDEX(diakadat!$V$2:$V$50,MATCH(D398,diakadat!$J$2:$J$50),1),"")</f>
        <v/>
      </c>
      <c r="AE398" t="str">
        <f>IFERROR(INDEX(diakadat!$W$2:$W$50,MATCH(D398,diakadat!$J$2:$J$50),1),"")</f>
        <v/>
      </c>
      <c r="AI398" t="str">
        <f>IFERROR(INDEX(diakadat!$X$2:$X$50,MATCH(D398,diakadat!$J$2:$J$50),1),"")</f>
        <v/>
      </c>
      <c r="AK398">
        <f t="shared" si="6"/>
        <v>329</v>
      </c>
      <c r="AL398" t="str" cm="1">
        <f t="array" ref="AL398">ElsoBetuNagy(R398)</f>
        <v/>
      </c>
      <c r="AO398" t="str" cm="1">
        <f t="array" ref="AO398">DatumSzovegge5(AN398)</f>
        <v>1899.</v>
      </c>
      <c r="AP398" t="str" cm="1">
        <f t="array" ref="AP398">DatumSzovegge3(AN398)</f>
        <v>december</v>
      </c>
      <c r="AQ398" t="str" cm="1">
        <f t="array" ref="AQ398">DatumSzovegge4(AN398)</f>
        <v>30.</v>
      </c>
    </row>
    <row r="399" spans="4:43" x14ac:dyDescent="0.25">
      <c r="D399" t="str" cm="1">
        <f t="array" ref="D399">SzuressNev($B$1,ROW()-1)</f>
        <v/>
      </c>
      <c r="E399">
        <f>COUNTIF($D$2:D593,D399)</f>
        <v>572</v>
      </c>
      <c r="F399" t="str" cm="1">
        <f t="array" ref="F399">ElutasitasEgyOk2(D399,E399)</f>
        <v/>
      </c>
      <c r="G399" t="str">
        <f>IFERROR(INDEX(diakadat!$I$2:$I$50,MATCH(D399,diakadat!$J$2:$J$50,0),1),"")</f>
        <v/>
      </c>
      <c r="H399" t="str">
        <f>IFERROR(INDEX(diakadat!$O$2:$O$50,MATCH(D399,diakadat!$J$2:$J$50,0),1),"")</f>
        <v/>
      </c>
      <c r="I399" t="str">
        <f>IFERROR(INDEX(diakadat!#REF!,MATCH(D399,diakadat!$J$2:$J$50,0),1),"")</f>
        <v/>
      </c>
      <c r="J399" t="str">
        <f>IFERROR(INDEX(diakadat!$K$2:$K$50,MATCH(D399,diakadat!$J$2:$J$50,0),1),"")</f>
        <v/>
      </c>
      <c r="K399" t="str" cm="1">
        <f t="array" ref="K399">IFERROR(DatumSzovegge2(INDEX(diakadat!$L$2:$L$50,MATCH(D399,diakadat!$J$2:$J$50,0),1)),"")</f>
        <v/>
      </c>
      <c r="L399" t="str" cm="1">
        <f t="array" ref="L399">IFERROR(DatumSzovegge5(INDEX(diakadat!$L$2:$L$50,MATCH(D399,diakadat!$J$2:$J$50,0),1)),"")</f>
        <v/>
      </c>
      <c r="M399" t="str" cm="1">
        <f t="array" ref="M399">IFERROR(DatumSzovegge3(INDEX(diakadat!$L$2:$L$50,MATCH(D399,diakadat!$J$2:$J$50,0),1)),"")</f>
        <v/>
      </c>
      <c r="N399" t="str" cm="1">
        <f t="array" ref="N399">IFERROR(DatumSzovegge4(INDEX(diakadat!$L$2:$L$50,MATCH(D399,diakadat!$J$2:$J$50,0),1)),"")</f>
        <v/>
      </c>
      <c r="O399" t="str">
        <f>IFERROR(INDEX(diakadat!$R$2:$R$50,MATCH(D399,diakadat!$J$2:$J$50,0),1),"")</f>
        <v/>
      </c>
      <c r="P399" t="str">
        <f>IFERROR(INDEX(diakadat!$AI$2:$AI$50,MATCH(D399,diakadat!$J$2:$J$50,0),1),"")</f>
        <v/>
      </c>
      <c r="Q399" t="str">
        <f>IFERROR(INDEX('rangsor'!$C$2:$C$343,MATCH(D399,'rangsor'!$A$2:$A$343,0),1),"")</f>
        <v/>
      </c>
      <c r="T399" t="s">
        <v>831</v>
      </c>
      <c r="U399" t="str" cm="1">
        <f t="array" ref="U399">Határozat(D399)</f>
        <v/>
      </c>
      <c r="AC399" t="str">
        <f>IFERROR(INDEX(diakadat!$U$2:$U$50,MATCH(D399,diakadat!$J$2:$J$50),1),"")</f>
        <v/>
      </c>
      <c r="AD399" t="str">
        <f>IFERROR(INDEX(diakadat!$V$2:$V$50,MATCH(D399,diakadat!$J$2:$J$50),1),"")</f>
        <v/>
      </c>
      <c r="AE399" t="str">
        <f>IFERROR(INDEX(diakadat!$W$2:$W$50,MATCH(D399,diakadat!$J$2:$J$50),1),"")</f>
        <v/>
      </c>
      <c r="AI399" t="str">
        <f>IFERROR(INDEX(diakadat!$X$2:$X$50,MATCH(D399,diakadat!$J$2:$J$50),1),"")</f>
        <v/>
      </c>
      <c r="AK399">
        <f t="shared" si="6"/>
        <v>329</v>
      </c>
      <c r="AL399" t="str" cm="1">
        <f t="array" ref="AL399">ElsoBetuNagy(R399)</f>
        <v/>
      </c>
      <c r="AO399" t="str" cm="1">
        <f t="array" ref="AO399">DatumSzovegge5(AN399)</f>
        <v>1899.</v>
      </c>
      <c r="AP399" t="str" cm="1">
        <f t="array" ref="AP399">DatumSzovegge3(AN399)</f>
        <v>december</v>
      </c>
      <c r="AQ399" t="str" cm="1">
        <f t="array" ref="AQ399">DatumSzovegge4(AN399)</f>
        <v>30.</v>
      </c>
    </row>
    <row r="400" spans="4:43" x14ac:dyDescent="0.25">
      <c r="D400" t="str" cm="1">
        <f t="array" ref="D400">SzuressNev($B$1,ROW()-1)</f>
        <v/>
      </c>
      <c r="E400">
        <f>COUNTIF($D$2:D400,D400)</f>
        <v>379</v>
      </c>
      <c r="F400" t="str" cm="1">
        <f t="array" ref="F400">ElutasitasEgyOk2(D400,E400)</f>
        <v/>
      </c>
      <c r="G400" t="str">
        <f>IFERROR(INDEX(diakadat!$I$2:$I$50,MATCH(D400,diakadat!$J$2:$J$50,0),1),"")</f>
        <v/>
      </c>
      <c r="H400" t="str">
        <f>IFERROR(INDEX(diakadat!$O$2:$O$50,MATCH(D400,diakadat!$J$2:$J$50,0),1),"")</f>
        <v/>
      </c>
      <c r="I400" t="str">
        <f>IFERROR(INDEX(diakadat!#REF!,MATCH(D400,diakadat!$J$2:$J$50,0),1),"")</f>
        <v/>
      </c>
      <c r="J400" t="str">
        <f>IFERROR(INDEX(diakadat!$K$2:$K$50,MATCH(D400,diakadat!$J$2:$J$50,0),1),"")</f>
        <v/>
      </c>
      <c r="K400" t="str" cm="1">
        <f t="array" ref="K400">IFERROR(DatumSzovegge2(INDEX(diakadat!$L$2:$L$50,MATCH(D400,diakadat!$J$2:$J$50,0),1)),"")</f>
        <v/>
      </c>
      <c r="L400" t="str" cm="1">
        <f t="array" ref="L400">IFERROR(DatumSzovegge5(INDEX(diakadat!$L$2:$L$50,MATCH(D400,diakadat!$J$2:$J$50,0),1)),"")</f>
        <v/>
      </c>
      <c r="M400" t="str" cm="1">
        <f t="array" ref="M400">IFERROR(DatumSzovegge3(INDEX(diakadat!$L$2:$L$50,MATCH(D400,diakadat!$J$2:$J$50,0),1)),"")</f>
        <v/>
      </c>
      <c r="N400" t="str" cm="1">
        <f t="array" ref="N400">IFERROR(DatumSzovegge4(INDEX(diakadat!$L$2:$L$50,MATCH(D400,diakadat!$J$2:$J$50,0),1)),"")</f>
        <v/>
      </c>
      <c r="O400" t="str">
        <f>IFERROR(INDEX(diakadat!$R$2:$R$50,MATCH(D400,diakadat!$J$2:$J$50,0),1),"")</f>
        <v/>
      </c>
      <c r="P400" t="str">
        <f>IFERROR(INDEX(diakadat!$AI$2:$AI$50,MATCH(D400,diakadat!$J$2:$J$50,0),1),"")</f>
        <v/>
      </c>
      <c r="Q400" t="str">
        <f>IFERROR(INDEX('rangsor'!$C$2:$C$343,MATCH(D400,'rangsor'!$A$2:$A$343,0),1),"")</f>
        <v/>
      </c>
      <c r="T400" t="s">
        <v>831</v>
      </c>
      <c r="U400" t="str" cm="1">
        <f t="array" ref="U400">Határozat(D400)</f>
        <v/>
      </c>
      <c r="AC400" t="str">
        <f>IFERROR(INDEX(diakadat!$U$2:$U$50,MATCH(D400,diakadat!$J$2:$J$50),1),"")</f>
        <v/>
      </c>
      <c r="AD400" t="str">
        <f>IFERROR(INDEX(diakadat!$V$2:$V$50,MATCH(D400,diakadat!$J$2:$J$50),1),"")</f>
        <v/>
      </c>
      <c r="AE400" t="str">
        <f>IFERROR(INDEX(diakadat!$W$2:$W$50,MATCH(D400,diakadat!$J$2:$J$50),1),"")</f>
        <v/>
      </c>
      <c r="AI400" t="str">
        <f>IFERROR(INDEX(diakadat!$X$2:$X$50,MATCH(D400,diakadat!$J$2:$J$50),1),"")</f>
        <v/>
      </c>
      <c r="AK400">
        <f t="shared" si="6"/>
        <v>329</v>
      </c>
      <c r="AL400" t="str" cm="1">
        <f t="array" ref="AL400">ElsoBetuNagy(R400)</f>
        <v/>
      </c>
      <c r="AO400" t="str" cm="1">
        <f t="array" ref="AO400">DatumSzovegge5(AN400)</f>
        <v>1899.</v>
      </c>
      <c r="AP400" t="str" cm="1">
        <f t="array" ref="AP400">DatumSzovegge3(AN400)</f>
        <v>december</v>
      </c>
      <c r="AQ400" t="str" cm="1">
        <f t="array" ref="AQ400">DatumSzovegge4(AN400)</f>
        <v>30.</v>
      </c>
    </row>
    <row r="401" spans="4:43" x14ac:dyDescent="0.25">
      <c r="D401" t="str" cm="1">
        <f t="array" ref="D401">SzuressNev($B$1,ROW()-1)</f>
        <v/>
      </c>
      <c r="E401">
        <f>COUNTIF($D$2:D401,D401)</f>
        <v>380</v>
      </c>
      <c r="F401" t="str" cm="1">
        <f t="array" ref="F401">ElutasitasEgyOk2(D401,E401)</f>
        <v/>
      </c>
      <c r="G401" t="str">
        <f>IFERROR(INDEX(diakadat!$I$2:$I$50,MATCH(D401,diakadat!$J$2:$J$50,0),1),"")</f>
        <v/>
      </c>
      <c r="H401" t="str">
        <f>IFERROR(INDEX(diakadat!$O$2:$O$50,MATCH(D401,diakadat!$J$2:$J$50,0),1),"")</f>
        <v/>
      </c>
      <c r="I401" t="str">
        <f>IFERROR(INDEX(diakadat!#REF!,MATCH(D401,diakadat!$J$2:$J$50,0),1),"")</f>
        <v/>
      </c>
      <c r="J401" t="str">
        <f>IFERROR(INDEX(diakadat!$K$2:$K$50,MATCH(D401,diakadat!$J$2:$J$50,0),1),"")</f>
        <v/>
      </c>
      <c r="K401" t="str" cm="1">
        <f t="array" ref="K401">IFERROR(DatumSzovegge2(INDEX(diakadat!$L$2:$L$50,MATCH(D401,diakadat!$J$2:$J$50,0),1)),"")</f>
        <v/>
      </c>
      <c r="L401" t="str" cm="1">
        <f t="array" ref="L401">IFERROR(DatumSzovegge5(INDEX(diakadat!$L$2:$L$50,MATCH(D401,diakadat!$J$2:$J$50,0),1)),"")</f>
        <v/>
      </c>
      <c r="M401" t="str" cm="1">
        <f t="array" ref="M401">IFERROR(DatumSzovegge3(INDEX(diakadat!$L$2:$L$50,MATCH(D401,diakadat!$J$2:$J$50,0),1)),"")</f>
        <v/>
      </c>
      <c r="N401" t="str" cm="1">
        <f t="array" ref="N401">IFERROR(DatumSzovegge4(INDEX(diakadat!$L$2:$L$50,MATCH(D401,diakadat!$J$2:$J$50,0),1)),"")</f>
        <v/>
      </c>
      <c r="O401" t="str">
        <f>IFERROR(INDEX(diakadat!$R$2:$R$50,MATCH(D401,diakadat!$J$2:$J$50,0),1),"")</f>
        <v/>
      </c>
      <c r="P401" t="str">
        <f>IFERROR(INDEX(diakadat!$AI$2:$AI$50,MATCH(D401,diakadat!$J$2:$J$50,0),1),"")</f>
        <v/>
      </c>
      <c r="Q401" t="str">
        <f>IFERROR(INDEX('rangsor'!$C$2:$C$343,MATCH(D401,'rangsor'!$A$2:$A$343,0),1),"")</f>
        <v/>
      </c>
      <c r="T401" t="s">
        <v>831</v>
      </c>
      <c r="U401" t="str" cm="1">
        <f t="array" ref="U401">Határozat(D401)</f>
        <v/>
      </c>
      <c r="AC401" t="str">
        <f>IFERROR(INDEX(diakadat!$U$2:$U$50,MATCH(D401,diakadat!$J$2:$J$50),1),"")</f>
        <v/>
      </c>
      <c r="AD401" t="str">
        <f>IFERROR(INDEX(diakadat!$V$2:$V$50,MATCH(D401,diakadat!$J$2:$J$50),1),"")</f>
        <v/>
      </c>
      <c r="AE401" t="str">
        <f>IFERROR(INDEX(diakadat!$W$2:$W$50,MATCH(D401,diakadat!$J$2:$J$50),1),"")</f>
        <v/>
      </c>
      <c r="AI401" t="str">
        <f>IFERROR(INDEX(diakadat!$X$2:$X$50,MATCH(D401,diakadat!$J$2:$J$50),1),"")</f>
        <v/>
      </c>
      <c r="AK401">
        <f t="shared" si="6"/>
        <v>329</v>
      </c>
      <c r="AL401" t="str" cm="1">
        <f t="array" ref="AL401">ElsoBetuNagy(R401)</f>
        <v/>
      </c>
      <c r="AO401" t="str" cm="1">
        <f t="array" ref="AO401">DatumSzovegge5(AN401)</f>
        <v>1899.</v>
      </c>
      <c r="AP401" t="str" cm="1">
        <f t="array" ref="AP401">DatumSzovegge3(AN401)</f>
        <v>december</v>
      </c>
      <c r="AQ401" t="str" cm="1">
        <f t="array" ref="AQ401">DatumSzovegge4(AN401)</f>
        <v>30.</v>
      </c>
    </row>
    <row r="402" spans="4:43" x14ac:dyDescent="0.25">
      <c r="D402" t="str" cm="1">
        <f t="array" ref="D402">SzuressNev($B$1,ROW()-1)</f>
        <v/>
      </c>
      <c r="E402">
        <f>COUNTIF($D$2:D402,D402)</f>
        <v>381</v>
      </c>
      <c r="F402" t="str" cm="1">
        <f t="array" ref="F402">ElutasitasEgyOk2(D402,E402)</f>
        <v/>
      </c>
      <c r="G402" t="str">
        <f>IFERROR(INDEX(diakadat!$I$2:$I$50,MATCH(D402,diakadat!$J$2:$J$50,0),1),"")</f>
        <v/>
      </c>
      <c r="H402" t="str">
        <f>IFERROR(INDEX(diakadat!$O$2:$O$50,MATCH(D402,diakadat!$J$2:$J$50,0),1),"")</f>
        <v/>
      </c>
      <c r="I402" t="str">
        <f>IFERROR(INDEX(diakadat!#REF!,MATCH(D402,diakadat!$J$2:$J$50,0),1),"")</f>
        <v/>
      </c>
      <c r="J402" t="str">
        <f>IFERROR(INDEX(diakadat!$K$2:$K$50,MATCH(D402,diakadat!$J$2:$J$50,0),1),"")</f>
        <v/>
      </c>
      <c r="K402" t="str" cm="1">
        <f t="array" ref="K402">IFERROR(DatumSzovegge2(INDEX(diakadat!$L$2:$L$50,MATCH(D402,diakadat!$J$2:$J$50,0),1)),"")</f>
        <v/>
      </c>
      <c r="L402" t="str" cm="1">
        <f t="array" ref="L402">IFERROR(DatumSzovegge5(INDEX(diakadat!$L$2:$L$50,MATCH(D402,diakadat!$J$2:$J$50,0),1)),"")</f>
        <v/>
      </c>
      <c r="M402" t="str" cm="1">
        <f t="array" ref="M402">IFERROR(DatumSzovegge3(INDEX(diakadat!$L$2:$L$50,MATCH(D402,diakadat!$J$2:$J$50,0),1)),"")</f>
        <v/>
      </c>
      <c r="N402" t="str" cm="1">
        <f t="array" ref="N402">IFERROR(DatumSzovegge4(INDEX(diakadat!$L$2:$L$50,MATCH(D402,diakadat!$J$2:$J$50,0),1)),"")</f>
        <v/>
      </c>
      <c r="O402" t="str">
        <f>IFERROR(INDEX(diakadat!$R$2:$R$50,MATCH(D402,diakadat!$J$2:$J$50,0),1),"")</f>
        <v/>
      </c>
      <c r="P402" t="str">
        <f>IFERROR(INDEX(diakadat!$AI$2:$AI$50,MATCH(D402,diakadat!$J$2:$J$50,0),1),"")</f>
        <v/>
      </c>
      <c r="Q402" t="str">
        <f>IFERROR(INDEX('rangsor'!$C$2:$C$343,MATCH(D402,'rangsor'!$A$2:$A$343,0),1),"")</f>
        <v/>
      </c>
      <c r="T402" t="s">
        <v>831</v>
      </c>
      <c r="U402" t="str" cm="1">
        <f t="array" ref="U402">Határozat(D402)</f>
        <v/>
      </c>
      <c r="AC402" t="str">
        <f>IFERROR(INDEX(diakadat!$U$2:$U$50,MATCH(D402,diakadat!$J$2:$J$50),1),"")</f>
        <v/>
      </c>
      <c r="AD402" t="str">
        <f>IFERROR(INDEX(diakadat!$V$2:$V$50,MATCH(D402,diakadat!$J$2:$J$50),1),"")</f>
        <v/>
      </c>
      <c r="AE402" t="str">
        <f>IFERROR(INDEX(diakadat!$W$2:$W$50,MATCH(D402,diakadat!$J$2:$J$50),1),"")</f>
        <v/>
      </c>
      <c r="AI402" t="str">
        <f>IFERROR(INDEX(diakadat!$X$2:$X$50,MATCH(D402,diakadat!$J$2:$J$50),1),"")</f>
        <v/>
      </c>
      <c r="AK402">
        <f t="shared" si="6"/>
        <v>329</v>
      </c>
      <c r="AL402" t="str" cm="1">
        <f t="array" ref="AL402">ElsoBetuNagy(R402)</f>
        <v/>
      </c>
      <c r="AO402" t="str" cm="1">
        <f t="array" ref="AO402">DatumSzovegge5(AN402)</f>
        <v>1899.</v>
      </c>
      <c r="AP402" t="str" cm="1">
        <f t="array" ref="AP402">DatumSzovegge3(AN402)</f>
        <v>december</v>
      </c>
      <c r="AQ402" t="str" cm="1">
        <f t="array" ref="AQ402">DatumSzovegge4(AN402)</f>
        <v>30.</v>
      </c>
    </row>
    <row r="403" spans="4:43" x14ac:dyDescent="0.25">
      <c r="D403" t="str" cm="1">
        <f t="array" ref="D403">SzuressNev($B$1,ROW()-1)</f>
        <v/>
      </c>
      <c r="E403">
        <f>COUNTIF($D$2:D403,D403)</f>
        <v>382</v>
      </c>
      <c r="F403" t="str" cm="1">
        <f t="array" ref="F403">ElutasitasEgyOk2(D403,E403)</f>
        <v/>
      </c>
      <c r="G403" t="str">
        <f>IFERROR(INDEX(diakadat!$I$2:$I$50,MATCH(D403,diakadat!$J$2:$J$50,0),1),"")</f>
        <v/>
      </c>
      <c r="H403" t="str">
        <f>IFERROR(INDEX(diakadat!$O$2:$O$50,MATCH(D403,diakadat!$J$2:$J$50,0),1),"")</f>
        <v/>
      </c>
      <c r="I403" t="str">
        <f>IFERROR(INDEX(diakadat!#REF!,MATCH(D403,diakadat!$J$2:$J$50,0),1),"")</f>
        <v/>
      </c>
      <c r="J403" t="str">
        <f>IFERROR(INDEX(diakadat!$K$2:$K$50,MATCH(D403,diakadat!$J$2:$J$50,0),1),"")</f>
        <v/>
      </c>
      <c r="K403" t="str" cm="1">
        <f t="array" ref="K403">IFERROR(DatumSzovegge2(INDEX(diakadat!$L$2:$L$50,MATCH(D403,diakadat!$J$2:$J$50,0),1)),"")</f>
        <v/>
      </c>
      <c r="L403" t="str" cm="1">
        <f t="array" ref="L403">IFERROR(DatumSzovegge5(INDEX(diakadat!$L$2:$L$50,MATCH(D403,diakadat!$J$2:$J$50,0),1)),"")</f>
        <v/>
      </c>
      <c r="M403" t="str" cm="1">
        <f t="array" ref="M403">IFERROR(DatumSzovegge3(INDEX(diakadat!$L$2:$L$50,MATCH(D403,diakadat!$J$2:$J$50,0),1)),"")</f>
        <v/>
      </c>
      <c r="N403" t="str" cm="1">
        <f t="array" ref="N403">IFERROR(DatumSzovegge4(INDEX(diakadat!$L$2:$L$50,MATCH(D403,diakadat!$J$2:$J$50,0),1)),"")</f>
        <v/>
      </c>
      <c r="O403" t="str">
        <f>IFERROR(INDEX(diakadat!$R$2:$R$50,MATCH(D403,diakadat!$J$2:$J$50,0),1),"")</f>
        <v/>
      </c>
      <c r="P403" t="str">
        <f>IFERROR(INDEX(diakadat!$AI$2:$AI$50,MATCH(D403,diakadat!$J$2:$J$50,0),1),"")</f>
        <v/>
      </c>
      <c r="Q403" t="str">
        <f>IFERROR(INDEX('rangsor'!$C$2:$C$343,MATCH(D403,'rangsor'!$A$2:$A$343,0),1),"")</f>
        <v/>
      </c>
      <c r="T403" t="s">
        <v>831</v>
      </c>
      <c r="U403" t="str" cm="1">
        <f t="array" ref="U403">Határozat(D403)</f>
        <v/>
      </c>
      <c r="AC403" t="str">
        <f>IFERROR(INDEX(diakadat!$U$2:$U$50,MATCH(D403,diakadat!$J$2:$J$50),1),"")</f>
        <v/>
      </c>
      <c r="AD403" t="str">
        <f>IFERROR(INDEX(diakadat!$V$2:$V$50,MATCH(D403,diakadat!$J$2:$J$50),1),"")</f>
        <v/>
      </c>
      <c r="AE403" t="str">
        <f>IFERROR(INDEX(diakadat!$W$2:$W$50,MATCH(D403,diakadat!$J$2:$J$50),1),"")</f>
        <v/>
      </c>
      <c r="AI403" t="str">
        <f>IFERROR(INDEX(diakadat!$X$2:$X$50,MATCH(D403,diakadat!$J$2:$J$50),1),"")</f>
        <v/>
      </c>
      <c r="AK403">
        <f t="shared" si="6"/>
        <v>329</v>
      </c>
      <c r="AL403" t="str" cm="1">
        <f t="array" ref="AL403">ElsoBetuNagy(R403)</f>
        <v/>
      </c>
      <c r="AO403" t="str" cm="1">
        <f t="array" ref="AO403">DatumSzovegge5(AN403)</f>
        <v>1899.</v>
      </c>
      <c r="AP403" t="str" cm="1">
        <f t="array" ref="AP403">DatumSzovegge3(AN403)</f>
        <v>december</v>
      </c>
      <c r="AQ403" t="str" cm="1">
        <f t="array" ref="AQ403">DatumSzovegge4(AN403)</f>
        <v>30.</v>
      </c>
    </row>
    <row r="404" spans="4:43" x14ac:dyDescent="0.25">
      <c r="D404" t="str" cm="1">
        <f t="array" ref="D404">SzuressNev($B$1,ROW()-1)</f>
        <v/>
      </c>
      <c r="E404">
        <f>COUNTIF($D$2:D404,D404)</f>
        <v>383</v>
      </c>
      <c r="F404" t="str" cm="1">
        <f t="array" ref="F404">ElutasitasEgyOk2(D404,E404)</f>
        <v/>
      </c>
      <c r="G404" t="str">
        <f>IFERROR(INDEX(diakadat!$I$2:$I$50,MATCH(D404,diakadat!$J$2:$J$50,0),1),"")</f>
        <v/>
      </c>
      <c r="H404" t="str">
        <f>IFERROR(INDEX(diakadat!$O$2:$O$50,MATCH(D404,diakadat!$J$2:$J$50,0),1),"")</f>
        <v/>
      </c>
      <c r="I404" t="str">
        <f>IFERROR(INDEX(diakadat!#REF!,MATCH(D404,diakadat!$J$2:$J$50,0),1),"")</f>
        <v/>
      </c>
      <c r="J404" t="str">
        <f>IFERROR(INDEX(diakadat!$K$2:$K$50,MATCH(D404,diakadat!$J$2:$J$50,0),1),"")</f>
        <v/>
      </c>
      <c r="K404" t="str" cm="1">
        <f t="array" ref="K404">IFERROR(DatumSzovegge2(INDEX(diakadat!$L$2:$L$50,MATCH(D404,diakadat!$J$2:$J$50,0),1)),"")</f>
        <v/>
      </c>
      <c r="L404" t="str" cm="1">
        <f t="array" ref="L404">IFERROR(DatumSzovegge5(INDEX(diakadat!$L$2:$L$50,MATCH(D404,diakadat!$J$2:$J$50,0),1)),"")</f>
        <v/>
      </c>
      <c r="M404" t="str" cm="1">
        <f t="array" ref="M404">IFERROR(DatumSzovegge3(INDEX(diakadat!$L$2:$L$50,MATCH(D404,diakadat!$J$2:$J$50,0),1)),"")</f>
        <v/>
      </c>
      <c r="N404" t="str" cm="1">
        <f t="array" ref="N404">IFERROR(DatumSzovegge4(INDEX(diakadat!$L$2:$L$50,MATCH(D404,diakadat!$J$2:$J$50,0),1)),"")</f>
        <v/>
      </c>
      <c r="O404" t="str">
        <f>IFERROR(INDEX(diakadat!$R$2:$R$50,MATCH(D404,diakadat!$J$2:$J$50,0),1),"")</f>
        <v/>
      </c>
      <c r="P404" t="str">
        <f>IFERROR(INDEX(diakadat!$AI$2:$AI$50,MATCH(D404,diakadat!$J$2:$J$50,0),1),"")</f>
        <v/>
      </c>
      <c r="Q404" t="str">
        <f>IFERROR(INDEX('rangsor'!$C$2:$C$343,MATCH(D404,'rangsor'!$A$2:$A$343,0),1),"")</f>
        <v/>
      </c>
      <c r="T404" t="s">
        <v>831</v>
      </c>
      <c r="U404" t="str" cm="1">
        <f t="array" ref="U404">Határozat(D404)</f>
        <v/>
      </c>
      <c r="AC404" t="str">
        <f>IFERROR(INDEX(diakadat!$U$2:$U$50,MATCH(D404,diakadat!$J$2:$J$50),1),"")</f>
        <v/>
      </c>
      <c r="AD404" t="str">
        <f>IFERROR(INDEX(diakadat!$V$2:$V$50,MATCH(D404,diakadat!$J$2:$J$50),1),"")</f>
        <v/>
      </c>
      <c r="AE404" t="str">
        <f>IFERROR(INDEX(diakadat!$W$2:$W$50,MATCH(D404,diakadat!$J$2:$J$50),1),"")</f>
        <v/>
      </c>
      <c r="AI404" t="str">
        <f>IFERROR(INDEX(diakadat!$X$2:$X$50,MATCH(D404,diakadat!$J$2:$J$50),1),"")</f>
        <v/>
      </c>
      <c r="AK404">
        <f t="shared" si="6"/>
        <v>329</v>
      </c>
      <c r="AL404" t="str" cm="1">
        <f t="array" ref="AL404">ElsoBetuNagy(R404)</f>
        <v/>
      </c>
      <c r="AO404" t="str" cm="1">
        <f t="array" ref="AO404">DatumSzovegge5(AN404)</f>
        <v>1899.</v>
      </c>
      <c r="AP404" t="str" cm="1">
        <f t="array" ref="AP404">DatumSzovegge3(AN404)</f>
        <v>december</v>
      </c>
      <c r="AQ404" t="str" cm="1">
        <f t="array" ref="AQ404">DatumSzovegge4(AN404)</f>
        <v>30.</v>
      </c>
    </row>
    <row r="405" spans="4:43" x14ac:dyDescent="0.25">
      <c r="D405" t="str" cm="1">
        <f t="array" ref="D405">SzuressNev($B$1,ROW()-1)</f>
        <v/>
      </c>
      <c r="E405">
        <f>COUNTIF($D$2:D405,D405)</f>
        <v>384</v>
      </c>
      <c r="F405" t="str" cm="1">
        <f t="array" ref="F405">ElutasitasEgyOk2(D405,E405)</f>
        <v/>
      </c>
      <c r="G405" t="str">
        <f>IFERROR(INDEX(diakadat!$I$2:$I$50,MATCH(D405,diakadat!$J$2:$J$50,0),1),"")</f>
        <v/>
      </c>
      <c r="H405" t="str">
        <f>IFERROR(INDEX(diakadat!$O$2:$O$50,MATCH(D405,diakadat!$J$2:$J$50,0),1),"")</f>
        <v/>
      </c>
      <c r="I405" t="str">
        <f>IFERROR(INDEX(diakadat!#REF!,MATCH(D405,diakadat!$J$2:$J$50,0),1),"")</f>
        <v/>
      </c>
      <c r="J405" t="str">
        <f>IFERROR(INDEX(diakadat!$K$2:$K$50,MATCH(D405,diakadat!$J$2:$J$50,0),1),"")</f>
        <v/>
      </c>
      <c r="K405" t="str" cm="1">
        <f t="array" ref="K405">IFERROR(DatumSzovegge2(INDEX(diakadat!$L$2:$L$50,MATCH(D405,diakadat!$J$2:$J$50,0),1)),"")</f>
        <v/>
      </c>
      <c r="L405" t="str" cm="1">
        <f t="array" ref="L405">IFERROR(DatumSzovegge5(INDEX(diakadat!$L$2:$L$50,MATCH(D405,diakadat!$J$2:$J$50,0),1)),"")</f>
        <v/>
      </c>
      <c r="M405" t="str" cm="1">
        <f t="array" ref="M405">IFERROR(DatumSzovegge3(INDEX(diakadat!$L$2:$L$50,MATCH(D405,diakadat!$J$2:$J$50,0),1)),"")</f>
        <v/>
      </c>
      <c r="N405" t="str" cm="1">
        <f t="array" ref="N405">IFERROR(DatumSzovegge4(INDEX(diakadat!$L$2:$L$50,MATCH(D405,diakadat!$J$2:$J$50,0),1)),"")</f>
        <v/>
      </c>
      <c r="O405" t="str">
        <f>IFERROR(INDEX(diakadat!$R$2:$R$50,MATCH(D405,diakadat!$J$2:$J$50,0),1),"")</f>
        <v/>
      </c>
      <c r="P405" t="str">
        <f>IFERROR(INDEX(diakadat!$AI$2:$AI$50,MATCH(D405,diakadat!$J$2:$J$50,0),1),"")</f>
        <v/>
      </c>
      <c r="Q405" t="str">
        <f>IFERROR(INDEX('rangsor'!$C$2:$C$343,MATCH(D405,'rangsor'!$A$2:$A$343,0),1),"")</f>
        <v/>
      </c>
      <c r="T405" t="s">
        <v>831</v>
      </c>
      <c r="U405" t="str" cm="1">
        <f t="array" ref="U405">Határozat(D405)</f>
        <v/>
      </c>
      <c r="AC405" t="str">
        <f>IFERROR(INDEX(diakadat!$U$2:$U$50,MATCH(D405,diakadat!$J$2:$J$50),1),"")</f>
        <v/>
      </c>
      <c r="AD405" t="str">
        <f>IFERROR(INDEX(diakadat!$V$2:$V$50,MATCH(D405,diakadat!$J$2:$J$50),1),"")</f>
        <v/>
      </c>
      <c r="AE405" t="str">
        <f>IFERROR(INDEX(diakadat!$W$2:$W$50,MATCH(D405,diakadat!$J$2:$J$50),1),"")</f>
        <v/>
      </c>
      <c r="AI405" t="str">
        <f>IFERROR(INDEX(diakadat!$X$2:$X$50,MATCH(D405,diakadat!$J$2:$J$50),1),"")</f>
        <v/>
      </c>
      <c r="AK405">
        <f t="shared" si="6"/>
        <v>329</v>
      </c>
      <c r="AL405" t="str" cm="1">
        <f t="array" ref="AL405">ElsoBetuNagy(R405)</f>
        <v/>
      </c>
      <c r="AO405" t="str" cm="1">
        <f t="array" ref="AO405">DatumSzovegge5(AN405)</f>
        <v>1899.</v>
      </c>
      <c r="AP405" t="str" cm="1">
        <f t="array" ref="AP405">DatumSzovegge3(AN405)</f>
        <v>december</v>
      </c>
      <c r="AQ405" t="str" cm="1">
        <f t="array" ref="AQ405">DatumSzovegge4(AN405)</f>
        <v>30.</v>
      </c>
    </row>
    <row r="406" spans="4:43" x14ac:dyDescent="0.25">
      <c r="D406" t="str" cm="1">
        <f t="array" ref="D406">SzuressNev($B$1,ROW()-1)</f>
        <v/>
      </c>
      <c r="E406">
        <f>COUNTIF($D$2:D406,D406)</f>
        <v>385</v>
      </c>
      <c r="F406" t="str" cm="1">
        <f t="array" ref="F406">ElutasitasEgyOk2(D406,E406)</f>
        <v/>
      </c>
      <c r="G406" t="str">
        <f>IFERROR(INDEX(diakadat!$I$2:$I$50,MATCH(D406,diakadat!$J$2:$J$50,0),1),"")</f>
        <v/>
      </c>
      <c r="H406" t="str">
        <f>IFERROR(INDEX(diakadat!$O$2:$O$50,MATCH(D406,diakadat!$J$2:$J$50,0),1),"")</f>
        <v/>
      </c>
      <c r="I406" t="str">
        <f>IFERROR(INDEX(diakadat!#REF!,MATCH(D406,diakadat!$J$2:$J$50,0),1),"")</f>
        <v/>
      </c>
      <c r="J406" t="str">
        <f>IFERROR(INDEX(diakadat!$K$2:$K$50,MATCH(D406,diakadat!$J$2:$J$50,0),1),"")</f>
        <v/>
      </c>
      <c r="K406" t="str" cm="1">
        <f t="array" ref="K406">IFERROR(DatumSzovegge2(INDEX(diakadat!$L$2:$L$50,MATCH(D406,diakadat!$J$2:$J$50,0),1)),"")</f>
        <v/>
      </c>
      <c r="L406" t="str" cm="1">
        <f t="array" ref="L406">IFERROR(DatumSzovegge5(INDEX(diakadat!$L$2:$L$50,MATCH(D406,diakadat!$J$2:$J$50,0),1)),"")</f>
        <v/>
      </c>
      <c r="M406" t="str" cm="1">
        <f t="array" ref="M406">IFERROR(DatumSzovegge3(INDEX(diakadat!$L$2:$L$50,MATCH(D406,diakadat!$J$2:$J$50,0),1)),"")</f>
        <v/>
      </c>
      <c r="N406" t="str" cm="1">
        <f t="array" ref="N406">IFERROR(DatumSzovegge4(INDEX(diakadat!$L$2:$L$50,MATCH(D406,diakadat!$J$2:$J$50,0),1)),"")</f>
        <v/>
      </c>
      <c r="O406" t="str">
        <f>IFERROR(INDEX(diakadat!$R$2:$R$50,MATCH(D406,diakadat!$J$2:$J$50,0),1),"")</f>
        <v/>
      </c>
      <c r="P406" t="str">
        <f>IFERROR(INDEX(diakadat!$AI$2:$AI$50,MATCH(D406,diakadat!$J$2:$J$50,0),1),"")</f>
        <v/>
      </c>
      <c r="Q406" t="str">
        <f>IFERROR(INDEX('rangsor'!$C$2:$C$343,MATCH(D406,'rangsor'!$A$2:$A$343,0),1),"")</f>
        <v/>
      </c>
      <c r="T406" t="s">
        <v>831</v>
      </c>
      <c r="U406" t="str" cm="1">
        <f t="array" ref="U406">Határozat(D406)</f>
        <v/>
      </c>
      <c r="AC406" t="str">
        <f>IFERROR(INDEX(diakadat!$U$2:$U$50,MATCH(D406,diakadat!$J$2:$J$50),1),"")</f>
        <v/>
      </c>
      <c r="AD406" t="str">
        <f>IFERROR(INDEX(diakadat!$V$2:$V$50,MATCH(D406,diakadat!$J$2:$J$50),1),"")</f>
        <v/>
      </c>
      <c r="AE406" t="str">
        <f>IFERROR(INDEX(diakadat!$W$2:$W$50,MATCH(D406,diakadat!$J$2:$J$50),1),"")</f>
        <v/>
      </c>
      <c r="AI406" t="str">
        <f>IFERROR(INDEX(diakadat!$X$2:$X$50,MATCH(D406,diakadat!$J$2:$J$50),1),"")</f>
        <v/>
      </c>
      <c r="AK406">
        <f t="shared" si="6"/>
        <v>329</v>
      </c>
      <c r="AL406" t="str" cm="1">
        <f t="array" ref="AL406">ElsoBetuNagy(R406)</f>
        <v/>
      </c>
      <c r="AO406" t="str" cm="1">
        <f t="array" ref="AO406">DatumSzovegge5(AN406)</f>
        <v>1899.</v>
      </c>
      <c r="AP406" t="str" cm="1">
        <f t="array" ref="AP406">DatumSzovegge3(AN406)</f>
        <v>december</v>
      </c>
      <c r="AQ406" t="str" cm="1">
        <f t="array" ref="AQ406">DatumSzovegge4(AN406)</f>
        <v>30.</v>
      </c>
    </row>
    <row r="407" spans="4:43" x14ac:dyDescent="0.25">
      <c r="D407" t="str" cm="1">
        <f t="array" ref="D407">SzuressNev($B$1,ROW()-1)</f>
        <v/>
      </c>
      <c r="E407">
        <f>COUNTIF($D$2:D407,D407)</f>
        <v>386</v>
      </c>
      <c r="F407" t="str" cm="1">
        <f t="array" ref="F407">ElutasitasEgyOk2(D407,E407)</f>
        <v/>
      </c>
      <c r="G407" t="str">
        <f>IFERROR(INDEX(diakadat!$I$2:$I$50,MATCH(D407,diakadat!$J$2:$J$50,0),1),"")</f>
        <v/>
      </c>
      <c r="H407" t="str">
        <f>IFERROR(INDEX(diakadat!$O$2:$O$50,MATCH(D407,diakadat!$J$2:$J$50,0),1),"")</f>
        <v/>
      </c>
      <c r="I407" t="str">
        <f>IFERROR(INDEX(diakadat!#REF!,MATCH(D407,diakadat!$J$2:$J$50,0),1),"")</f>
        <v/>
      </c>
      <c r="J407" t="str">
        <f>IFERROR(INDEX(diakadat!$K$2:$K$50,MATCH(D407,diakadat!$J$2:$J$50,0),1),"")</f>
        <v/>
      </c>
      <c r="K407" t="str" cm="1">
        <f t="array" ref="K407">IFERROR(DatumSzovegge2(INDEX(diakadat!$L$2:$L$50,MATCH(D407,diakadat!$J$2:$J$50,0),1)),"")</f>
        <v/>
      </c>
      <c r="L407" t="str" cm="1">
        <f t="array" ref="L407">IFERROR(DatumSzovegge5(INDEX(diakadat!$L$2:$L$50,MATCH(D407,diakadat!$J$2:$J$50,0),1)),"")</f>
        <v/>
      </c>
      <c r="M407" t="str" cm="1">
        <f t="array" ref="M407">IFERROR(DatumSzovegge3(INDEX(diakadat!$L$2:$L$50,MATCH(D407,diakadat!$J$2:$J$50,0),1)),"")</f>
        <v/>
      </c>
      <c r="N407" t="str" cm="1">
        <f t="array" ref="N407">IFERROR(DatumSzovegge4(INDEX(diakadat!$L$2:$L$50,MATCH(D407,diakadat!$J$2:$J$50,0),1)),"")</f>
        <v/>
      </c>
      <c r="O407" t="str">
        <f>IFERROR(INDEX(diakadat!$R$2:$R$50,MATCH(D407,diakadat!$J$2:$J$50,0),1),"")</f>
        <v/>
      </c>
      <c r="P407" t="str">
        <f>IFERROR(INDEX(diakadat!$AI$2:$AI$50,MATCH(D407,diakadat!$J$2:$J$50,0),1),"")</f>
        <v/>
      </c>
      <c r="Q407" t="str">
        <f>IFERROR(INDEX('rangsor'!$C$2:$C$343,MATCH(D407,'rangsor'!$A$2:$A$343,0),1),"")</f>
        <v/>
      </c>
      <c r="T407" t="s">
        <v>831</v>
      </c>
      <c r="U407" t="str" cm="1">
        <f t="array" ref="U407">Határozat(D407)</f>
        <v/>
      </c>
      <c r="AC407" t="str">
        <f>IFERROR(INDEX(diakadat!$U$2:$U$50,MATCH(D407,diakadat!$J$2:$J$50),1),"")</f>
        <v/>
      </c>
      <c r="AD407" t="str">
        <f>IFERROR(INDEX(diakadat!$V$2:$V$50,MATCH(D407,diakadat!$J$2:$J$50),1),"")</f>
        <v/>
      </c>
      <c r="AE407" t="str">
        <f>IFERROR(INDEX(diakadat!$W$2:$W$50,MATCH(D407,diakadat!$J$2:$J$50),1),"")</f>
        <v/>
      </c>
      <c r="AI407" t="str">
        <f>IFERROR(INDEX(diakadat!$X$2:$X$50,MATCH(D407,diakadat!$J$2:$J$50),1),"")</f>
        <v/>
      </c>
      <c r="AK407">
        <f t="shared" si="6"/>
        <v>329</v>
      </c>
      <c r="AL407" t="str" cm="1">
        <f t="array" ref="AL407">ElsoBetuNagy(R407)</f>
        <v/>
      </c>
      <c r="AO407" t="str" cm="1">
        <f t="array" ref="AO407">DatumSzovegge5(AN407)</f>
        <v>1899.</v>
      </c>
      <c r="AP407" t="str" cm="1">
        <f t="array" ref="AP407">DatumSzovegge3(AN407)</f>
        <v>december</v>
      </c>
      <c r="AQ407" t="str" cm="1">
        <f t="array" ref="AQ407">DatumSzovegge4(AN407)</f>
        <v>30.</v>
      </c>
    </row>
    <row r="408" spans="4:43" x14ac:dyDescent="0.25">
      <c r="D408" t="str" cm="1">
        <f t="array" ref="D408">SzuressNev($B$1,ROW()-1)</f>
        <v/>
      </c>
      <c r="E408">
        <f>COUNTIF($D$2:D408,D408)</f>
        <v>387</v>
      </c>
      <c r="F408" t="str" cm="1">
        <f t="array" ref="F408">ElutasitasEgyOk2(D408,E408)</f>
        <v/>
      </c>
      <c r="G408" t="str">
        <f>IFERROR(INDEX(diakadat!$I$2:$I$50,MATCH(D408,diakadat!$J$2:$J$50,0),1),"")</f>
        <v/>
      </c>
      <c r="H408" t="str">
        <f>IFERROR(INDEX(diakadat!$O$2:$O$50,MATCH(D408,diakadat!$J$2:$J$50,0),1),"")</f>
        <v/>
      </c>
      <c r="I408" t="str">
        <f>IFERROR(INDEX(diakadat!#REF!,MATCH(D408,diakadat!$J$2:$J$50,0),1),"")</f>
        <v/>
      </c>
      <c r="J408" t="str">
        <f>IFERROR(INDEX(diakadat!$K$2:$K$50,MATCH(D408,diakadat!$J$2:$J$50,0),1),"")</f>
        <v/>
      </c>
      <c r="K408" t="str" cm="1">
        <f t="array" ref="K408">IFERROR(DatumSzovegge2(INDEX(diakadat!$L$2:$L$50,MATCH(D408,diakadat!$J$2:$J$50,0),1)),"")</f>
        <v/>
      </c>
      <c r="L408" t="str" cm="1">
        <f t="array" ref="L408">IFERROR(DatumSzovegge5(INDEX(diakadat!$L$2:$L$50,MATCH(D408,diakadat!$J$2:$J$50,0),1)),"")</f>
        <v/>
      </c>
      <c r="M408" t="str" cm="1">
        <f t="array" ref="M408">IFERROR(DatumSzovegge3(INDEX(diakadat!$L$2:$L$50,MATCH(D408,diakadat!$J$2:$J$50,0),1)),"")</f>
        <v/>
      </c>
      <c r="N408" t="str" cm="1">
        <f t="array" ref="N408">IFERROR(DatumSzovegge4(INDEX(diakadat!$L$2:$L$50,MATCH(D408,diakadat!$J$2:$J$50,0),1)),"")</f>
        <v/>
      </c>
      <c r="O408" t="str">
        <f>IFERROR(INDEX(diakadat!$R$2:$R$50,MATCH(D408,diakadat!$J$2:$J$50,0),1),"")</f>
        <v/>
      </c>
      <c r="P408" t="str">
        <f>IFERROR(INDEX(diakadat!$AI$2:$AI$50,MATCH(D408,diakadat!$J$2:$J$50,0),1),"")</f>
        <v/>
      </c>
      <c r="Q408" t="str">
        <f>IFERROR(INDEX('rangsor'!$C$2:$C$343,MATCH(D408,'rangsor'!$A$2:$A$343,0),1),"")</f>
        <v/>
      </c>
      <c r="T408" t="s">
        <v>831</v>
      </c>
      <c r="U408" t="str" cm="1">
        <f t="array" ref="U408">Határozat(D408)</f>
        <v/>
      </c>
      <c r="AC408" t="str">
        <f>IFERROR(INDEX(diakadat!$U$2:$U$50,MATCH(D408,diakadat!$J$2:$J$50),1),"")</f>
        <v/>
      </c>
      <c r="AD408" t="str">
        <f>IFERROR(INDEX(diakadat!$V$2:$V$50,MATCH(D408,diakadat!$J$2:$J$50),1),"")</f>
        <v/>
      </c>
      <c r="AE408" t="str">
        <f>IFERROR(INDEX(diakadat!$W$2:$W$50,MATCH(D408,diakadat!$J$2:$J$50),1),"")</f>
        <v/>
      </c>
      <c r="AI408" t="str">
        <f>IFERROR(INDEX(diakadat!$X$2:$X$50,MATCH(D408,diakadat!$J$2:$J$50),1),"")</f>
        <v/>
      </c>
      <c r="AK408">
        <f t="shared" si="6"/>
        <v>329</v>
      </c>
      <c r="AL408" t="str" cm="1">
        <f t="array" ref="AL408">ElsoBetuNagy(R408)</f>
        <v/>
      </c>
      <c r="AO408" t="str" cm="1">
        <f t="array" ref="AO408">DatumSzovegge5(AN408)</f>
        <v>1899.</v>
      </c>
      <c r="AP408" t="str" cm="1">
        <f t="array" ref="AP408">DatumSzovegge3(AN408)</f>
        <v>december</v>
      </c>
      <c r="AQ408" t="str" cm="1">
        <f t="array" ref="AQ408">DatumSzovegge4(AN408)</f>
        <v>30.</v>
      </c>
    </row>
    <row r="409" spans="4:43" x14ac:dyDescent="0.25">
      <c r="D409" t="str" cm="1">
        <f t="array" ref="D409">SzuressNev($B$1,ROW()-1)</f>
        <v/>
      </c>
      <c r="E409">
        <f>COUNTIF($D$2:D409,D409)</f>
        <v>388</v>
      </c>
      <c r="F409" t="str" cm="1">
        <f t="array" ref="F409">ElutasitasEgyOk2(D409,E409)</f>
        <v/>
      </c>
      <c r="G409" t="str">
        <f>IFERROR(INDEX(diakadat!$I$2:$I$50,MATCH(D409,diakadat!$J$2:$J$50,0),1),"")</f>
        <v/>
      </c>
      <c r="H409" t="str">
        <f>IFERROR(INDEX(diakadat!$O$2:$O$50,MATCH(D409,diakadat!$J$2:$J$50,0),1),"")</f>
        <v/>
      </c>
      <c r="I409" t="str">
        <f>IFERROR(INDEX(diakadat!#REF!,MATCH(D409,diakadat!$J$2:$J$50,0),1),"")</f>
        <v/>
      </c>
      <c r="J409" t="str">
        <f>IFERROR(INDEX(diakadat!$K$2:$K$50,MATCH(D409,diakadat!$J$2:$J$50,0),1),"")</f>
        <v/>
      </c>
      <c r="K409" t="str" cm="1">
        <f t="array" ref="K409">IFERROR(DatumSzovegge2(INDEX(diakadat!$L$2:$L$50,MATCH(D409,diakadat!$J$2:$J$50,0),1)),"")</f>
        <v/>
      </c>
      <c r="L409" t="str" cm="1">
        <f t="array" ref="L409">IFERROR(DatumSzovegge5(INDEX(diakadat!$L$2:$L$50,MATCH(D409,diakadat!$J$2:$J$50,0),1)),"")</f>
        <v/>
      </c>
      <c r="M409" t="str" cm="1">
        <f t="array" ref="M409">IFERROR(DatumSzovegge3(INDEX(diakadat!$L$2:$L$50,MATCH(D409,diakadat!$J$2:$J$50,0),1)),"")</f>
        <v/>
      </c>
      <c r="N409" t="str" cm="1">
        <f t="array" ref="N409">IFERROR(DatumSzovegge4(INDEX(diakadat!$L$2:$L$50,MATCH(D409,diakadat!$J$2:$J$50,0),1)),"")</f>
        <v/>
      </c>
      <c r="O409" t="str">
        <f>IFERROR(INDEX(diakadat!$R$2:$R$50,MATCH(D409,diakadat!$J$2:$J$50,0),1),"")</f>
        <v/>
      </c>
      <c r="P409" t="str">
        <f>IFERROR(INDEX(diakadat!$AI$2:$AI$50,MATCH(D409,diakadat!$J$2:$J$50,0),1),"")</f>
        <v/>
      </c>
      <c r="Q409" t="str">
        <f>IFERROR(INDEX('rangsor'!$C$2:$C$343,MATCH(D409,'rangsor'!$A$2:$A$343,0),1),"")</f>
        <v/>
      </c>
      <c r="T409" t="s">
        <v>831</v>
      </c>
      <c r="U409" t="str" cm="1">
        <f t="array" ref="U409">Határozat(D409)</f>
        <v/>
      </c>
      <c r="AC409" t="str">
        <f>IFERROR(INDEX(diakadat!$U$2:$U$50,MATCH(D409,diakadat!$J$2:$J$50),1),"")</f>
        <v/>
      </c>
      <c r="AD409" t="str">
        <f>IFERROR(INDEX(diakadat!$V$2:$V$50,MATCH(D409,diakadat!$J$2:$J$50),1),"")</f>
        <v/>
      </c>
      <c r="AE409" t="str">
        <f>IFERROR(INDEX(diakadat!$W$2:$W$50,MATCH(D409,diakadat!$J$2:$J$50),1),"")</f>
        <v/>
      </c>
      <c r="AI409" t="str">
        <f>IFERROR(INDEX(diakadat!$X$2:$X$50,MATCH(D409,diakadat!$J$2:$J$50),1),"")</f>
        <v/>
      </c>
      <c r="AK409">
        <f t="shared" si="6"/>
        <v>329</v>
      </c>
      <c r="AL409" t="str" cm="1">
        <f t="array" ref="AL409">ElsoBetuNagy(R409)</f>
        <v/>
      </c>
      <c r="AO409" t="str" cm="1">
        <f t="array" ref="AO409">DatumSzovegge5(AN409)</f>
        <v>1899.</v>
      </c>
      <c r="AP409" t="str" cm="1">
        <f t="array" ref="AP409">DatumSzovegge3(AN409)</f>
        <v>december</v>
      </c>
      <c r="AQ409" t="str" cm="1">
        <f t="array" ref="AQ409">DatumSzovegge4(AN409)</f>
        <v>30.</v>
      </c>
    </row>
    <row r="410" spans="4:43" x14ac:dyDescent="0.25">
      <c r="D410" t="str" cm="1">
        <f t="array" ref="D410">SzuressNev($B$1,ROW()-1)</f>
        <v/>
      </c>
      <c r="E410">
        <f>COUNTIF($D$2:D410,D410)</f>
        <v>389</v>
      </c>
      <c r="F410" t="str" cm="1">
        <f t="array" ref="F410">ElutasitasEgyOk2(D410,E410)</f>
        <v/>
      </c>
      <c r="G410" t="str">
        <f>IFERROR(INDEX(diakadat!$I$2:$I$50,MATCH(D410,diakadat!$J$2:$J$50,0),1),"")</f>
        <v/>
      </c>
      <c r="H410" t="str">
        <f>IFERROR(INDEX(diakadat!$O$2:$O$50,MATCH(D410,diakadat!$J$2:$J$50,0),1),"")</f>
        <v/>
      </c>
      <c r="I410" t="str">
        <f>IFERROR(INDEX(diakadat!#REF!,MATCH(D410,diakadat!$J$2:$J$50,0),1),"")</f>
        <v/>
      </c>
      <c r="J410" t="str">
        <f>IFERROR(INDEX(diakadat!$K$2:$K$50,MATCH(D410,diakadat!$J$2:$J$50,0),1),"")</f>
        <v/>
      </c>
      <c r="K410" t="str" cm="1">
        <f t="array" ref="K410">IFERROR(DatumSzovegge2(INDEX(diakadat!$L$2:$L$50,MATCH(D410,diakadat!$J$2:$J$50,0),1)),"")</f>
        <v/>
      </c>
      <c r="L410" t="str" cm="1">
        <f t="array" ref="L410">IFERROR(DatumSzovegge5(INDEX(diakadat!$L$2:$L$50,MATCH(D410,diakadat!$J$2:$J$50,0),1)),"")</f>
        <v/>
      </c>
      <c r="M410" t="str" cm="1">
        <f t="array" ref="M410">IFERROR(DatumSzovegge3(INDEX(diakadat!$L$2:$L$50,MATCH(D410,diakadat!$J$2:$J$50,0),1)),"")</f>
        <v/>
      </c>
      <c r="N410" t="str" cm="1">
        <f t="array" ref="N410">IFERROR(DatumSzovegge4(INDEX(diakadat!$L$2:$L$50,MATCH(D410,diakadat!$J$2:$J$50,0),1)),"")</f>
        <v/>
      </c>
      <c r="O410" t="str">
        <f>IFERROR(INDEX(diakadat!$R$2:$R$50,MATCH(D410,diakadat!$J$2:$J$50,0),1),"")</f>
        <v/>
      </c>
      <c r="P410" t="str">
        <f>IFERROR(INDEX(diakadat!$AI$2:$AI$50,MATCH(D410,diakadat!$J$2:$J$50,0),1),"")</f>
        <v/>
      </c>
      <c r="Q410" t="str">
        <f>IFERROR(INDEX('rangsor'!$C$2:$C$343,MATCH(D410,'rangsor'!$A$2:$A$343,0),1),"")</f>
        <v/>
      </c>
      <c r="T410" t="s">
        <v>831</v>
      </c>
      <c r="U410" t="str" cm="1">
        <f t="array" ref="U410">Határozat(D410)</f>
        <v/>
      </c>
      <c r="AC410" t="str">
        <f>IFERROR(INDEX(diakadat!$U$2:$U$50,MATCH(D410,diakadat!$J$2:$J$50),1),"")</f>
        <v/>
      </c>
      <c r="AD410" t="str">
        <f>IFERROR(INDEX(diakadat!$V$2:$V$50,MATCH(D410,diakadat!$J$2:$J$50),1),"")</f>
        <v/>
      </c>
      <c r="AE410" t="str">
        <f>IFERROR(INDEX(diakadat!$W$2:$W$50,MATCH(D410,diakadat!$J$2:$J$50),1),"")</f>
        <v/>
      </c>
      <c r="AI410" t="str">
        <f>IFERROR(INDEX(diakadat!$X$2:$X$50,MATCH(D410,diakadat!$J$2:$J$50),1),"")</f>
        <v/>
      </c>
      <c r="AK410">
        <f t="shared" si="6"/>
        <v>329</v>
      </c>
      <c r="AL410" t="str" cm="1">
        <f t="array" ref="AL410">ElsoBetuNagy(R410)</f>
        <v/>
      </c>
      <c r="AO410" t="str" cm="1">
        <f t="array" ref="AO410">DatumSzovegge5(AN410)</f>
        <v>1899.</v>
      </c>
      <c r="AP410" t="str" cm="1">
        <f t="array" ref="AP410">DatumSzovegge3(AN410)</f>
        <v>december</v>
      </c>
      <c r="AQ410" t="str" cm="1">
        <f t="array" ref="AQ410">DatumSzovegge4(AN410)</f>
        <v>30.</v>
      </c>
    </row>
    <row r="411" spans="4:43" x14ac:dyDescent="0.25">
      <c r="D411" t="str" cm="1">
        <f t="array" ref="D411">SzuressNev($B$1,ROW()-1)</f>
        <v/>
      </c>
      <c r="E411">
        <f>COUNTIF($D$2:D411,D411)</f>
        <v>390</v>
      </c>
      <c r="F411" t="str" cm="1">
        <f t="array" ref="F411">ElutasitasEgyOk2(D411,E411)</f>
        <v/>
      </c>
      <c r="G411" t="str">
        <f>IFERROR(INDEX(diakadat!$I$2:$I$50,MATCH(D411,diakadat!$J$2:$J$50,0),1),"")</f>
        <v/>
      </c>
      <c r="H411" t="str">
        <f>IFERROR(INDEX(diakadat!$O$2:$O$50,MATCH(D411,diakadat!$J$2:$J$50,0),1),"")</f>
        <v/>
      </c>
      <c r="I411" t="str">
        <f>IFERROR(INDEX(diakadat!#REF!,MATCH(D411,diakadat!$J$2:$J$50,0),1),"")</f>
        <v/>
      </c>
      <c r="J411" t="str">
        <f>IFERROR(INDEX(diakadat!$K$2:$K$50,MATCH(D411,diakadat!$J$2:$J$50,0),1),"")</f>
        <v/>
      </c>
      <c r="K411" t="str" cm="1">
        <f t="array" ref="K411">IFERROR(DatumSzovegge2(INDEX(diakadat!$L$2:$L$50,MATCH(D411,diakadat!$J$2:$J$50,0),1)),"")</f>
        <v/>
      </c>
      <c r="L411" t="str" cm="1">
        <f t="array" ref="L411">IFERROR(DatumSzovegge5(INDEX(diakadat!$L$2:$L$50,MATCH(D411,diakadat!$J$2:$J$50,0),1)),"")</f>
        <v/>
      </c>
      <c r="M411" t="str" cm="1">
        <f t="array" ref="M411">IFERROR(DatumSzovegge3(INDEX(diakadat!$L$2:$L$50,MATCH(D411,diakadat!$J$2:$J$50,0),1)),"")</f>
        <v/>
      </c>
      <c r="N411" t="str" cm="1">
        <f t="array" ref="N411">IFERROR(DatumSzovegge4(INDEX(diakadat!$L$2:$L$50,MATCH(D411,diakadat!$J$2:$J$50,0),1)),"")</f>
        <v/>
      </c>
      <c r="O411" t="str">
        <f>IFERROR(INDEX(diakadat!$R$2:$R$50,MATCH(D411,diakadat!$J$2:$J$50,0),1),"")</f>
        <v/>
      </c>
      <c r="P411" t="str">
        <f>IFERROR(INDEX(diakadat!$AI$2:$AI$50,MATCH(D411,diakadat!$J$2:$J$50,0),1),"")</f>
        <v/>
      </c>
      <c r="Q411" t="str">
        <f>IFERROR(INDEX('rangsor'!$C$2:$C$343,MATCH(D411,'rangsor'!$A$2:$A$343,0),1),"")</f>
        <v/>
      </c>
      <c r="T411" t="s">
        <v>831</v>
      </c>
      <c r="U411" t="str" cm="1">
        <f t="array" ref="U411">Határozat(D411)</f>
        <v/>
      </c>
      <c r="AC411" t="str">
        <f>IFERROR(INDEX(diakadat!$U$2:$U$50,MATCH(D411,diakadat!$J$2:$J$50),1),"")</f>
        <v/>
      </c>
      <c r="AD411" t="str">
        <f>IFERROR(INDEX(diakadat!$V$2:$V$50,MATCH(D411,diakadat!$J$2:$J$50),1),"")</f>
        <v/>
      </c>
      <c r="AE411" t="str">
        <f>IFERROR(INDEX(diakadat!$W$2:$W$50,MATCH(D411,diakadat!$J$2:$J$50),1),"")</f>
        <v/>
      </c>
      <c r="AI411" t="str">
        <f>IFERROR(INDEX(diakadat!$X$2:$X$50,MATCH(D411,diakadat!$J$2:$J$50),1),"")</f>
        <v/>
      </c>
      <c r="AK411">
        <f t="shared" si="6"/>
        <v>329</v>
      </c>
      <c r="AL411" t="str" cm="1">
        <f t="array" ref="AL411">ElsoBetuNagy(R411)</f>
        <v/>
      </c>
      <c r="AO411" t="str" cm="1">
        <f t="array" ref="AO411">DatumSzovegge5(AN411)</f>
        <v>1899.</v>
      </c>
      <c r="AP411" t="str" cm="1">
        <f t="array" ref="AP411">DatumSzovegge3(AN411)</f>
        <v>december</v>
      </c>
      <c r="AQ411" t="str" cm="1">
        <f t="array" ref="AQ411">DatumSzovegge4(AN411)</f>
        <v>30.</v>
      </c>
    </row>
    <row r="412" spans="4:43" x14ac:dyDescent="0.25">
      <c r="D412" t="str" cm="1">
        <f t="array" ref="D412">SzuressNev($B$1,ROW()-1)</f>
        <v/>
      </c>
      <c r="E412">
        <f>COUNTIF($D$2:D412,D412)</f>
        <v>391</v>
      </c>
      <c r="F412" t="str" cm="1">
        <f t="array" ref="F412">ElutasitasEgyOk2(D412,E412)</f>
        <v/>
      </c>
      <c r="G412" t="str">
        <f>IFERROR(INDEX(diakadat!$I$2:$I$50,MATCH(D412,diakadat!$J$2:$J$50,0),1),"")</f>
        <v/>
      </c>
      <c r="H412" t="str">
        <f>IFERROR(INDEX(diakadat!$O$2:$O$50,MATCH(D412,diakadat!$J$2:$J$50,0),1),"")</f>
        <v/>
      </c>
      <c r="I412" t="str">
        <f>IFERROR(INDEX(diakadat!#REF!,MATCH(D412,diakadat!$J$2:$J$50,0),1),"")</f>
        <v/>
      </c>
      <c r="J412" t="str">
        <f>IFERROR(INDEX(diakadat!$K$2:$K$50,MATCH(D412,diakadat!$J$2:$J$50,0),1),"")</f>
        <v/>
      </c>
      <c r="K412" t="str" cm="1">
        <f t="array" ref="K412">IFERROR(DatumSzovegge2(INDEX(diakadat!$L$2:$L$50,MATCH(D412,diakadat!$J$2:$J$50,0),1)),"")</f>
        <v/>
      </c>
      <c r="L412" t="str" cm="1">
        <f t="array" ref="L412">IFERROR(DatumSzovegge5(INDEX(diakadat!$L$2:$L$50,MATCH(D412,diakadat!$J$2:$J$50,0),1)),"")</f>
        <v/>
      </c>
      <c r="M412" t="str" cm="1">
        <f t="array" ref="M412">IFERROR(DatumSzovegge3(INDEX(diakadat!$L$2:$L$50,MATCH(D412,diakadat!$J$2:$J$50,0),1)),"")</f>
        <v/>
      </c>
      <c r="N412" t="str" cm="1">
        <f t="array" ref="N412">IFERROR(DatumSzovegge4(INDEX(diakadat!$L$2:$L$50,MATCH(D412,diakadat!$J$2:$J$50,0),1)),"")</f>
        <v/>
      </c>
      <c r="O412" t="str">
        <f>IFERROR(INDEX(diakadat!$R$2:$R$50,MATCH(D412,diakadat!$J$2:$J$50,0),1),"")</f>
        <v/>
      </c>
      <c r="P412" t="str">
        <f>IFERROR(INDEX(diakadat!$AI$2:$AI$50,MATCH(D412,diakadat!$J$2:$J$50,0),1),"")</f>
        <v/>
      </c>
      <c r="Q412" t="str">
        <f>IFERROR(INDEX('rangsor'!$C$2:$C$343,MATCH(D412,'rangsor'!$A$2:$A$343,0),1),"")</f>
        <v/>
      </c>
      <c r="T412" t="s">
        <v>831</v>
      </c>
      <c r="U412" t="str" cm="1">
        <f t="array" ref="U412">Határozat(D412)</f>
        <v/>
      </c>
      <c r="AC412" t="str">
        <f>IFERROR(INDEX(diakadat!$U$2:$U$50,MATCH(D412,diakadat!$J$2:$J$50),1),"")</f>
        <v/>
      </c>
      <c r="AD412" t="str">
        <f>IFERROR(INDEX(diakadat!$V$2:$V$50,MATCH(D412,diakadat!$J$2:$J$50),1),"")</f>
        <v/>
      </c>
      <c r="AE412" t="str">
        <f>IFERROR(INDEX(diakadat!$W$2:$W$50,MATCH(D412,diakadat!$J$2:$J$50),1),"")</f>
        <v/>
      </c>
      <c r="AI412" t="str">
        <f>IFERROR(INDEX(diakadat!$X$2:$X$50,MATCH(D412,diakadat!$J$2:$J$50),1),"")</f>
        <v/>
      </c>
      <c r="AK412">
        <f t="shared" si="6"/>
        <v>329</v>
      </c>
      <c r="AL412" t="str" cm="1">
        <f t="array" ref="AL412">ElsoBetuNagy(R412)</f>
        <v/>
      </c>
      <c r="AO412" t="str" cm="1">
        <f t="array" ref="AO412">DatumSzovegge5(AN412)</f>
        <v>1899.</v>
      </c>
      <c r="AP412" t="str" cm="1">
        <f t="array" ref="AP412">DatumSzovegge3(AN412)</f>
        <v>december</v>
      </c>
      <c r="AQ412" t="str" cm="1">
        <f t="array" ref="AQ412">DatumSzovegge4(AN412)</f>
        <v>30.</v>
      </c>
    </row>
    <row r="413" spans="4:43" x14ac:dyDescent="0.25">
      <c r="D413" t="str" cm="1">
        <f t="array" ref="D413">SzuressNev($B$1,ROW()-1)</f>
        <v/>
      </c>
      <c r="E413">
        <f>COUNTIF($D$2:D413,D413)</f>
        <v>392</v>
      </c>
      <c r="F413" t="str" cm="1">
        <f t="array" ref="F413">ElutasitasEgyOk2(D413,E413)</f>
        <v/>
      </c>
      <c r="G413" t="str">
        <f>IFERROR(INDEX(diakadat!$I$2:$I$50,MATCH(D413,diakadat!$J$2:$J$50,0),1),"")</f>
        <v/>
      </c>
      <c r="H413" t="str">
        <f>IFERROR(INDEX(diakadat!$O$2:$O$50,MATCH(D413,diakadat!$J$2:$J$50,0),1),"")</f>
        <v/>
      </c>
      <c r="I413" t="str">
        <f>IFERROR(INDEX(diakadat!#REF!,MATCH(D413,diakadat!$J$2:$J$50,0),1),"")</f>
        <v/>
      </c>
      <c r="J413" t="str">
        <f>IFERROR(INDEX(diakadat!$K$2:$K$50,MATCH(D413,diakadat!$J$2:$J$50,0),1),"")</f>
        <v/>
      </c>
      <c r="K413" t="str" cm="1">
        <f t="array" ref="K413">IFERROR(DatumSzovegge2(INDEX(diakadat!$L$2:$L$50,MATCH(D413,diakadat!$J$2:$J$50,0),1)),"")</f>
        <v/>
      </c>
      <c r="L413" t="str" cm="1">
        <f t="array" ref="L413">IFERROR(DatumSzovegge5(INDEX(diakadat!$L$2:$L$50,MATCH(D413,diakadat!$J$2:$J$50,0),1)),"")</f>
        <v/>
      </c>
      <c r="M413" t="str" cm="1">
        <f t="array" ref="M413">IFERROR(DatumSzovegge3(INDEX(diakadat!$L$2:$L$50,MATCH(D413,diakadat!$J$2:$J$50,0),1)),"")</f>
        <v/>
      </c>
      <c r="N413" t="str" cm="1">
        <f t="array" ref="N413">IFERROR(DatumSzovegge4(INDEX(diakadat!$L$2:$L$50,MATCH(D413,diakadat!$J$2:$J$50,0),1)),"")</f>
        <v/>
      </c>
      <c r="O413" t="str">
        <f>IFERROR(INDEX(diakadat!$R$2:$R$50,MATCH(D413,diakadat!$J$2:$J$50,0),1),"")</f>
        <v/>
      </c>
      <c r="P413" t="str">
        <f>IFERROR(INDEX(diakadat!$AI$2:$AI$50,MATCH(D413,diakadat!$J$2:$J$50,0),1),"")</f>
        <v/>
      </c>
      <c r="Q413" t="str">
        <f>IFERROR(INDEX('rangsor'!$C$2:$C$343,MATCH(D413,'rangsor'!$A$2:$A$343,0),1),"")</f>
        <v/>
      </c>
      <c r="T413" t="s">
        <v>831</v>
      </c>
      <c r="U413" t="str" cm="1">
        <f t="array" ref="U413">Határozat(D413)</f>
        <v/>
      </c>
      <c r="AC413" t="str">
        <f>IFERROR(INDEX(diakadat!$U$2:$U$50,MATCH(D413,diakadat!$J$2:$J$50),1),"")</f>
        <v/>
      </c>
      <c r="AD413" t="str">
        <f>IFERROR(INDEX(diakadat!$V$2:$V$50,MATCH(D413,diakadat!$J$2:$J$50),1),"")</f>
        <v/>
      </c>
      <c r="AE413" t="str">
        <f>IFERROR(INDEX(diakadat!$W$2:$W$50,MATCH(D413,diakadat!$J$2:$J$50),1),"")</f>
        <v/>
      </c>
      <c r="AI413" t="str">
        <f>IFERROR(INDEX(diakadat!$X$2:$X$50,MATCH(D413,diakadat!$J$2:$J$50),1),"")</f>
        <v/>
      </c>
      <c r="AK413">
        <f t="shared" si="6"/>
        <v>329</v>
      </c>
      <c r="AL413" t="str" cm="1">
        <f t="array" ref="AL413">ElsoBetuNagy(R413)</f>
        <v/>
      </c>
      <c r="AO413" t="str" cm="1">
        <f t="array" ref="AO413">DatumSzovegge5(AN413)</f>
        <v>1899.</v>
      </c>
      <c r="AP413" t="str" cm="1">
        <f t="array" ref="AP413">DatumSzovegge3(AN413)</f>
        <v>december</v>
      </c>
      <c r="AQ413" t="str" cm="1">
        <f t="array" ref="AQ413">DatumSzovegge4(AN413)</f>
        <v>30.</v>
      </c>
    </row>
    <row r="414" spans="4:43" x14ac:dyDescent="0.25">
      <c r="D414" t="str" cm="1">
        <f t="array" ref="D414">SzuressNev($B$1,ROW()-1)</f>
        <v/>
      </c>
      <c r="E414">
        <f>COUNTIF($D$2:D414,D414)</f>
        <v>393</v>
      </c>
      <c r="F414" t="str" cm="1">
        <f t="array" ref="F414">ElutasitasEgyOk2(D414,E414)</f>
        <v/>
      </c>
      <c r="G414" t="str">
        <f>IFERROR(INDEX(diakadat!$I$2:$I$50,MATCH(D414,diakadat!$J$2:$J$50,0),1),"")</f>
        <v/>
      </c>
      <c r="H414" t="str">
        <f>IFERROR(INDEX(diakadat!$O$2:$O$50,MATCH(D414,diakadat!$J$2:$J$50,0),1),"")</f>
        <v/>
      </c>
      <c r="I414" t="str">
        <f>IFERROR(INDEX(diakadat!#REF!,MATCH(D414,diakadat!$J$2:$J$50,0),1),"")</f>
        <v/>
      </c>
      <c r="J414" t="str">
        <f>IFERROR(INDEX(diakadat!$K$2:$K$50,MATCH(D414,diakadat!$J$2:$J$50,0),1),"")</f>
        <v/>
      </c>
      <c r="K414" t="str" cm="1">
        <f t="array" ref="K414">IFERROR(DatumSzovegge2(INDEX(diakadat!$L$2:$L$50,MATCH(D414,diakadat!$J$2:$J$50,0),1)),"")</f>
        <v/>
      </c>
      <c r="L414" t="str" cm="1">
        <f t="array" ref="L414">IFERROR(DatumSzovegge5(INDEX(diakadat!$L$2:$L$50,MATCH(D414,diakadat!$J$2:$J$50,0),1)),"")</f>
        <v/>
      </c>
      <c r="M414" t="str" cm="1">
        <f t="array" ref="M414">IFERROR(DatumSzovegge3(INDEX(diakadat!$L$2:$L$50,MATCH(D414,diakadat!$J$2:$J$50,0),1)),"")</f>
        <v/>
      </c>
      <c r="N414" t="str" cm="1">
        <f t="array" ref="N414">IFERROR(DatumSzovegge4(INDEX(diakadat!$L$2:$L$50,MATCH(D414,diakadat!$J$2:$J$50,0),1)),"")</f>
        <v/>
      </c>
      <c r="O414" t="str">
        <f>IFERROR(INDEX(diakadat!$R$2:$R$50,MATCH(D414,diakadat!$J$2:$J$50,0),1),"")</f>
        <v/>
      </c>
      <c r="P414" t="str">
        <f>IFERROR(INDEX(diakadat!$AI$2:$AI$50,MATCH(D414,diakadat!$J$2:$J$50,0),1),"")</f>
        <v/>
      </c>
      <c r="Q414" t="str">
        <f>IFERROR(INDEX('rangsor'!$C$2:$C$343,MATCH(D414,'rangsor'!$A$2:$A$343,0),1),"")</f>
        <v/>
      </c>
      <c r="T414" t="s">
        <v>831</v>
      </c>
      <c r="U414" t="str" cm="1">
        <f t="array" ref="U414">Határozat(D414)</f>
        <v/>
      </c>
      <c r="AC414" t="str">
        <f>IFERROR(INDEX(diakadat!$U$2:$U$50,MATCH(D414,diakadat!$J$2:$J$50),1),"")</f>
        <v/>
      </c>
      <c r="AD414" t="str">
        <f>IFERROR(INDEX(diakadat!$V$2:$V$50,MATCH(D414,diakadat!$J$2:$J$50),1),"")</f>
        <v/>
      </c>
      <c r="AE414" t="str">
        <f>IFERROR(INDEX(diakadat!$W$2:$W$50,MATCH(D414,diakadat!$J$2:$J$50),1),"")</f>
        <v/>
      </c>
      <c r="AI414" t="str">
        <f>IFERROR(INDEX(diakadat!$X$2:$X$50,MATCH(D414,diakadat!$J$2:$J$50),1),"")</f>
        <v/>
      </c>
      <c r="AK414">
        <f t="shared" si="6"/>
        <v>329</v>
      </c>
      <c r="AL414" t="str" cm="1">
        <f t="array" ref="AL414">ElsoBetuNagy(R414)</f>
        <v/>
      </c>
      <c r="AO414" t="str" cm="1">
        <f t="array" ref="AO414">DatumSzovegge5(AN414)</f>
        <v>1899.</v>
      </c>
      <c r="AP414" t="str" cm="1">
        <f t="array" ref="AP414">DatumSzovegge3(AN414)</f>
        <v>december</v>
      </c>
      <c r="AQ414" t="str" cm="1">
        <f t="array" ref="AQ414">DatumSzovegge4(AN414)</f>
        <v>30.</v>
      </c>
    </row>
    <row r="415" spans="4:43" x14ac:dyDescent="0.25">
      <c r="D415" t="str" cm="1">
        <f t="array" ref="D415">SzuressNev($B$1,ROW()-1)</f>
        <v/>
      </c>
      <c r="E415">
        <f>COUNTIF($D$2:D415,D415)</f>
        <v>394</v>
      </c>
      <c r="F415" t="str" cm="1">
        <f t="array" ref="F415">ElutasitasEgyOk2(D415,E415)</f>
        <v/>
      </c>
      <c r="G415" t="str">
        <f>IFERROR(INDEX(diakadat!$I$2:$I$50,MATCH(D415,diakadat!$J$2:$J$50,0),1),"")</f>
        <v/>
      </c>
      <c r="H415" t="str">
        <f>IFERROR(INDEX(diakadat!$O$2:$O$50,MATCH(D415,diakadat!$J$2:$J$50,0),1),"")</f>
        <v/>
      </c>
      <c r="I415" t="str">
        <f>IFERROR(INDEX(diakadat!#REF!,MATCH(D415,diakadat!$J$2:$J$50,0),1),"")</f>
        <v/>
      </c>
      <c r="J415" t="str">
        <f>IFERROR(INDEX(diakadat!$K$2:$K$50,MATCH(D415,diakadat!$J$2:$J$50,0),1),"")</f>
        <v/>
      </c>
      <c r="K415" t="str" cm="1">
        <f t="array" ref="K415">IFERROR(DatumSzovegge2(INDEX(diakadat!$L$2:$L$50,MATCH(D415,diakadat!$J$2:$J$50,0),1)),"")</f>
        <v/>
      </c>
      <c r="L415" t="str" cm="1">
        <f t="array" ref="L415">IFERROR(DatumSzovegge5(INDEX(diakadat!$L$2:$L$50,MATCH(D415,diakadat!$J$2:$J$50,0),1)),"")</f>
        <v/>
      </c>
      <c r="M415" t="str" cm="1">
        <f t="array" ref="M415">IFERROR(DatumSzovegge3(INDEX(diakadat!$L$2:$L$50,MATCH(D415,diakadat!$J$2:$J$50,0),1)),"")</f>
        <v/>
      </c>
      <c r="N415" t="str" cm="1">
        <f t="array" ref="N415">IFERROR(DatumSzovegge4(INDEX(diakadat!$L$2:$L$50,MATCH(D415,diakadat!$J$2:$J$50,0),1)),"")</f>
        <v/>
      </c>
      <c r="O415" t="str">
        <f>IFERROR(INDEX(diakadat!$R$2:$R$50,MATCH(D415,diakadat!$J$2:$J$50,0),1),"")</f>
        <v/>
      </c>
      <c r="P415" t="str">
        <f>IFERROR(INDEX(diakadat!$AI$2:$AI$50,MATCH(D415,diakadat!$J$2:$J$50,0),1),"")</f>
        <v/>
      </c>
      <c r="Q415" t="str">
        <f>IFERROR(INDEX('rangsor'!$C$2:$C$343,MATCH(D415,'rangsor'!$A$2:$A$343,0),1),"")</f>
        <v/>
      </c>
      <c r="T415" t="s">
        <v>831</v>
      </c>
      <c r="U415" t="str" cm="1">
        <f t="array" ref="U415">Határozat(D415)</f>
        <v/>
      </c>
      <c r="AC415" t="str">
        <f>IFERROR(INDEX(diakadat!$U$2:$U$50,MATCH(D415,diakadat!$J$2:$J$50),1),"")</f>
        <v/>
      </c>
      <c r="AD415" t="str">
        <f>IFERROR(INDEX(diakadat!$V$2:$V$50,MATCH(D415,diakadat!$J$2:$J$50),1),"")</f>
        <v/>
      </c>
      <c r="AE415" t="str">
        <f>IFERROR(INDEX(diakadat!$W$2:$W$50,MATCH(D415,diakadat!$J$2:$J$50),1),"")</f>
        <v/>
      </c>
      <c r="AI415" t="str">
        <f>IFERROR(INDEX(diakadat!$X$2:$X$50,MATCH(D415,diakadat!$J$2:$J$50),1),"")</f>
        <v/>
      </c>
      <c r="AK415">
        <f t="shared" si="6"/>
        <v>329</v>
      </c>
      <c r="AL415" t="str" cm="1">
        <f t="array" ref="AL415">ElsoBetuNagy(R415)</f>
        <v/>
      </c>
      <c r="AO415" t="str" cm="1">
        <f t="array" ref="AO415">DatumSzovegge5(AN415)</f>
        <v>1899.</v>
      </c>
      <c r="AP415" t="str" cm="1">
        <f t="array" ref="AP415">DatumSzovegge3(AN415)</f>
        <v>december</v>
      </c>
      <c r="AQ415" t="str" cm="1">
        <f t="array" ref="AQ415">DatumSzovegge4(AN415)</f>
        <v>30.</v>
      </c>
    </row>
    <row r="416" spans="4:43" x14ac:dyDescent="0.25">
      <c r="D416" t="str" cm="1">
        <f t="array" ref="D416">SzuressNev($B$1,ROW()-1)</f>
        <v/>
      </c>
      <c r="E416">
        <f>COUNTIF($D$2:D416,D416)</f>
        <v>395</v>
      </c>
      <c r="F416" t="str" cm="1">
        <f t="array" ref="F416">ElutasitasEgyOk2(D416,E416)</f>
        <v/>
      </c>
      <c r="G416" t="str">
        <f>IFERROR(INDEX(diakadat!$I$2:$I$50,MATCH(D416,diakadat!$J$2:$J$50,0),1),"")</f>
        <v/>
      </c>
      <c r="H416" t="str">
        <f>IFERROR(INDEX(diakadat!$O$2:$O$50,MATCH(D416,diakadat!$J$2:$J$50,0),1),"")</f>
        <v/>
      </c>
      <c r="I416" t="str">
        <f>IFERROR(INDEX(diakadat!#REF!,MATCH(D416,diakadat!$J$2:$J$50,0),1),"")</f>
        <v/>
      </c>
      <c r="J416" t="str">
        <f>IFERROR(INDEX(diakadat!$K$2:$K$50,MATCH(D416,diakadat!$J$2:$J$50,0),1),"")</f>
        <v/>
      </c>
      <c r="K416" t="str" cm="1">
        <f t="array" ref="K416">IFERROR(DatumSzovegge2(INDEX(diakadat!$L$2:$L$50,MATCH(D416,diakadat!$J$2:$J$50,0),1)),"")</f>
        <v/>
      </c>
      <c r="L416" t="str" cm="1">
        <f t="array" ref="L416">IFERROR(DatumSzovegge5(INDEX(diakadat!$L$2:$L$50,MATCH(D416,diakadat!$J$2:$J$50,0),1)),"")</f>
        <v/>
      </c>
      <c r="M416" t="str" cm="1">
        <f t="array" ref="M416">IFERROR(DatumSzovegge3(INDEX(diakadat!$L$2:$L$50,MATCH(D416,diakadat!$J$2:$J$50,0),1)),"")</f>
        <v/>
      </c>
      <c r="N416" t="str" cm="1">
        <f t="array" ref="N416">IFERROR(DatumSzovegge4(INDEX(diakadat!$L$2:$L$50,MATCH(D416,diakadat!$J$2:$J$50,0),1)),"")</f>
        <v/>
      </c>
      <c r="O416" t="str">
        <f>IFERROR(INDEX(diakadat!$R$2:$R$50,MATCH(D416,diakadat!$J$2:$J$50,0),1),"")</f>
        <v/>
      </c>
      <c r="P416" t="str">
        <f>IFERROR(INDEX(diakadat!$AI$2:$AI$50,MATCH(D416,diakadat!$J$2:$J$50,0),1),"")</f>
        <v/>
      </c>
      <c r="Q416" t="str">
        <f>IFERROR(INDEX('rangsor'!$C$2:$C$343,MATCH(D416,'rangsor'!$A$2:$A$343,0),1),"")</f>
        <v/>
      </c>
      <c r="T416" t="s">
        <v>831</v>
      </c>
      <c r="U416" t="str" cm="1">
        <f t="array" ref="U416">Határozat(D416)</f>
        <v/>
      </c>
      <c r="AC416" t="str">
        <f>IFERROR(INDEX(diakadat!$U$2:$U$50,MATCH(D416,diakadat!$J$2:$J$50),1),"")</f>
        <v/>
      </c>
      <c r="AD416" t="str">
        <f>IFERROR(INDEX(diakadat!$V$2:$V$50,MATCH(D416,diakadat!$J$2:$J$50),1),"")</f>
        <v/>
      </c>
      <c r="AE416" t="str">
        <f>IFERROR(INDEX(diakadat!$W$2:$W$50,MATCH(D416,diakadat!$J$2:$J$50),1),"")</f>
        <v/>
      </c>
      <c r="AI416" t="str">
        <f>IFERROR(INDEX(diakadat!$X$2:$X$50,MATCH(D416,diakadat!$J$2:$J$50),1),"")</f>
        <v/>
      </c>
      <c r="AK416">
        <f t="shared" si="6"/>
        <v>329</v>
      </c>
      <c r="AL416" t="str" cm="1">
        <f t="array" ref="AL416">ElsoBetuNagy(R416)</f>
        <v/>
      </c>
      <c r="AO416" t="str" cm="1">
        <f t="array" ref="AO416">DatumSzovegge5(AN416)</f>
        <v>1899.</v>
      </c>
      <c r="AP416" t="str" cm="1">
        <f t="array" ref="AP416">DatumSzovegge3(AN416)</f>
        <v>december</v>
      </c>
      <c r="AQ416" t="str" cm="1">
        <f t="array" ref="AQ416">DatumSzovegge4(AN416)</f>
        <v>30.</v>
      </c>
    </row>
    <row r="417" spans="4:43" x14ac:dyDescent="0.25">
      <c r="D417" t="str" cm="1">
        <f t="array" ref="D417">SzuressNev($B$1,ROW()-1)</f>
        <v/>
      </c>
      <c r="E417">
        <f>COUNTIF($D$2:D417,D417)</f>
        <v>396</v>
      </c>
      <c r="F417" t="str" cm="1">
        <f t="array" ref="F417">ElutasitasEgyOk2(D417,E417)</f>
        <v/>
      </c>
      <c r="G417" t="str">
        <f>IFERROR(INDEX(diakadat!$I$2:$I$50,MATCH(D417,diakadat!$J$2:$J$50,0),1),"")</f>
        <v/>
      </c>
      <c r="H417" t="str">
        <f>IFERROR(INDEX(diakadat!$O$2:$O$50,MATCH(D417,diakadat!$J$2:$J$50,0),1),"")</f>
        <v/>
      </c>
      <c r="I417" t="str">
        <f>IFERROR(INDEX(diakadat!#REF!,MATCH(D417,diakadat!$J$2:$J$50,0),1),"")</f>
        <v/>
      </c>
      <c r="J417" t="str">
        <f>IFERROR(INDEX(diakadat!$K$2:$K$50,MATCH(D417,diakadat!$J$2:$J$50,0),1),"")</f>
        <v/>
      </c>
      <c r="K417" t="str" cm="1">
        <f t="array" ref="K417">IFERROR(DatumSzovegge2(INDEX(diakadat!$L$2:$L$50,MATCH(D417,diakadat!$J$2:$J$50,0),1)),"")</f>
        <v/>
      </c>
      <c r="L417" t="str" cm="1">
        <f t="array" ref="L417">IFERROR(DatumSzovegge5(INDEX(diakadat!$L$2:$L$50,MATCH(D417,diakadat!$J$2:$J$50,0),1)),"")</f>
        <v/>
      </c>
      <c r="M417" t="str" cm="1">
        <f t="array" ref="M417">IFERROR(DatumSzovegge3(INDEX(diakadat!$L$2:$L$50,MATCH(D417,diakadat!$J$2:$J$50,0),1)),"")</f>
        <v/>
      </c>
      <c r="N417" t="str" cm="1">
        <f t="array" ref="N417">IFERROR(DatumSzovegge4(INDEX(diakadat!$L$2:$L$50,MATCH(D417,diakadat!$J$2:$J$50,0),1)),"")</f>
        <v/>
      </c>
      <c r="O417" t="str">
        <f>IFERROR(INDEX(diakadat!$R$2:$R$50,MATCH(D417,diakadat!$J$2:$J$50,0),1),"")</f>
        <v/>
      </c>
      <c r="P417" t="str">
        <f>IFERROR(INDEX(diakadat!$AI$2:$AI$50,MATCH(D417,diakadat!$J$2:$J$50,0),1),"")</f>
        <v/>
      </c>
      <c r="Q417" t="str">
        <f>IFERROR(INDEX('rangsor'!$C$2:$C$343,MATCH(D417,'rangsor'!$A$2:$A$343,0),1),"")</f>
        <v/>
      </c>
      <c r="T417" t="s">
        <v>831</v>
      </c>
      <c r="U417" t="str" cm="1">
        <f t="array" ref="U417">Határozat(D417)</f>
        <v/>
      </c>
      <c r="AC417" t="str">
        <f>IFERROR(INDEX(diakadat!$U$2:$U$50,MATCH(D417,diakadat!$J$2:$J$50),1),"")</f>
        <v/>
      </c>
      <c r="AD417" t="str">
        <f>IFERROR(INDEX(diakadat!$V$2:$V$50,MATCH(D417,diakadat!$J$2:$J$50),1),"")</f>
        <v/>
      </c>
      <c r="AE417" t="str">
        <f>IFERROR(INDEX(diakadat!$W$2:$W$50,MATCH(D417,diakadat!$J$2:$J$50),1),"")</f>
        <v/>
      </c>
      <c r="AI417" t="str">
        <f>IFERROR(INDEX(diakadat!$X$2:$X$50,MATCH(D417,diakadat!$J$2:$J$50),1),"")</f>
        <v/>
      </c>
      <c r="AK417">
        <f t="shared" si="6"/>
        <v>329</v>
      </c>
      <c r="AL417" t="str" cm="1">
        <f t="array" ref="AL417">ElsoBetuNagy(R417)</f>
        <v/>
      </c>
      <c r="AO417" t="str" cm="1">
        <f t="array" ref="AO417">DatumSzovegge5(AN417)</f>
        <v>1899.</v>
      </c>
      <c r="AP417" t="str" cm="1">
        <f t="array" ref="AP417">DatumSzovegge3(AN417)</f>
        <v>december</v>
      </c>
      <c r="AQ417" t="str" cm="1">
        <f t="array" ref="AQ417">DatumSzovegge4(AN417)</f>
        <v>30.</v>
      </c>
    </row>
    <row r="418" spans="4:43" x14ac:dyDescent="0.25">
      <c r="D418" t="str" cm="1">
        <f t="array" ref="D418">SzuressNev($B$1,ROW()-1)</f>
        <v/>
      </c>
      <c r="E418">
        <f>COUNTIF($D$2:D418,D418)</f>
        <v>397</v>
      </c>
      <c r="F418" t="str" cm="1">
        <f t="array" ref="F418">ElutasitasEgyOk2(D418,E418)</f>
        <v/>
      </c>
      <c r="G418" t="str">
        <f>IFERROR(INDEX(diakadat!$I$2:$I$50,MATCH(D418,diakadat!$J$2:$J$50,0),1),"")</f>
        <v/>
      </c>
      <c r="H418" t="str">
        <f>IFERROR(INDEX(diakadat!$O$2:$O$50,MATCH(D418,diakadat!$J$2:$J$50,0),1),"")</f>
        <v/>
      </c>
      <c r="I418" t="str">
        <f>IFERROR(INDEX(diakadat!#REF!,MATCH(D418,diakadat!$J$2:$J$50,0),1),"")</f>
        <v/>
      </c>
      <c r="J418" t="str">
        <f>IFERROR(INDEX(diakadat!$K$2:$K$50,MATCH(D418,diakadat!$J$2:$J$50,0),1),"")</f>
        <v/>
      </c>
      <c r="K418" t="str" cm="1">
        <f t="array" ref="K418">IFERROR(DatumSzovegge2(INDEX(diakadat!$L$2:$L$50,MATCH(D418,diakadat!$J$2:$J$50,0),1)),"")</f>
        <v/>
      </c>
      <c r="L418" t="str" cm="1">
        <f t="array" ref="L418">IFERROR(DatumSzovegge5(INDEX(diakadat!$L$2:$L$50,MATCH(D418,diakadat!$J$2:$J$50,0),1)),"")</f>
        <v/>
      </c>
      <c r="M418" t="str" cm="1">
        <f t="array" ref="M418">IFERROR(DatumSzovegge3(INDEX(diakadat!$L$2:$L$50,MATCH(D418,diakadat!$J$2:$J$50,0),1)),"")</f>
        <v/>
      </c>
      <c r="N418" t="str" cm="1">
        <f t="array" ref="N418">IFERROR(DatumSzovegge4(INDEX(diakadat!$L$2:$L$50,MATCH(D418,diakadat!$J$2:$J$50,0),1)),"")</f>
        <v/>
      </c>
      <c r="O418" t="str">
        <f>IFERROR(INDEX(diakadat!$R$2:$R$50,MATCH(D418,diakadat!$J$2:$J$50,0),1),"")</f>
        <v/>
      </c>
      <c r="P418" t="str">
        <f>IFERROR(INDEX(diakadat!$AI$2:$AI$50,MATCH(D418,diakadat!$J$2:$J$50,0),1),"")</f>
        <v/>
      </c>
      <c r="Q418" t="str">
        <f>IFERROR(INDEX('rangsor'!$C$2:$C$343,MATCH(D418,'rangsor'!$A$2:$A$343,0),1),"")</f>
        <v/>
      </c>
      <c r="T418" t="s">
        <v>831</v>
      </c>
      <c r="U418" t="str" cm="1">
        <f t="array" ref="U418">Határozat(D418)</f>
        <v/>
      </c>
      <c r="AC418" t="str">
        <f>IFERROR(INDEX(diakadat!$U$2:$U$50,MATCH(D418,diakadat!$J$2:$J$50),1),"")</f>
        <v/>
      </c>
      <c r="AD418" t="str">
        <f>IFERROR(INDEX(diakadat!$V$2:$V$50,MATCH(D418,diakadat!$J$2:$J$50),1),"")</f>
        <v/>
      </c>
      <c r="AE418" t="str">
        <f>IFERROR(INDEX(diakadat!$W$2:$W$50,MATCH(D418,diakadat!$J$2:$J$50),1),"")</f>
        <v/>
      </c>
      <c r="AI418" t="str">
        <f>IFERROR(INDEX(diakadat!$X$2:$X$50,MATCH(D418,diakadat!$J$2:$J$50),1),"")</f>
        <v/>
      </c>
      <c r="AK418">
        <f t="shared" si="6"/>
        <v>329</v>
      </c>
      <c r="AL418" t="str" cm="1">
        <f t="array" ref="AL418">ElsoBetuNagy(R418)</f>
        <v/>
      </c>
      <c r="AO418" t="str" cm="1">
        <f t="array" ref="AO418">DatumSzovegge5(AN418)</f>
        <v>1899.</v>
      </c>
      <c r="AP418" t="str" cm="1">
        <f t="array" ref="AP418">DatumSzovegge3(AN418)</f>
        <v>december</v>
      </c>
      <c r="AQ418" t="str" cm="1">
        <f t="array" ref="AQ418">DatumSzovegge4(AN418)</f>
        <v>30.</v>
      </c>
    </row>
    <row r="419" spans="4:43" x14ac:dyDescent="0.25">
      <c r="D419" t="str" cm="1">
        <f t="array" ref="D419">SzuressNev($B$1,ROW()-1)</f>
        <v/>
      </c>
      <c r="E419">
        <f>COUNTIF($D$2:D593,D419)</f>
        <v>572</v>
      </c>
      <c r="F419" t="str" cm="1">
        <f t="array" ref="F419">ElutasitasEgyOk2(D419,E419)</f>
        <v/>
      </c>
      <c r="G419" t="str">
        <f>IFERROR(INDEX(diakadat!$I$2:$I$50,MATCH(D419,diakadat!$J$2:$J$50,0),1),"")</f>
        <v/>
      </c>
      <c r="H419" t="str">
        <f>IFERROR(INDEX(diakadat!$O$2:$O$50,MATCH(D419,diakadat!$J$2:$J$50,0),1),"")</f>
        <v/>
      </c>
      <c r="I419" t="str">
        <f>IFERROR(INDEX(diakadat!#REF!,MATCH(D419,diakadat!$J$2:$J$50,0),1),"")</f>
        <v/>
      </c>
      <c r="J419" t="str">
        <f>IFERROR(INDEX(diakadat!$K$2:$K$50,MATCH(D419,diakadat!$J$2:$J$50,0),1),"")</f>
        <v/>
      </c>
      <c r="K419" t="str" cm="1">
        <f t="array" ref="K419">IFERROR(DatumSzovegge2(INDEX(diakadat!$L$2:$L$50,MATCH(D419,diakadat!$J$2:$J$50,0),1)),"")</f>
        <v/>
      </c>
      <c r="L419" t="str" cm="1">
        <f t="array" ref="L419">IFERROR(DatumSzovegge5(INDEX(diakadat!$L$2:$L$50,MATCH(D419,diakadat!$J$2:$J$50,0),1)),"")</f>
        <v/>
      </c>
      <c r="M419" t="str" cm="1">
        <f t="array" ref="M419">IFERROR(DatumSzovegge3(INDEX(diakadat!$L$2:$L$50,MATCH(D419,diakadat!$J$2:$J$50,0),1)),"")</f>
        <v/>
      </c>
      <c r="N419" t="str" cm="1">
        <f t="array" ref="N419">IFERROR(DatumSzovegge4(INDEX(diakadat!$L$2:$L$50,MATCH(D419,diakadat!$J$2:$J$50,0),1)),"")</f>
        <v/>
      </c>
      <c r="O419" t="str">
        <f>IFERROR(INDEX(diakadat!$R$2:$R$50,MATCH(D419,diakadat!$J$2:$J$50,0),1),"")</f>
        <v/>
      </c>
      <c r="P419" t="str">
        <f>IFERROR(INDEX(diakadat!$AI$2:$AI$50,MATCH(D419,diakadat!$J$2:$J$50,0),1),"")</f>
        <v/>
      </c>
      <c r="Q419" t="str">
        <f>IFERROR(INDEX('rangsor'!$C$2:$C$343,MATCH(D419,'rangsor'!$A$2:$A$343,0),1),"")</f>
        <v/>
      </c>
      <c r="T419" t="s">
        <v>831</v>
      </c>
      <c r="U419" t="str" cm="1">
        <f t="array" ref="U419">Határozat(D419)</f>
        <v/>
      </c>
      <c r="AC419" t="str">
        <f>IFERROR(INDEX(diakadat!$U$2:$U$50,MATCH(D419,diakadat!$J$2:$J$50),1),"")</f>
        <v/>
      </c>
      <c r="AD419" t="str">
        <f>IFERROR(INDEX(diakadat!$V$2:$V$50,MATCH(D419,diakadat!$J$2:$J$50),1),"")</f>
        <v/>
      </c>
      <c r="AE419" t="str">
        <f>IFERROR(INDEX(diakadat!$W$2:$W$50,MATCH(D419,diakadat!$J$2:$J$50),1),"")</f>
        <v/>
      </c>
      <c r="AI419" t="str">
        <f>IFERROR(INDEX(diakadat!$X$2:$X$50,MATCH(D419,diakadat!$J$2:$J$50),1),"")</f>
        <v/>
      </c>
      <c r="AK419">
        <f t="shared" si="6"/>
        <v>329</v>
      </c>
      <c r="AL419" t="str" cm="1">
        <f t="array" ref="AL419">ElsoBetuNagy(R419)</f>
        <v/>
      </c>
      <c r="AO419" t="str" cm="1">
        <f t="array" ref="AO419">DatumSzovegge5(AN419)</f>
        <v>1899.</v>
      </c>
      <c r="AP419" t="str" cm="1">
        <f t="array" ref="AP419">DatumSzovegge3(AN419)</f>
        <v>december</v>
      </c>
      <c r="AQ419" t="str" cm="1">
        <f t="array" ref="AQ419">DatumSzovegge4(AN419)</f>
        <v>30.</v>
      </c>
    </row>
    <row r="420" spans="4:43" x14ac:dyDescent="0.25">
      <c r="D420" t="str" cm="1">
        <f t="array" ref="D420">SzuressNev($B$1,ROW()-1)</f>
        <v/>
      </c>
      <c r="E420">
        <f>COUNTIF($D$2:D420,D420)</f>
        <v>399</v>
      </c>
      <c r="F420" t="str" cm="1">
        <f t="array" ref="F420">ElutasitasEgyOk2(D420,E420)</f>
        <v/>
      </c>
      <c r="G420" t="str">
        <f>IFERROR(INDEX(diakadat!$I$2:$I$50,MATCH(D420,diakadat!$J$2:$J$50,0),1),"")</f>
        <v/>
      </c>
      <c r="H420" t="str">
        <f>IFERROR(INDEX(diakadat!$O$2:$O$50,MATCH(D420,diakadat!$J$2:$J$50,0),1),"")</f>
        <v/>
      </c>
      <c r="I420" t="str">
        <f>IFERROR(INDEX(diakadat!#REF!,MATCH(D420,diakadat!$J$2:$J$50,0),1),"")</f>
        <v/>
      </c>
      <c r="J420" t="str">
        <f>IFERROR(INDEX(diakadat!$K$2:$K$50,MATCH(D420,diakadat!$J$2:$J$50,0),1),"")</f>
        <v/>
      </c>
      <c r="K420" t="str" cm="1">
        <f t="array" ref="K420">IFERROR(DatumSzovegge2(INDEX(diakadat!$L$2:$L$50,MATCH(D420,diakadat!$J$2:$J$50,0),1)),"")</f>
        <v/>
      </c>
      <c r="L420" t="str" cm="1">
        <f t="array" ref="L420">IFERROR(DatumSzovegge5(INDEX(diakadat!$L$2:$L$50,MATCH(D420,diakadat!$J$2:$J$50,0),1)),"")</f>
        <v/>
      </c>
      <c r="M420" t="str" cm="1">
        <f t="array" ref="M420">IFERROR(DatumSzovegge3(INDEX(diakadat!$L$2:$L$50,MATCH(D420,diakadat!$J$2:$J$50,0),1)),"")</f>
        <v/>
      </c>
      <c r="N420" t="str" cm="1">
        <f t="array" ref="N420">IFERROR(DatumSzovegge4(INDEX(diakadat!$L$2:$L$50,MATCH(D420,diakadat!$J$2:$J$50,0),1)),"")</f>
        <v/>
      </c>
      <c r="O420" t="str">
        <f>IFERROR(INDEX(diakadat!$R$2:$R$50,MATCH(D420,diakadat!$J$2:$J$50,0),1),"")</f>
        <v/>
      </c>
      <c r="P420" t="str">
        <f>IFERROR(INDEX(diakadat!$AI$2:$AI$50,MATCH(D420,diakadat!$J$2:$J$50,0),1),"")</f>
        <v/>
      </c>
      <c r="Q420" t="str">
        <f>IFERROR(INDEX('rangsor'!$C$2:$C$343,MATCH(D420,'rangsor'!$A$2:$A$343,0),1),"")</f>
        <v/>
      </c>
      <c r="T420" t="s">
        <v>831</v>
      </c>
      <c r="U420" t="str" cm="1">
        <f t="array" ref="U420">Határozat(D420)</f>
        <v/>
      </c>
      <c r="AC420" t="str">
        <f>IFERROR(INDEX(diakadat!$U$2:$U$50,MATCH(D420,diakadat!$J$2:$J$50),1),"")</f>
        <v/>
      </c>
      <c r="AD420" t="str">
        <f>IFERROR(INDEX(diakadat!$V$2:$V$50,MATCH(D420,diakadat!$J$2:$J$50),1),"")</f>
        <v/>
      </c>
      <c r="AE420" t="str">
        <f>IFERROR(INDEX(diakadat!$W$2:$W$50,MATCH(D420,diakadat!$J$2:$J$50),1),"")</f>
        <v/>
      </c>
      <c r="AI420" t="str">
        <f>IFERROR(INDEX(diakadat!$X$2:$X$50,MATCH(D420,diakadat!$J$2:$J$50),1),"")</f>
        <v/>
      </c>
      <c r="AK420">
        <f t="shared" si="6"/>
        <v>329</v>
      </c>
      <c r="AL420" t="str" cm="1">
        <f t="array" ref="AL420">ElsoBetuNagy(R420)</f>
        <v/>
      </c>
      <c r="AO420" t="str" cm="1">
        <f t="array" ref="AO420">DatumSzovegge5(AN420)</f>
        <v>1899.</v>
      </c>
      <c r="AP420" t="str" cm="1">
        <f t="array" ref="AP420">DatumSzovegge3(AN420)</f>
        <v>december</v>
      </c>
      <c r="AQ420" t="str" cm="1">
        <f t="array" ref="AQ420">DatumSzovegge4(AN420)</f>
        <v>30.</v>
      </c>
    </row>
    <row r="421" spans="4:43" x14ac:dyDescent="0.25">
      <c r="D421" t="str" cm="1">
        <f t="array" ref="D421">SzuressNev($B$1,ROW()-1)</f>
        <v/>
      </c>
      <c r="E421">
        <f>COUNTIF($D$2:D421,D421)</f>
        <v>400</v>
      </c>
      <c r="F421" t="str" cm="1">
        <f t="array" ref="F421">ElutasitasEgyOk2(D421,E421)</f>
        <v/>
      </c>
      <c r="G421" t="str">
        <f>IFERROR(INDEX(diakadat!$I$2:$I$50,MATCH(D421,diakadat!$J$2:$J$50,0),1),"")</f>
        <v/>
      </c>
      <c r="H421" t="str">
        <f>IFERROR(INDEX(diakadat!$O$2:$O$50,MATCH(D421,diakadat!$J$2:$J$50,0),1),"")</f>
        <v/>
      </c>
      <c r="I421" t="str">
        <f>IFERROR(INDEX(diakadat!#REF!,MATCH(D421,diakadat!$J$2:$J$50,0),1),"")</f>
        <v/>
      </c>
      <c r="J421" t="str">
        <f>IFERROR(INDEX(diakadat!$K$2:$K$50,MATCH(D421,diakadat!$J$2:$J$50,0),1),"")</f>
        <v/>
      </c>
      <c r="K421" t="str" cm="1">
        <f t="array" ref="K421">IFERROR(DatumSzovegge2(INDEX(diakadat!$L$2:$L$50,MATCH(D421,diakadat!$J$2:$J$50,0),1)),"")</f>
        <v/>
      </c>
      <c r="L421" t="str" cm="1">
        <f t="array" ref="L421">IFERROR(DatumSzovegge5(INDEX(diakadat!$L$2:$L$50,MATCH(D421,diakadat!$J$2:$J$50,0),1)),"")</f>
        <v/>
      </c>
      <c r="M421" t="str" cm="1">
        <f t="array" ref="M421">IFERROR(DatumSzovegge3(INDEX(diakadat!$L$2:$L$50,MATCH(D421,diakadat!$J$2:$J$50,0),1)),"")</f>
        <v/>
      </c>
      <c r="N421" t="str" cm="1">
        <f t="array" ref="N421">IFERROR(DatumSzovegge4(INDEX(diakadat!$L$2:$L$50,MATCH(D421,diakadat!$J$2:$J$50,0),1)),"")</f>
        <v/>
      </c>
      <c r="O421" t="str">
        <f>IFERROR(INDEX(diakadat!$R$2:$R$50,MATCH(D421,diakadat!$J$2:$J$50,0),1),"")</f>
        <v/>
      </c>
      <c r="P421" t="str">
        <f>IFERROR(INDEX(diakadat!$AI$2:$AI$50,MATCH(D421,diakadat!$J$2:$J$50,0),1),"")</f>
        <v/>
      </c>
      <c r="Q421" t="str">
        <f>IFERROR(INDEX('rangsor'!$C$2:$C$343,MATCH(D421,'rangsor'!$A$2:$A$343,0),1),"")</f>
        <v/>
      </c>
      <c r="T421" t="s">
        <v>831</v>
      </c>
      <c r="U421" t="str" cm="1">
        <f t="array" ref="U421">Határozat(D421)</f>
        <v/>
      </c>
      <c r="AC421" t="str">
        <f>IFERROR(INDEX(diakadat!$U$2:$U$50,MATCH(D421,diakadat!$J$2:$J$50),1),"")</f>
        <v/>
      </c>
      <c r="AD421" t="str">
        <f>IFERROR(INDEX(diakadat!$V$2:$V$50,MATCH(D421,diakadat!$J$2:$J$50),1),"")</f>
        <v/>
      </c>
      <c r="AE421" t="str">
        <f>IFERROR(INDEX(diakadat!$W$2:$W$50,MATCH(D421,diakadat!$J$2:$J$50),1),"")</f>
        <v/>
      </c>
      <c r="AI421" t="str">
        <f>IFERROR(INDEX(diakadat!$X$2:$X$50,MATCH(D421,diakadat!$J$2:$J$50),1),"")</f>
        <v/>
      </c>
      <c r="AK421">
        <f t="shared" si="6"/>
        <v>329</v>
      </c>
      <c r="AL421" t="str" cm="1">
        <f t="array" ref="AL421">ElsoBetuNagy(R421)</f>
        <v/>
      </c>
      <c r="AO421" t="str" cm="1">
        <f t="array" ref="AO421">DatumSzovegge5(AN421)</f>
        <v>1899.</v>
      </c>
      <c r="AP421" t="str" cm="1">
        <f t="array" ref="AP421">DatumSzovegge3(AN421)</f>
        <v>december</v>
      </c>
      <c r="AQ421" t="str" cm="1">
        <f t="array" ref="AQ421">DatumSzovegge4(AN421)</f>
        <v>30.</v>
      </c>
    </row>
    <row r="422" spans="4:43" x14ac:dyDescent="0.25">
      <c r="D422" t="str" cm="1">
        <f t="array" ref="D422">SzuressNev($B$1,ROW()-1)</f>
        <v/>
      </c>
      <c r="E422">
        <f>COUNTIF($D$2:D422,D422)</f>
        <v>401</v>
      </c>
      <c r="F422" t="str" cm="1">
        <f t="array" ref="F422">ElutasitasEgyOk2(D422,E422)</f>
        <v/>
      </c>
      <c r="G422" t="str">
        <f>IFERROR(INDEX(diakadat!$I$2:$I$50,MATCH(D422,diakadat!$J$2:$J$50,0),1),"")</f>
        <v/>
      </c>
      <c r="H422" t="str">
        <f>IFERROR(INDEX(diakadat!$O$2:$O$50,MATCH(D422,diakadat!$J$2:$J$50,0),1),"")</f>
        <v/>
      </c>
      <c r="I422" t="str">
        <f>IFERROR(INDEX(diakadat!#REF!,MATCH(D422,diakadat!$J$2:$J$50,0),1),"")</f>
        <v/>
      </c>
      <c r="J422" t="str">
        <f>IFERROR(INDEX(diakadat!$K$2:$K$50,MATCH(D422,diakadat!$J$2:$J$50,0),1),"")</f>
        <v/>
      </c>
      <c r="K422" t="str" cm="1">
        <f t="array" ref="K422">IFERROR(DatumSzovegge2(INDEX(diakadat!$L$2:$L$50,MATCH(D422,diakadat!$J$2:$J$50,0),1)),"")</f>
        <v/>
      </c>
      <c r="L422" t="str" cm="1">
        <f t="array" ref="L422">IFERROR(DatumSzovegge5(INDEX(diakadat!$L$2:$L$50,MATCH(D422,diakadat!$J$2:$J$50,0),1)),"")</f>
        <v/>
      </c>
      <c r="M422" t="str" cm="1">
        <f t="array" ref="M422">IFERROR(DatumSzovegge3(INDEX(diakadat!$L$2:$L$50,MATCH(D422,diakadat!$J$2:$J$50,0),1)),"")</f>
        <v/>
      </c>
      <c r="N422" t="str" cm="1">
        <f t="array" ref="N422">IFERROR(DatumSzovegge4(INDEX(diakadat!$L$2:$L$50,MATCH(D422,diakadat!$J$2:$J$50,0),1)),"")</f>
        <v/>
      </c>
      <c r="O422" t="str">
        <f>IFERROR(INDEX(diakadat!$R$2:$R$50,MATCH(D422,diakadat!$J$2:$J$50,0),1),"")</f>
        <v/>
      </c>
      <c r="P422" t="str">
        <f>IFERROR(INDEX(diakadat!$AI$2:$AI$50,MATCH(D422,diakadat!$J$2:$J$50,0),1),"")</f>
        <v/>
      </c>
      <c r="Q422" t="str">
        <f>IFERROR(INDEX('rangsor'!$C$2:$C$343,MATCH(D422,'rangsor'!$A$2:$A$343,0),1),"")</f>
        <v/>
      </c>
      <c r="T422" t="s">
        <v>831</v>
      </c>
      <c r="U422" t="str" cm="1">
        <f t="array" ref="U422">Határozat(D422)</f>
        <v/>
      </c>
      <c r="AC422" t="str">
        <f>IFERROR(INDEX(diakadat!$U$2:$U$50,MATCH(D422,diakadat!$J$2:$J$50),1),"")</f>
        <v/>
      </c>
      <c r="AD422" t="str">
        <f>IFERROR(INDEX(diakadat!$V$2:$V$50,MATCH(D422,diakadat!$J$2:$J$50),1),"")</f>
        <v/>
      </c>
      <c r="AE422" t="str">
        <f>IFERROR(INDEX(diakadat!$W$2:$W$50,MATCH(D422,diakadat!$J$2:$J$50),1),"")</f>
        <v/>
      </c>
      <c r="AI422" t="str">
        <f>IFERROR(INDEX(diakadat!$X$2:$X$50,MATCH(D422,diakadat!$J$2:$J$50),1),"")</f>
        <v/>
      </c>
      <c r="AK422">
        <f t="shared" si="6"/>
        <v>329</v>
      </c>
      <c r="AL422" t="str" cm="1">
        <f t="array" ref="AL422">ElsoBetuNagy(R422)</f>
        <v/>
      </c>
      <c r="AO422" t="str" cm="1">
        <f t="array" ref="AO422">DatumSzovegge5(AN422)</f>
        <v>1899.</v>
      </c>
      <c r="AP422" t="str" cm="1">
        <f t="array" ref="AP422">DatumSzovegge3(AN422)</f>
        <v>december</v>
      </c>
      <c r="AQ422" t="str" cm="1">
        <f t="array" ref="AQ422">DatumSzovegge4(AN422)</f>
        <v>30.</v>
      </c>
    </row>
    <row r="423" spans="4:43" x14ac:dyDescent="0.25">
      <c r="D423" t="str" cm="1">
        <f t="array" ref="D423">SzuressNev($B$1,ROW()-1)</f>
        <v/>
      </c>
      <c r="E423">
        <f>COUNTIF($D$2:D423,D423)</f>
        <v>402</v>
      </c>
      <c r="F423" t="str" cm="1">
        <f t="array" ref="F423">ElutasitasEgyOk2(D423,E423)</f>
        <v/>
      </c>
      <c r="G423" t="str">
        <f>IFERROR(INDEX(diakadat!$I$2:$I$50,MATCH(D423,diakadat!$J$2:$J$50,0),1),"")</f>
        <v/>
      </c>
      <c r="H423" t="str">
        <f>IFERROR(INDEX(diakadat!$O$2:$O$50,MATCH(D423,diakadat!$J$2:$J$50,0),1),"")</f>
        <v/>
      </c>
      <c r="I423" t="str">
        <f>IFERROR(INDEX(diakadat!#REF!,MATCH(D423,diakadat!$J$2:$J$50,0),1),"")</f>
        <v/>
      </c>
      <c r="J423" t="str">
        <f>IFERROR(INDEX(diakadat!$K$2:$K$50,MATCH(D423,diakadat!$J$2:$J$50,0),1),"")</f>
        <v/>
      </c>
      <c r="K423" t="str" cm="1">
        <f t="array" ref="K423">IFERROR(DatumSzovegge2(INDEX(diakadat!$L$2:$L$50,MATCH(D423,diakadat!$J$2:$J$50,0),1)),"")</f>
        <v/>
      </c>
      <c r="L423" t="str" cm="1">
        <f t="array" ref="L423">IFERROR(DatumSzovegge5(INDEX(diakadat!$L$2:$L$50,MATCH(D423,diakadat!$J$2:$J$50,0),1)),"")</f>
        <v/>
      </c>
      <c r="M423" t="str" cm="1">
        <f t="array" ref="M423">IFERROR(DatumSzovegge3(INDEX(diakadat!$L$2:$L$50,MATCH(D423,diakadat!$J$2:$J$50,0),1)),"")</f>
        <v/>
      </c>
      <c r="N423" t="str" cm="1">
        <f t="array" ref="N423">IFERROR(DatumSzovegge4(INDEX(diakadat!$L$2:$L$50,MATCH(D423,diakadat!$J$2:$J$50,0),1)),"")</f>
        <v/>
      </c>
      <c r="O423" t="str">
        <f>IFERROR(INDEX(diakadat!$R$2:$R$50,MATCH(D423,diakadat!$J$2:$J$50,0),1),"")</f>
        <v/>
      </c>
      <c r="P423" t="str">
        <f>IFERROR(INDEX(diakadat!$AI$2:$AI$50,MATCH(D423,diakadat!$J$2:$J$50,0),1),"")</f>
        <v/>
      </c>
      <c r="Q423" t="str">
        <f>IFERROR(INDEX('rangsor'!$C$2:$C$343,MATCH(D423,'rangsor'!$A$2:$A$343,0),1),"")</f>
        <v/>
      </c>
      <c r="T423" t="s">
        <v>831</v>
      </c>
      <c r="U423" t="str" cm="1">
        <f t="array" ref="U423">Határozat(D423)</f>
        <v/>
      </c>
      <c r="AC423" t="str">
        <f>IFERROR(INDEX(diakadat!$U$2:$U$50,MATCH(D423,diakadat!$J$2:$J$50),1),"")</f>
        <v/>
      </c>
      <c r="AD423" t="str">
        <f>IFERROR(INDEX(diakadat!$V$2:$V$50,MATCH(D423,diakadat!$J$2:$J$50),1),"")</f>
        <v/>
      </c>
      <c r="AE423" t="str">
        <f>IFERROR(INDEX(diakadat!$W$2:$W$50,MATCH(D423,diakadat!$J$2:$J$50),1),"")</f>
        <v/>
      </c>
      <c r="AI423" t="str">
        <f>IFERROR(INDEX(diakadat!$X$2:$X$50,MATCH(D423,diakadat!$J$2:$J$50),1),"")</f>
        <v/>
      </c>
      <c r="AK423">
        <f t="shared" si="6"/>
        <v>329</v>
      </c>
      <c r="AL423" t="str" cm="1">
        <f t="array" ref="AL423">ElsoBetuNagy(R423)</f>
        <v/>
      </c>
      <c r="AO423" t="str" cm="1">
        <f t="array" ref="AO423">DatumSzovegge5(AN423)</f>
        <v>1899.</v>
      </c>
      <c r="AP423" t="str" cm="1">
        <f t="array" ref="AP423">DatumSzovegge3(AN423)</f>
        <v>december</v>
      </c>
      <c r="AQ423" t="str" cm="1">
        <f t="array" ref="AQ423">DatumSzovegge4(AN423)</f>
        <v>30.</v>
      </c>
    </row>
    <row r="424" spans="4:43" x14ac:dyDescent="0.25">
      <c r="D424" t="str" cm="1">
        <f t="array" ref="D424">SzuressNev($B$1,ROW()-1)</f>
        <v/>
      </c>
      <c r="E424">
        <f>COUNTIF($D$2:D424,D424)</f>
        <v>403</v>
      </c>
      <c r="F424" t="str" cm="1">
        <f t="array" ref="F424">ElutasitasEgyOk2(D424,E424)</f>
        <v/>
      </c>
      <c r="G424" t="str">
        <f>IFERROR(INDEX(diakadat!$I$2:$I$50,MATCH(D424,diakadat!$J$2:$J$50,0),1),"")</f>
        <v/>
      </c>
      <c r="H424" t="str">
        <f>IFERROR(INDEX(diakadat!$O$2:$O$50,MATCH(D424,diakadat!$J$2:$J$50,0),1),"")</f>
        <v/>
      </c>
      <c r="I424" t="str">
        <f>IFERROR(INDEX(diakadat!#REF!,MATCH(D424,diakadat!$J$2:$J$50,0),1),"")</f>
        <v/>
      </c>
      <c r="J424" t="str">
        <f>IFERROR(INDEX(diakadat!$K$2:$K$50,MATCH(D424,diakadat!$J$2:$J$50,0),1),"")</f>
        <v/>
      </c>
      <c r="K424" t="str" cm="1">
        <f t="array" ref="K424">IFERROR(DatumSzovegge2(INDEX(diakadat!$L$2:$L$50,MATCH(D424,diakadat!$J$2:$J$50,0),1)),"")</f>
        <v/>
      </c>
      <c r="L424" t="str" cm="1">
        <f t="array" ref="L424">IFERROR(DatumSzovegge5(INDEX(diakadat!$L$2:$L$50,MATCH(D424,diakadat!$J$2:$J$50,0),1)),"")</f>
        <v/>
      </c>
      <c r="M424" t="str" cm="1">
        <f t="array" ref="M424">IFERROR(DatumSzovegge3(INDEX(diakadat!$L$2:$L$50,MATCH(D424,diakadat!$J$2:$J$50,0),1)),"")</f>
        <v/>
      </c>
      <c r="N424" t="str" cm="1">
        <f t="array" ref="N424">IFERROR(DatumSzovegge4(INDEX(diakadat!$L$2:$L$50,MATCH(D424,diakadat!$J$2:$J$50,0),1)),"")</f>
        <v/>
      </c>
      <c r="O424" t="str">
        <f>IFERROR(INDEX(diakadat!$R$2:$R$50,MATCH(D424,diakadat!$J$2:$J$50,0),1),"")</f>
        <v/>
      </c>
      <c r="P424" t="str">
        <f>IFERROR(INDEX(diakadat!$AI$2:$AI$50,MATCH(D424,diakadat!$J$2:$J$50,0),1),"")</f>
        <v/>
      </c>
      <c r="Q424" t="str">
        <f>IFERROR(INDEX('rangsor'!$C$2:$C$343,MATCH(D424,'rangsor'!$A$2:$A$343,0),1),"")</f>
        <v/>
      </c>
      <c r="T424" t="s">
        <v>831</v>
      </c>
      <c r="U424" t="str" cm="1">
        <f t="array" ref="U424">Határozat(D424)</f>
        <v/>
      </c>
      <c r="AC424" t="str">
        <f>IFERROR(INDEX(diakadat!$U$2:$U$50,MATCH(D424,diakadat!$J$2:$J$50),1),"")</f>
        <v/>
      </c>
      <c r="AD424" t="str">
        <f>IFERROR(INDEX(diakadat!$V$2:$V$50,MATCH(D424,diakadat!$J$2:$J$50),1),"")</f>
        <v/>
      </c>
      <c r="AE424" t="str">
        <f>IFERROR(INDEX(diakadat!$W$2:$W$50,MATCH(D424,diakadat!$J$2:$J$50),1),"")</f>
        <v/>
      </c>
      <c r="AI424" t="str">
        <f>IFERROR(INDEX(diakadat!$X$2:$X$50,MATCH(D424,diakadat!$J$2:$J$50),1),"")</f>
        <v/>
      </c>
      <c r="AK424">
        <f t="shared" si="6"/>
        <v>329</v>
      </c>
      <c r="AL424" t="str" cm="1">
        <f t="array" ref="AL424">ElsoBetuNagy(R424)</f>
        <v/>
      </c>
      <c r="AO424" t="str" cm="1">
        <f t="array" ref="AO424">DatumSzovegge5(AN424)</f>
        <v>1899.</v>
      </c>
      <c r="AP424" t="str" cm="1">
        <f t="array" ref="AP424">DatumSzovegge3(AN424)</f>
        <v>december</v>
      </c>
      <c r="AQ424" t="str" cm="1">
        <f t="array" ref="AQ424">DatumSzovegge4(AN424)</f>
        <v>30.</v>
      </c>
    </row>
    <row r="425" spans="4:43" x14ac:dyDescent="0.25">
      <c r="D425" t="str" cm="1">
        <f t="array" ref="D425">SzuressNev($B$1,ROW()-1)</f>
        <v/>
      </c>
      <c r="E425">
        <f>COUNTIF($D$2:D425,D425)</f>
        <v>404</v>
      </c>
      <c r="F425" t="str" cm="1">
        <f t="array" ref="F425">ElutasitasEgyOk2(D425,E425)</f>
        <v/>
      </c>
      <c r="G425" t="str">
        <f>IFERROR(INDEX(diakadat!$I$2:$I$50,MATCH(D425,diakadat!$J$2:$J$50,0),1),"")</f>
        <v/>
      </c>
      <c r="H425" t="str">
        <f>IFERROR(INDEX(diakadat!$O$2:$O$50,MATCH(D425,diakadat!$J$2:$J$50,0),1),"")</f>
        <v/>
      </c>
      <c r="I425" t="str">
        <f>IFERROR(INDEX(diakadat!#REF!,MATCH(D425,diakadat!$J$2:$J$50,0),1),"")</f>
        <v/>
      </c>
      <c r="J425" t="str">
        <f>IFERROR(INDEX(diakadat!$K$2:$K$50,MATCH(D425,diakadat!$J$2:$J$50,0),1),"")</f>
        <v/>
      </c>
      <c r="K425" t="str" cm="1">
        <f t="array" ref="K425">IFERROR(DatumSzovegge2(INDEX(diakadat!$L$2:$L$50,MATCH(D425,diakadat!$J$2:$J$50,0),1)),"")</f>
        <v/>
      </c>
      <c r="L425" t="str" cm="1">
        <f t="array" ref="L425">IFERROR(DatumSzovegge5(INDEX(diakadat!$L$2:$L$50,MATCH(D425,diakadat!$J$2:$J$50,0),1)),"")</f>
        <v/>
      </c>
      <c r="M425" t="str" cm="1">
        <f t="array" ref="M425">IFERROR(DatumSzovegge3(INDEX(diakadat!$L$2:$L$50,MATCH(D425,diakadat!$J$2:$J$50,0),1)),"")</f>
        <v/>
      </c>
      <c r="N425" t="str" cm="1">
        <f t="array" ref="N425">IFERROR(DatumSzovegge4(INDEX(diakadat!$L$2:$L$50,MATCH(D425,diakadat!$J$2:$J$50,0),1)),"")</f>
        <v/>
      </c>
      <c r="O425" t="str">
        <f>IFERROR(INDEX(diakadat!$R$2:$R$50,MATCH(D425,diakadat!$J$2:$J$50,0),1),"")</f>
        <v/>
      </c>
      <c r="P425" t="str">
        <f>IFERROR(INDEX(diakadat!$AI$2:$AI$50,MATCH(D425,diakadat!$J$2:$J$50,0),1),"")</f>
        <v/>
      </c>
      <c r="Q425" t="str">
        <f>IFERROR(INDEX('rangsor'!$C$2:$C$343,MATCH(D425,'rangsor'!$A$2:$A$343,0),1),"")</f>
        <v/>
      </c>
      <c r="T425" t="s">
        <v>831</v>
      </c>
      <c r="U425" t="str" cm="1">
        <f t="array" ref="U425">Határozat(D425)</f>
        <v/>
      </c>
      <c r="AC425" t="str">
        <f>IFERROR(INDEX(diakadat!$U$2:$U$50,MATCH(D425,diakadat!$J$2:$J$50),1),"")</f>
        <v/>
      </c>
      <c r="AD425" t="str">
        <f>IFERROR(INDEX(diakadat!$V$2:$V$50,MATCH(D425,diakadat!$J$2:$J$50),1),"")</f>
        <v/>
      </c>
      <c r="AE425" t="str">
        <f>IFERROR(INDEX(diakadat!$W$2:$W$50,MATCH(D425,diakadat!$J$2:$J$50),1),"")</f>
        <v/>
      </c>
      <c r="AI425" t="str">
        <f>IFERROR(INDEX(diakadat!$X$2:$X$50,MATCH(D425,diakadat!$J$2:$J$50),1),"")</f>
        <v/>
      </c>
      <c r="AK425">
        <f t="shared" si="6"/>
        <v>329</v>
      </c>
      <c r="AL425" t="str" cm="1">
        <f t="array" ref="AL425">ElsoBetuNagy(R425)</f>
        <v/>
      </c>
      <c r="AO425" t="str" cm="1">
        <f t="array" ref="AO425">DatumSzovegge5(AN425)</f>
        <v>1899.</v>
      </c>
      <c r="AP425" t="str" cm="1">
        <f t="array" ref="AP425">DatumSzovegge3(AN425)</f>
        <v>december</v>
      </c>
      <c r="AQ425" t="str" cm="1">
        <f t="array" ref="AQ425">DatumSzovegge4(AN425)</f>
        <v>30.</v>
      </c>
    </row>
    <row r="426" spans="4:43" x14ac:dyDescent="0.25">
      <c r="D426" t="str" cm="1">
        <f t="array" ref="D426">SzuressNev($B$1,ROW()-1)</f>
        <v/>
      </c>
      <c r="E426">
        <f>COUNTIF($D$2:D426,D426)</f>
        <v>405</v>
      </c>
      <c r="F426" t="str" cm="1">
        <f t="array" ref="F426">ElutasitasEgyOk2(D426,E426)</f>
        <v/>
      </c>
      <c r="G426" t="str">
        <f>IFERROR(INDEX(diakadat!$I$2:$I$50,MATCH(D426,diakadat!$J$2:$J$50,0),1),"")</f>
        <v/>
      </c>
      <c r="H426" t="str">
        <f>IFERROR(INDEX(diakadat!$O$2:$O$50,MATCH(D426,diakadat!$J$2:$J$50,0),1),"")</f>
        <v/>
      </c>
      <c r="I426" t="str">
        <f>IFERROR(INDEX(diakadat!#REF!,MATCH(D426,diakadat!$J$2:$J$50,0),1),"")</f>
        <v/>
      </c>
      <c r="J426" t="str">
        <f>IFERROR(INDEX(diakadat!$K$2:$K$50,MATCH(D426,diakadat!$J$2:$J$50,0),1),"")</f>
        <v/>
      </c>
      <c r="K426" t="str" cm="1">
        <f t="array" ref="K426">IFERROR(DatumSzovegge2(INDEX(diakadat!$L$2:$L$50,MATCH(D426,diakadat!$J$2:$J$50,0),1)),"")</f>
        <v/>
      </c>
      <c r="L426" t="str" cm="1">
        <f t="array" ref="L426">IFERROR(DatumSzovegge5(INDEX(diakadat!$L$2:$L$50,MATCH(D426,diakadat!$J$2:$J$50,0),1)),"")</f>
        <v/>
      </c>
      <c r="M426" t="str" cm="1">
        <f t="array" ref="M426">IFERROR(DatumSzovegge3(INDEX(diakadat!$L$2:$L$50,MATCH(D426,diakadat!$J$2:$J$50,0),1)),"")</f>
        <v/>
      </c>
      <c r="N426" t="str" cm="1">
        <f t="array" ref="N426">IFERROR(DatumSzovegge4(INDEX(diakadat!$L$2:$L$50,MATCH(D426,diakadat!$J$2:$J$50,0),1)),"")</f>
        <v/>
      </c>
      <c r="O426" t="str">
        <f>IFERROR(INDEX(diakadat!$R$2:$R$50,MATCH(D426,diakadat!$J$2:$J$50,0),1),"")</f>
        <v/>
      </c>
      <c r="P426" t="str">
        <f>IFERROR(INDEX(diakadat!$AI$2:$AI$50,MATCH(D426,diakadat!$J$2:$J$50,0),1),"")</f>
        <v/>
      </c>
      <c r="Q426" t="str">
        <f>IFERROR(INDEX('rangsor'!$C$2:$C$343,MATCH(D426,'rangsor'!$A$2:$A$343,0),1),"")</f>
        <v/>
      </c>
      <c r="T426" t="s">
        <v>831</v>
      </c>
      <c r="U426" t="str" cm="1">
        <f t="array" ref="U426">Határozat(D426)</f>
        <v/>
      </c>
      <c r="AC426" t="str">
        <f>IFERROR(INDEX(diakadat!$U$2:$U$50,MATCH(D426,diakadat!$J$2:$J$50),1),"")</f>
        <v/>
      </c>
      <c r="AD426" t="str">
        <f>IFERROR(INDEX(diakadat!$V$2:$V$50,MATCH(D426,diakadat!$J$2:$J$50),1),"")</f>
        <v/>
      </c>
      <c r="AE426" t="str">
        <f>IFERROR(INDEX(diakadat!$W$2:$W$50,MATCH(D426,diakadat!$J$2:$J$50),1),"")</f>
        <v/>
      </c>
      <c r="AI426" t="str">
        <f>IFERROR(INDEX(diakadat!$X$2:$X$50,MATCH(D426,diakadat!$J$2:$J$50),1),"")</f>
        <v/>
      </c>
      <c r="AK426">
        <f t="shared" si="6"/>
        <v>329</v>
      </c>
      <c r="AL426" t="str" cm="1">
        <f t="array" ref="AL426">ElsoBetuNagy(R426)</f>
        <v/>
      </c>
      <c r="AO426" t="str" cm="1">
        <f t="array" ref="AO426">DatumSzovegge5(AN426)</f>
        <v>1899.</v>
      </c>
      <c r="AP426" t="str" cm="1">
        <f t="array" ref="AP426">DatumSzovegge3(AN426)</f>
        <v>december</v>
      </c>
      <c r="AQ426" t="str" cm="1">
        <f t="array" ref="AQ426">DatumSzovegge4(AN426)</f>
        <v>30.</v>
      </c>
    </row>
    <row r="427" spans="4:43" x14ac:dyDescent="0.25">
      <c r="D427" t="str" cm="1">
        <f t="array" ref="D427">SzuressNev($B$1,ROW()-1)</f>
        <v/>
      </c>
      <c r="E427">
        <f>COUNTIF($D$2:D427,D427)</f>
        <v>406</v>
      </c>
      <c r="F427" t="str" cm="1">
        <f t="array" ref="F427">ElutasitasEgyOk2(D427,E427)</f>
        <v/>
      </c>
      <c r="G427" t="str">
        <f>IFERROR(INDEX(diakadat!$I$2:$I$50,MATCH(D427,diakadat!$J$2:$J$50,0),1),"")</f>
        <v/>
      </c>
      <c r="H427" t="str">
        <f>IFERROR(INDEX(diakadat!$O$2:$O$50,MATCH(D427,diakadat!$J$2:$J$50,0),1),"")</f>
        <v/>
      </c>
      <c r="I427" t="str">
        <f>IFERROR(INDEX(diakadat!#REF!,MATCH(D427,diakadat!$J$2:$J$50,0),1),"")</f>
        <v/>
      </c>
      <c r="J427" t="str">
        <f>IFERROR(INDEX(diakadat!$K$2:$K$50,MATCH(D427,diakadat!$J$2:$J$50,0),1),"")</f>
        <v/>
      </c>
      <c r="K427" t="str" cm="1">
        <f t="array" ref="K427">IFERROR(DatumSzovegge2(INDEX(diakadat!$L$2:$L$50,MATCH(D427,diakadat!$J$2:$J$50,0),1)),"")</f>
        <v/>
      </c>
      <c r="L427" t="str" cm="1">
        <f t="array" ref="L427">IFERROR(DatumSzovegge5(INDEX(diakadat!$L$2:$L$50,MATCH(D427,diakadat!$J$2:$J$50,0),1)),"")</f>
        <v/>
      </c>
      <c r="M427" t="str" cm="1">
        <f t="array" ref="M427">IFERROR(DatumSzovegge3(INDEX(diakadat!$L$2:$L$50,MATCH(D427,diakadat!$J$2:$J$50,0),1)),"")</f>
        <v/>
      </c>
      <c r="N427" t="str" cm="1">
        <f t="array" ref="N427">IFERROR(DatumSzovegge4(INDEX(diakadat!$L$2:$L$50,MATCH(D427,diakadat!$J$2:$J$50,0),1)),"")</f>
        <v/>
      </c>
      <c r="O427" t="str">
        <f>IFERROR(INDEX(diakadat!$R$2:$R$50,MATCH(D427,diakadat!$J$2:$J$50,0),1),"")</f>
        <v/>
      </c>
      <c r="P427" t="str">
        <f>IFERROR(INDEX(diakadat!$AI$2:$AI$50,MATCH(D427,diakadat!$J$2:$J$50,0),1),"")</f>
        <v/>
      </c>
      <c r="Q427" t="str">
        <f>IFERROR(INDEX('rangsor'!$C$2:$C$343,MATCH(D427,'rangsor'!$A$2:$A$343,0),1),"")</f>
        <v/>
      </c>
      <c r="T427" t="s">
        <v>831</v>
      </c>
      <c r="U427" t="str" cm="1">
        <f t="array" ref="U427">Határozat(D427)</f>
        <v/>
      </c>
      <c r="AC427" t="str">
        <f>IFERROR(INDEX(diakadat!$U$2:$U$50,MATCH(D427,diakadat!$J$2:$J$50),1),"")</f>
        <v/>
      </c>
      <c r="AD427" t="str">
        <f>IFERROR(INDEX(diakadat!$V$2:$V$50,MATCH(D427,diakadat!$J$2:$J$50),1),"")</f>
        <v/>
      </c>
      <c r="AE427" t="str">
        <f>IFERROR(INDEX(diakadat!$W$2:$W$50,MATCH(D427,diakadat!$J$2:$J$50),1),"")</f>
        <v/>
      </c>
      <c r="AI427" t="str">
        <f>IFERROR(INDEX(diakadat!$X$2:$X$50,MATCH(D427,diakadat!$J$2:$J$50),1),"")</f>
        <v/>
      </c>
      <c r="AK427">
        <f t="shared" si="6"/>
        <v>329</v>
      </c>
      <c r="AL427" t="str" cm="1">
        <f t="array" ref="AL427">ElsoBetuNagy(R427)</f>
        <v/>
      </c>
      <c r="AO427" t="str" cm="1">
        <f t="array" ref="AO427">DatumSzovegge5(AN427)</f>
        <v>1899.</v>
      </c>
      <c r="AP427" t="str" cm="1">
        <f t="array" ref="AP427">DatumSzovegge3(AN427)</f>
        <v>december</v>
      </c>
      <c r="AQ427" t="str" cm="1">
        <f t="array" ref="AQ427">DatumSzovegge4(AN427)</f>
        <v>30.</v>
      </c>
    </row>
    <row r="428" spans="4:43" x14ac:dyDescent="0.25">
      <c r="D428" t="str" cm="1">
        <f t="array" ref="D428">SzuressNev($B$1,ROW()-1)</f>
        <v/>
      </c>
      <c r="E428">
        <f>COUNTIF($D$2:D428,D428)</f>
        <v>407</v>
      </c>
      <c r="F428" t="str" cm="1">
        <f t="array" ref="F428">ElutasitasEgyOk2(D428,E428)</f>
        <v/>
      </c>
      <c r="G428" t="str">
        <f>IFERROR(INDEX(diakadat!$I$2:$I$50,MATCH(D428,diakadat!$J$2:$J$50,0),1),"")</f>
        <v/>
      </c>
      <c r="H428" t="str">
        <f>IFERROR(INDEX(diakadat!$O$2:$O$50,MATCH(D428,diakadat!$J$2:$J$50,0),1),"")</f>
        <v/>
      </c>
      <c r="I428" t="str">
        <f>IFERROR(INDEX(diakadat!#REF!,MATCH(D428,diakadat!$J$2:$J$50,0),1),"")</f>
        <v/>
      </c>
      <c r="J428" t="str">
        <f>IFERROR(INDEX(diakadat!$K$2:$K$50,MATCH(D428,diakadat!$J$2:$J$50,0),1),"")</f>
        <v/>
      </c>
      <c r="K428" t="str" cm="1">
        <f t="array" ref="K428">IFERROR(DatumSzovegge2(INDEX(diakadat!$L$2:$L$50,MATCH(D428,diakadat!$J$2:$J$50,0),1)),"")</f>
        <v/>
      </c>
      <c r="L428" t="str" cm="1">
        <f t="array" ref="L428">IFERROR(DatumSzovegge5(INDEX(diakadat!$L$2:$L$50,MATCH(D428,diakadat!$J$2:$J$50,0),1)),"")</f>
        <v/>
      </c>
      <c r="M428" t="str" cm="1">
        <f t="array" ref="M428">IFERROR(DatumSzovegge3(INDEX(diakadat!$L$2:$L$50,MATCH(D428,diakadat!$J$2:$J$50,0),1)),"")</f>
        <v/>
      </c>
      <c r="N428" t="str" cm="1">
        <f t="array" ref="N428">IFERROR(DatumSzovegge4(INDEX(diakadat!$L$2:$L$50,MATCH(D428,diakadat!$J$2:$J$50,0),1)),"")</f>
        <v/>
      </c>
      <c r="O428" t="str">
        <f>IFERROR(INDEX(diakadat!$R$2:$R$50,MATCH(D428,diakadat!$J$2:$J$50,0),1),"")</f>
        <v/>
      </c>
      <c r="P428" t="str">
        <f>IFERROR(INDEX(diakadat!$AI$2:$AI$50,MATCH(D428,diakadat!$J$2:$J$50,0),1),"")</f>
        <v/>
      </c>
      <c r="Q428" t="str">
        <f>IFERROR(INDEX('rangsor'!$C$2:$C$343,MATCH(D428,'rangsor'!$A$2:$A$343,0),1),"")</f>
        <v/>
      </c>
      <c r="T428" t="s">
        <v>831</v>
      </c>
      <c r="U428" t="str" cm="1">
        <f t="array" ref="U428">Határozat(D428)</f>
        <v/>
      </c>
      <c r="AC428" t="str">
        <f>IFERROR(INDEX(diakadat!$U$2:$U$50,MATCH(D428,diakadat!$J$2:$J$50),1),"")</f>
        <v/>
      </c>
      <c r="AD428" t="str">
        <f>IFERROR(INDEX(diakadat!$V$2:$V$50,MATCH(D428,diakadat!$J$2:$J$50),1),"")</f>
        <v/>
      </c>
      <c r="AE428" t="str">
        <f>IFERROR(INDEX(diakadat!$W$2:$W$50,MATCH(D428,diakadat!$J$2:$J$50),1),"")</f>
        <v/>
      </c>
      <c r="AI428" t="str">
        <f>IFERROR(INDEX(diakadat!$X$2:$X$50,MATCH(D428,diakadat!$J$2:$J$50),1),"")</f>
        <v/>
      </c>
      <c r="AK428">
        <f t="shared" si="6"/>
        <v>329</v>
      </c>
      <c r="AL428" t="str" cm="1">
        <f t="array" ref="AL428">ElsoBetuNagy(R428)</f>
        <v/>
      </c>
      <c r="AO428" t="str" cm="1">
        <f t="array" ref="AO428">DatumSzovegge5(AN428)</f>
        <v>1899.</v>
      </c>
      <c r="AP428" t="str" cm="1">
        <f t="array" ref="AP428">DatumSzovegge3(AN428)</f>
        <v>december</v>
      </c>
      <c r="AQ428" t="str" cm="1">
        <f t="array" ref="AQ428">DatumSzovegge4(AN428)</f>
        <v>30.</v>
      </c>
    </row>
    <row r="429" spans="4:43" x14ac:dyDescent="0.25">
      <c r="D429" t="str" cm="1">
        <f t="array" ref="D429">SzuressNev($B$1,ROW()-1)</f>
        <v/>
      </c>
      <c r="E429">
        <f>COUNTIF($D$2:D429,D429)</f>
        <v>408</v>
      </c>
      <c r="F429" t="str" cm="1">
        <f t="array" ref="F429">ElutasitasEgyOk2(D429,E429)</f>
        <v/>
      </c>
      <c r="G429" t="str">
        <f>IFERROR(INDEX(diakadat!$I$2:$I$50,MATCH(D429,diakadat!$J$2:$J$50,0),1),"")</f>
        <v/>
      </c>
      <c r="H429" t="str">
        <f>IFERROR(INDEX(diakadat!$O$2:$O$50,MATCH(D429,diakadat!$J$2:$J$50,0),1),"")</f>
        <v/>
      </c>
      <c r="I429" t="str">
        <f>IFERROR(INDEX(diakadat!#REF!,MATCH(D429,diakadat!$J$2:$J$50,0),1),"")</f>
        <v/>
      </c>
      <c r="J429" t="str">
        <f>IFERROR(INDEX(diakadat!$K$2:$K$50,MATCH(D429,diakadat!$J$2:$J$50,0),1),"")</f>
        <v/>
      </c>
      <c r="K429" t="str" cm="1">
        <f t="array" ref="K429">IFERROR(DatumSzovegge2(INDEX(diakadat!$L$2:$L$50,MATCH(D429,diakadat!$J$2:$J$50,0),1)),"")</f>
        <v/>
      </c>
      <c r="L429" t="str" cm="1">
        <f t="array" ref="L429">IFERROR(DatumSzovegge5(INDEX(diakadat!$L$2:$L$50,MATCH(D429,diakadat!$J$2:$J$50,0),1)),"")</f>
        <v/>
      </c>
      <c r="M429" t="str" cm="1">
        <f t="array" ref="M429">IFERROR(DatumSzovegge3(INDEX(diakadat!$L$2:$L$50,MATCH(D429,diakadat!$J$2:$J$50,0),1)),"")</f>
        <v/>
      </c>
      <c r="N429" t="str" cm="1">
        <f t="array" ref="N429">IFERROR(DatumSzovegge4(INDEX(diakadat!$L$2:$L$50,MATCH(D429,diakadat!$J$2:$J$50,0),1)),"")</f>
        <v/>
      </c>
      <c r="O429" t="str">
        <f>IFERROR(INDEX(diakadat!$R$2:$R$50,MATCH(D429,diakadat!$J$2:$J$50,0),1),"")</f>
        <v/>
      </c>
      <c r="P429" t="str">
        <f>IFERROR(INDEX(diakadat!$AI$2:$AI$50,MATCH(D429,diakadat!$J$2:$J$50,0),1),"")</f>
        <v/>
      </c>
      <c r="Q429" t="str">
        <f>IFERROR(INDEX('rangsor'!$C$2:$C$343,MATCH(D429,'rangsor'!$A$2:$A$343,0),1),"")</f>
        <v/>
      </c>
      <c r="T429" t="s">
        <v>831</v>
      </c>
      <c r="U429" t="str" cm="1">
        <f t="array" ref="U429">Határozat(D429)</f>
        <v/>
      </c>
      <c r="AC429" t="str">
        <f>IFERROR(INDEX(diakadat!$U$2:$U$50,MATCH(D429,diakadat!$J$2:$J$50),1),"")</f>
        <v/>
      </c>
      <c r="AD429" t="str">
        <f>IFERROR(INDEX(diakadat!$V$2:$V$50,MATCH(D429,diakadat!$J$2:$J$50),1),"")</f>
        <v/>
      </c>
      <c r="AE429" t="str">
        <f>IFERROR(INDEX(diakadat!$W$2:$W$50,MATCH(D429,diakadat!$J$2:$J$50),1),"")</f>
        <v/>
      </c>
      <c r="AI429" t="str">
        <f>IFERROR(INDEX(diakadat!$X$2:$X$50,MATCH(D429,diakadat!$J$2:$J$50),1),"")</f>
        <v/>
      </c>
      <c r="AK429">
        <f t="shared" si="6"/>
        <v>329</v>
      </c>
      <c r="AL429" t="str" cm="1">
        <f t="array" ref="AL429">ElsoBetuNagy(R429)</f>
        <v/>
      </c>
      <c r="AO429" t="str" cm="1">
        <f t="array" ref="AO429">DatumSzovegge5(AN429)</f>
        <v>1899.</v>
      </c>
      <c r="AP429" t="str" cm="1">
        <f t="array" ref="AP429">DatumSzovegge3(AN429)</f>
        <v>december</v>
      </c>
      <c r="AQ429" t="str" cm="1">
        <f t="array" ref="AQ429">DatumSzovegge4(AN429)</f>
        <v>30.</v>
      </c>
    </row>
    <row r="430" spans="4:43" x14ac:dyDescent="0.25">
      <c r="D430" t="str" cm="1">
        <f t="array" ref="D430">SzuressNev($B$1,ROW()-1)</f>
        <v/>
      </c>
      <c r="E430">
        <f>COUNTIF($D$2:D430,D430)</f>
        <v>409</v>
      </c>
      <c r="F430" t="str" cm="1">
        <f t="array" ref="F430">ElutasitasEgyOk2(D430,E430)</f>
        <v/>
      </c>
      <c r="G430" t="str">
        <f>IFERROR(INDEX(diakadat!$I$2:$I$50,MATCH(D430,diakadat!$J$2:$J$50,0),1),"")</f>
        <v/>
      </c>
      <c r="H430" t="str">
        <f>IFERROR(INDEX(diakadat!$O$2:$O$50,MATCH(D430,diakadat!$J$2:$J$50,0),1),"")</f>
        <v/>
      </c>
      <c r="I430" t="str">
        <f>IFERROR(INDEX(diakadat!#REF!,MATCH(D430,diakadat!$J$2:$J$50,0),1),"")</f>
        <v/>
      </c>
      <c r="J430" t="str">
        <f>IFERROR(INDEX(diakadat!$K$2:$K$50,MATCH(D430,diakadat!$J$2:$J$50,0),1),"")</f>
        <v/>
      </c>
      <c r="K430" t="str" cm="1">
        <f t="array" ref="K430">IFERROR(DatumSzovegge2(INDEX(diakadat!$L$2:$L$50,MATCH(D430,diakadat!$J$2:$J$50,0),1)),"")</f>
        <v/>
      </c>
      <c r="L430" t="str" cm="1">
        <f t="array" ref="L430">IFERROR(DatumSzovegge5(INDEX(diakadat!$L$2:$L$50,MATCH(D430,diakadat!$J$2:$J$50,0),1)),"")</f>
        <v/>
      </c>
      <c r="M430" t="str" cm="1">
        <f t="array" ref="M430">IFERROR(DatumSzovegge3(INDEX(diakadat!$L$2:$L$50,MATCH(D430,diakadat!$J$2:$J$50,0),1)),"")</f>
        <v/>
      </c>
      <c r="N430" t="str" cm="1">
        <f t="array" ref="N430">IFERROR(DatumSzovegge4(INDEX(diakadat!$L$2:$L$50,MATCH(D430,diakadat!$J$2:$J$50,0),1)),"")</f>
        <v/>
      </c>
      <c r="O430" t="str">
        <f>IFERROR(INDEX(diakadat!$R$2:$R$50,MATCH(D430,diakadat!$J$2:$J$50,0),1),"")</f>
        <v/>
      </c>
      <c r="P430" t="str">
        <f>IFERROR(INDEX(diakadat!$AI$2:$AI$50,MATCH(D430,diakadat!$J$2:$J$50,0),1),"")</f>
        <v/>
      </c>
      <c r="Q430" t="str">
        <f>IFERROR(INDEX('rangsor'!$C$2:$C$343,MATCH(D430,'rangsor'!$A$2:$A$343,0),1),"")</f>
        <v/>
      </c>
      <c r="T430" t="s">
        <v>831</v>
      </c>
      <c r="U430" t="str" cm="1">
        <f t="array" ref="U430">Határozat(D430)</f>
        <v/>
      </c>
      <c r="AC430" t="str">
        <f>IFERROR(INDEX(diakadat!$U$2:$U$50,MATCH(D430,diakadat!$J$2:$J$50),1),"")</f>
        <v/>
      </c>
      <c r="AD430" t="str">
        <f>IFERROR(INDEX(diakadat!$V$2:$V$50,MATCH(D430,diakadat!$J$2:$J$50),1),"")</f>
        <v/>
      </c>
      <c r="AE430" t="str">
        <f>IFERROR(INDEX(diakadat!$W$2:$W$50,MATCH(D430,diakadat!$J$2:$J$50),1),"")</f>
        <v/>
      </c>
      <c r="AI430" t="str">
        <f>IFERROR(INDEX(diakadat!$X$2:$X$50,MATCH(D430,diakadat!$J$2:$J$50),1),"")</f>
        <v/>
      </c>
      <c r="AK430">
        <f t="shared" si="6"/>
        <v>329</v>
      </c>
      <c r="AL430" t="str" cm="1">
        <f t="array" ref="AL430">ElsoBetuNagy(R430)</f>
        <v/>
      </c>
      <c r="AO430" t="str" cm="1">
        <f t="array" ref="AO430">DatumSzovegge5(AN430)</f>
        <v>1899.</v>
      </c>
      <c r="AP430" t="str" cm="1">
        <f t="array" ref="AP430">DatumSzovegge3(AN430)</f>
        <v>december</v>
      </c>
      <c r="AQ430" t="str" cm="1">
        <f t="array" ref="AQ430">DatumSzovegge4(AN430)</f>
        <v>30.</v>
      </c>
    </row>
    <row r="431" spans="4:43" x14ac:dyDescent="0.25">
      <c r="D431" t="str" cm="1">
        <f t="array" ref="D431">SzuressNev($B$1,ROW()-1)</f>
        <v/>
      </c>
      <c r="E431">
        <f>COUNTIF($D$2:D431,D431)</f>
        <v>410</v>
      </c>
      <c r="F431" t="str" cm="1">
        <f t="array" ref="F431">ElutasitasEgyOk2(D431,E431)</f>
        <v/>
      </c>
      <c r="G431" t="str">
        <f>IFERROR(INDEX(diakadat!$I$2:$I$50,MATCH(D431,diakadat!$J$2:$J$50,0),1),"")</f>
        <v/>
      </c>
      <c r="H431" t="str">
        <f>IFERROR(INDEX(diakadat!$O$2:$O$50,MATCH(D431,diakadat!$J$2:$J$50,0),1),"")</f>
        <v/>
      </c>
      <c r="I431" t="str">
        <f>IFERROR(INDEX(diakadat!#REF!,MATCH(D431,diakadat!$J$2:$J$50,0),1),"")</f>
        <v/>
      </c>
      <c r="J431" t="str">
        <f>IFERROR(INDEX(diakadat!$K$2:$K$50,MATCH(D431,diakadat!$J$2:$J$50,0),1),"")</f>
        <v/>
      </c>
      <c r="K431" t="str" cm="1">
        <f t="array" ref="K431">IFERROR(DatumSzovegge2(INDEX(diakadat!$L$2:$L$50,MATCH(D431,diakadat!$J$2:$J$50,0),1)),"")</f>
        <v/>
      </c>
      <c r="L431" t="str" cm="1">
        <f t="array" ref="L431">IFERROR(DatumSzovegge5(INDEX(diakadat!$L$2:$L$50,MATCH(D431,diakadat!$J$2:$J$50,0),1)),"")</f>
        <v/>
      </c>
      <c r="M431" t="str" cm="1">
        <f t="array" ref="M431">IFERROR(DatumSzovegge3(INDEX(diakadat!$L$2:$L$50,MATCH(D431,diakadat!$J$2:$J$50,0),1)),"")</f>
        <v/>
      </c>
      <c r="N431" t="str" cm="1">
        <f t="array" ref="N431">IFERROR(DatumSzovegge4(INDEX(diakadat!$L$2:$L$50,MATCH(D431,diakadat!$J$2:$J$50,0),1)),"")</f>
        <v/>
      </c>
      <c r="O431" t="str">
        <f>IFERROR(INDEX(diakadat!$R$2:$R$50,MATCH(D431,diakadat!$J$2:$J$50,0),1),"")</f>
        <v/>
      </c>
      <c r="P431" t="str">
        <f>IFERROR(INDEX(diakadat!$AI$2:$AI$50,MATCH(D431,diakadat!$J$2:$J$50,0),1),"")</f>
        <v/>
      </c>
      <c r="Q431" t="str">
        <f>IFERROR(INDEX('rangsor'!$C$2:$C$343,MATCH(D431,'rangsor'!$A$2:$A$343,0),1),"")</f>
        <v/>
      </c>
      <c r="T431" t="s">
        <v>831</v>
      </c>
      <c r="U431" t="str" cm="1">
        <f t="array" ref="U431">Határozat(D431)</f>
        <v/>
      </c>
      <c r="AC431" t="str">
        <f>IFERROR(INDEX(diakadat!$U$2:$U$50,MATCH(D431,diakadat!$J$2:$J$50),1),"")</f>
        <v/>
      </c>
      <c r="AD431" t="str">
        <f>IFERROR(INDEX(diakadat!$V$2:$V$50,MATCH(D431,diakadat!$J$2:$J$50),1),"")</f>
        <v/>
      </c>
      <c r="AE431" t="str">
        <f>IFERROR(INDEX(diakadat!$W$2:$W$50,MATCH(D431,diakadat!$J$2:$J$50),1),"")</f>
        <v/>
      </c>
      <c r="AI431" t="str">
        <f>IFERROR(INDEX(diakadat!$X$2:$X$50,MATCH(D431,diakadat!$J$2:$J$50),1),"")</f>
        <v/>
      </c>
      <c r="AK431">
        <f t="shared" si="6"/>
        <v>329</v>
      </c>
      <c r="AL431" t="str" cm="1">
        <f t="array" ref="AL431">ElsoBetuNagy(R431)</f>
        <v/>
      </c>
      <c r="AO431" t="str" cm="1">
        <f t="array" ref="AO431">DatumSzovegge5(AN431)</f>
        <v>1899.</v>
      </c>
      <c r="AP431" t="str" cm="1">
        <f t="array" ref="AP431">DatumSzovegge3(AN431)</f>
        <v>december</v>
      </c>
      <c r="AQ431" t="str" cm="1">
        <f t="array" ref="AQ431">DatumSzovegge4(AN431)</f>
        <v>30.</v>
      </c>
    </row>
    <row r="432" spans="4:43" x14ac:dyDescent="0.25">
      <c r="D432" t="str" cm="1">
        <f t="array" ref="D432">SzuressNev($B$1,ROW()-1)</f>
        <v/>
      </c>
      <c r="E432">
        <f>COUNTIF($D$2:D432,D432)</f>
        <v>411</v>
      </c>
      <c r="F432" t="str" cm="1">
        <f t="array" ref="F432">ElutasitasEgyOk2(D432,E432)</f>
        <v/>
      </c>
      <c r="G432" t="str">
        <f>IFERROR(INDEX(diakadat!$I$2:$I$50,MATCH(D432,diakadat!$J$2:$J$50,0),1),"")</f>
        <v/>
      </c>
      <c r="H432" t="str">
        <f>IFERROR(INDEX(diakadat!$O$2:$O$50,MATCH(D432,diakadat!$J$2:$J$50,0),1),"")</f>
        <v/>
      </c>
      <c r="I432" t="str">
        <f>IFERROR(INDEX(diakadat!#REF!,MATCH(D432,diakadat!$J$2:$J$50,0),1),"")</f>
        <v/>
      </c>
      <c r="J432" t="str">
        <f>IFERROR(INDEX(diakadat!$K$2:$K$50,MATCH(D432,diakadat!$J$2:$J$50,0),1),"")</f>
        <v/>
      </c>
      <c r="K432" t="str" cm="1">
        <f t="array" ref="K432">IFERROR(DatumSzovegge2(INDEX(diakadat!$L$2:$L$50,MATCH(D432,diakadat!$J$2:$J$50,0),1)),"")</f>
        <v/>
      </c>
      <c r="L432" t="str" cm="1">
        <f t="array" ref="L432">IFERROR(DatumSzovegge5(INDEX(diakadat!$L$2:$L$50,MATCH(D432,diakadat!$J$2:$J$50,0),1)),"")</f>
        <v/>
      </c>
      <c r="M432" t="str" cm="1">
        <f t="array" ref="M432">IFERROR(DatumSzovegge3(INDEX(diakadat!$L$2:$L$50,MATCH(D432,diakadat!$J$2:$J$50,0),1)),"")</f>
        <v/>
      </c>
      <c r="N432" t="str" cm="1">
        <f t="array" ref="N432">IFERROR(DatumSzovegge4(INDEX(diakadat!$L$2:$L$50,MATCH(D432,diakadat!$J$2:$J$50,0),1)),"")</f>
        <v/>
      </c>
      <c r="O432" t="str">
        <f>IFERROR(INDEX(diakadat!$R$2:$R$50,MATCH(D432,diakadat!$J$2:$J$50,0),1),"")</f>
        <v/>
      </c>
      <c r="P432" t="str">
        <f>IFERROR(INDEX(diakadat!$AI$2:$AI$50,MATCH(D432,diakadat!$J$2:$J$50,0),1),"")</f>
        <v/>
      </c>
      <c r="Q432" t="str">
        <f>IFERROR(INDEX('rangsor'!$C$2:$C$343,MATCH(D432,'rangsor'!$A$2:$A$343,0),1),"")</f>
        <v/>
      </c>
      <c r="T432" t="s">
        <v>831</v>
      </c>
      <c r="U432" t="str" cm="1">
        <f t="array" ref="U432">Határozat(D432)</f>
        <v/>
      </c>
      <c r="AC432" t="str">
        <f>IFERROR(INDEX(diakadat!$U$2:$U$50,MATCH(D432,diakadat!$J$2:$J$50),1),"")</f>
        <v/>
      </c>
      <c r="AD432" t="str">
        <f>IFERROR(INDEX(diakadat!$V$2:$V$50,MATCH(D432,diakadat!$J$2:$J$50),1),"")</f>
        <v/>
      </c>
      <c r="AE432" t="str">
        <f>IFERROR(INDEX(diakadat!$W$2:$W$50,MATCH(D432,diakadat!$J$2:$J$50),1),"")</f>
        <v/>
      </c>
      <c r="AI432" t="str">
        <f>IFERROR(INDEX(diakadat!$X$2:$X$50,MATCH(D432,diakadat!$J$2:$J$50),1),"")</f>
        <v/>
      </c>
      <c r="AK432">
        <f t="shared" si="6"/>
        <v>329</v>
      </c>
      <c r="AL432" t="str" cm="1">
        <f t="array" ref="AL432">ElsoBetuNagy(R432)</f>
        <v/>
      </c>
      <c r="AO432" t="str" cm="1">
        <f t="array" ref="AO432">DatumSzovegge5(AN432)</f>
        <v>1899.</v>
      </c>
      <c r="AP432" t="str" cm="1">
        <f t="array" ref="AP432">DatumSzovegge3(AN432)</f>
        <v>december</v>
      </c>
      <c r="AQ432" t="str" cm="1">
        <f t="array" ref="AQ432">DatumSzovegge4(AN432)</f>
        <v>30.</v>
      </c>
    </row>
    <row r="433" spans="4:43" x14ac:dyDescent="0.25">
      <c r="D433" t="str" cm="1">
        <f t="array" ref="D433">SzuressNev($B$1,ROW()-1)</f>
        <v/>
      </c>
      <c r="E433">
        <f>COUNTIF($D$2:D433,D433)</f>
        <v>412</v>
      </c>
      <c r="F433" t="str" cm="1">
        <f t="array" ref="F433">ElutasitasEgyOk2(D433,E433)</f>
        <v/>
      </c>
      <c r="G433" t="str">
        <f>IFERROR(INDEX(diakadat!$I$2:$I$50,MATCH(D433,diakadat!$J$2:$J$50,0),1),"")</f>
        <v/>
      </c>
      <c r="H433" t="str">
        <f>IFERROR(INDEX(diakadat!$O$2:$O$50,MATCH(D433,diakadat!$J$2:$J$50,0),1),"")</f>
        <v/>
      </c>
      <c r="I433" t="str">
        <f>IFERROR(INDEX(diakadat!#REF!,MATCH(D433,diakadat!$J$2:$J$50,0),1),"")</f>
        <v/>
      </c>
      <c r="J433" t="str">
        <f>IFERROR(INDEX(diakadat!$K$2:$K$50,MATCH(D433,diakadat!$J$2:$J$50,0),1),"")</f>
        <v/>
      </c>
      <c r="K433" t="str" cm="1">
        <f t="array" ref="K433">IFERROR(DatumSzovegge2(INDEX(diakadat!$L$2:$L$50,MATCH(D433,diakadat!$J$2:$J$50,0),1)),"")</f>
        <v/>
      </c>
      <c r="L433" t="str" cm="1">
        <f t="array" ref="L433">IFERROR(DatumSzovegge5(INDEX(diakadat!$L$2:$L$50,MATCH(D433,diakadat!$J$2:$J$50,0),1)),"")</f>
        <v/>
      </c>
      <c r="M433" t="str" cm="1">
        <f t="array" ref="M433">IFERROR(DatumSzovegge3(INDEX(diakadat!$L$2:$L$50,MATCH(D433,diakadat!$J$2:$J$50,0),1)),"")</f>
        <v/>
      </c>
      <c r="N433" t="str" cm="1">
        <f t="array" ref="N433">IFERROR(DatumSzovegge4(INDEX(diakadat!$L$2:$L$50,MATCH(D433,diakadat!$J$2:$J$50,0),1)),"")</f>
        <v/>
      </c>
      <c r="O433" t="str">
        <f>IFERROR(INDEX(diakadat!$R$2:$R$50,MATCH(D433,diakadat!$J$2:$J$50,0),1),"")</f>
        <v/>
      </c>
      <c r="P433" t="str">
        <f>IFERROR(INDEX(diakadat!$AI$2:$AI$50,MATCH(D433,diakadat!$J$2:$J$50,0),1),"")</f>
        <v/>
      </c>
      <c r="Q433" t="str">
        <f>IFERROR(INDEX('rangsor'!$C$2:$C$343,MATCH(D433,'rangsor'!$A$2:$A$343,0),1),"")</f>
        <v/>
      </c>
      <c r="T433" t="s">
        <v>831</v>
      </c>
      <c r="U433" t="str" cm="1">
        <f t="array" ref="U433">Határozat(D433)</f>
        <v/>
      </c>
      <c r="AC433" t="str">
        <f>IFERROR(INDEX(diakadat!$U$2:$U$50,MATCH(D433,diakadat!$J$2:$J$50),1),"")</f>
        <v/>
      </c>
      <c r="AD433" t="str">
        <f>IFERROR(INDEX(diakadat!$V$2:$V$50,MATCH(D433,diakadat!$J$2:$J$50),1),"")</f>
        <v/>
      </c>
      <c r="AE433" t="str">
        <f>IFERROR(INDEX(diakadat!$W$2:$W$50,MATCH(D433,diakadat!$J$2:$J$50),1),"")</f>
        <v/>
      </c>
      <c r="AI433" t="str">
        <f>IFERROR(INDEX(diakadat!$X$2:$X$50,MATCH(D433,diakadat!$J$2:$J$50),1),"")</f>
        <v/>
      </c>
      <c r="AK433">
        <f t="shared" si="6"/>
        <v>329</v>
      </c>
      <c r="AL433" t="str" cm="1">
        <f t="array" ref="AL433">ElsoBetuNagy(R433)</f>
        <v/>
      </c>
      <c r="AO433" t="str" cm="1">
        <f t="array" ref="AO433">DatumSzovegge5(AN433)</f>
        <v>1899.</v>
      </c>
      <c r="AP433" t="str" cm="1">
        <f t="array" ref="AP433">DatumSzovegge3(AN433)</f>
        <v>december</v>
      </c>
      <c r="AQ433" t="str" cm="1">
        <f t="array" ref="AQ433">DatumSzovegge4(AN433)</f>
        <v>30.</v>
      </c>
    </row>
    <row r="434" spans="4:43" x14ac:dyDescent="0.25">
      <c r="D434" t="str" cm="1">
        <f t="array" ref="D434">SzuressNev($B$1,ROW()-1)</f>
        <v/>
      </c>
      <c r="E434">
        <f>COUNTIF($D$2:D434,D434)</f>
        <v>413</v>
      </c>
      <c r="F434" t="str" cm="1">
        <f t="array" ref="F434">ElutasitasEgyOk2(D434,E434)</f>
        <v/>
      </c>
      <c r="G434" t="str">
        <f>IFERROR(INDEX(diakadat!$I$2:$I$50,MATCH(D434,diakadat!$J$2:$J$50,0),1),"")</f>
        <v/>
      </c>
      <c r="H434" t="str">
        <f>IFERROR(INDEX(diakadat!$O$2:$O$50,MATCH(D434,diakadat!$J$2:$J$50,0),1),"")</f>
        <v/>
      </c>
      <c r="I434" t="str">
        <f>IFERROR(INDEX(diakadat!#REF!,MATCH(D434,diakadat!$J$2:$J$50,0),1),"")</f>
        <v/>
      </c>
      <c r="J434" t="str">
        <f>IFERROR(INDEX(diakadat!$K$2:$K$50,MATCH(D434,diakadat!$J$2:$J$50,0),1),"")</f>
        <v/>
      </c>
      <c r="K434" t="str" cm="1">
        <f t="array" ref="K434">IFERROR(DatumSzovegge2(INDEX(diakadat!$L$2:$L$50,MATCH(D434,diakadat!$J$2:$J$50,0),1)),"")</f>
        <v/>
      </c>
      <c r="L434" t="str" cm="1">
        <f t="array" ref="L434">IFERROR(DatumSzovegge5(INDEX(diakadat!$L$2:$L$50,MATCH(D434,diakadat!$J$2:$J$50,0),1)),"")</f>
        <v/>
      </c>
      <c r="M434" t="str" cm="1">
        <f t="array" ref="M434">IFERROR(DatumSzovegge3(INDEX(diakadat!$L$2:$L$50,MATCH(D434,diakadat!$J$2:$J$50,0),1)),"")</f>
        <v/>
      </c>
      <c r="N434" t="str" cm="1">
        <f t="array" ref="N434">IFERROR(DatumSzovegge4(INDEX(diakadat!$L$2:$L$50,MATCH(D434,diakadat!$J$2:$J$50,0),1)),"")</f>
        <v/>
      </c>
      <c r="O434" t="str">
        <f>IFERROR(INDEX(diakadat!$R$2:$R$50,MATCH(D434,diakadat!$J$2:$J$50,0),1),"")</f>
        <v/>
      </c>
      <c r="P434" t="str">
        <f>IFERROR(INDEX(diakadat!$AI$2:$AI$50,MATCH(D434,diakadat!$J$2:$J$50,0),1),"")</f>
        <v/>
      </c>
      <c r="Q434" t="str">
        <f>IFERROR(INDEX('rangsor'!$C$2:$C$343,MATCH(D434,'rangsor'!$A$2:$A$343,0),1),"")</f>
        <v/>
      </c>
      <c r="T434" t="s">
        <v>831</v>
      </c>
      <c r="U434" t="str" cm="1">
        <f t="array" ref="U434">Határozat(D434)</f>
        <v/>
      </c>
      <c r="AC434" t="str">
        <f>IFERROR(INDEX(diakadat!$U$2:$U$50,MATCH(D434,diakadat!$J$2:$J$50),1),"")</f>
        <v/>
      </c>
      <c r="AD434" t="str">
        <f>IFERROR(INDEX(diakadat!$V$2:$V$50,MATCH(D434,diakadat!$J$2:$J$50),1),"")</f>
        <v/>
      </c>
      <c r="AE434" t="str">
        <f>IFERROR(INDEX(diakadat!$W$2:$W$50,MATCH(D434,diakadat!$J$2:$J$50),1),"")</f>
        <v/>
      </c>
      <c r="AI434" t="str">
        <f>IFERROR(INDEX(diakadat!$X$2:$X$50,MATCH(D434,diakadat!$J$2:$J$50),1),"")</f>
        <v/>
      </c>
      <c r="AK434">
        <f t="shared" si="6"/>
        <v>329</v>
      </c>
      <c r="AL434" t="str" cm="1">
        <f t="array" ref="AL434">ElsoBetuNagy(R434)</f>
        <v/>
      </c>
      <c r="AO434" t="str" cm="1">
        <f t="array" ref="AO434">DatumSzovegge5(AN434)</f>
        <v>1899.</v>
      </c>
      <c r="AP434" t="str" cm="1">
        <f t="array" ref="AP434">DatumSzovegge3(AN434)</f>
        <v>december</v>
      </c>
      <c r="AQ434" t="str" cm="1">
        <f t="array" ref="AQ434">DatumSzovegge4(AN434)</f>
        <v>30.</v>
      </c>
    </row>
    <row r="435" spans="4:43" x14ac:dyDescent="0.25">
      <c r="D435" t="str" cm="1">
        <f t="array" ref="D435">SzuressNev($B$1,ROW()-1)</f>
        <v/>
      </c>
      <c r="E435">
        <f>COUNTIF($D$2:D435,D435)</f>
        <v>414</v>
      </c>
      <c r="F435" t="str" cm="1">
        <f t="array" ref="F435">ElutasitasEgyOk2(D435,E435)</f>
        <v/>
      </c>
      <c r="G435" t="str">
        <f>IFERROR(INDEX(diakadat!$I$2:$I$50,MATCH(D435,diakadat!$J$2:$J$50,0),1),"")</f>
        <v/>
      </c>
      <c r="H435" t="str">
        <f>IFERROR(INDEX(diakadat!$O$2:$O$50,MATCH(D435,diakadat!$J$2:$J$50,0),1),"")</f>
        <v/>
      </c>
      <c r="I435" t="str">
        <f>IFERROR(INDEX(diakadat!#REF!,MATCH(D435,diakadat!$J$2:$J$50,0),1),"")</f>
        <v/>
      </c>
      <c r="J435" t="str">
        <f>IFERROR(INDEX(diakadat!$K$2:$K$50,MATCH(D435,diakadat!$J$2:$J$50,0),1),"")</f>
        <v/>
      </c>
      <c r="K435" t="str" cm="1">
        <f t="array" ref="K435">IFERROR(DatumSzovegge2(INDEX(diakadat!$L$2:$L$50,MATCH(D435,diakadat!$J$2:$J$50,0),1)),"")</f>
        <v/>
      </c>
      <c r="L435" t="str" cm="1">
        <f t="array" ref="L435">IFERROR(DatumSzovegge5(INDEX(diakadat!$L$2:$L$50,MATCH(D435,diakadat!$J$2:$J$50,0),1)),"")</f>
        <v/>
      </c>
      <c r="M435" t="str" cm="1">
        <f t="array" ref="M435">IFERROR(DatumSzovegge3(INDEX(diakadat!$L$2:$L$50,MATCH(D435,diakadat!$J$2:$J$50,0),1)),"")</f>
        <v/>
      </c>
      <c r="N435" t="str" cm="1">
        <f t="array" ref="N435">IFERROR(DatumSzovegge4(INDEX(diakadat!$L$2:$L$50,MATCH(D435,diakadat!$J$2:$J$50,0),1)),"")</f>
        <v/>
      </c>
      <c r="O435" t="str">
        <f>IFERROR(INDEX(diakadat!$R$2:$R$50,MATCH(D435,diakadat!$J$2:$J$50,0),1),"")</f>
        <v/>
      </c>
      <c r="P435" t="str">
        <f>IFERROR(INDEX(diakadat!$AI$2:$AI$50,MATCH(D435,diakadat!$J$2:$J$50,0),1),"")</f>
        <v/>
      </c>
      <c r="Q435" t="str">
        <f>IFERROR(INDEX('rangsor'!$C$2:$C$343,MATCH(D435,'rangsor'!$A$2:$A$343,0),1),"")</f>
        <v/>
      </c>
      <c r="T435" t="s">
        <v>831</v>
      </c>
      <c r="U435" t="str" cm="1">
        <f t="array" ref="U435">Határozat(D435)</f>
        <v/>
      </c>
      <c r="AC435" t="str">
        <f>IFERROR(INDEX(diakadat!$U$2:$U$50,MATCH(D435,diakadat!$J$2:$J$50),1),"")</f>
        <v/>
      </c>
      <c r="AD435" t="str">
        <f>IFERROR(INDEX(diakadat!$V$2:$V$50,MATCH(D435,diakadat!$J$2:$J$50),1),"")</f>
        <v/>
      </c>
      <c r="AE435" t="str">
        <f>IFERROR(INDEX(diakadat!$W$2:$W$50,MATCH(D435,diakadat!$J$2:$J$50),1),"")</f>
        <v/>
      </c>
      <c r="AI435" t="str">
        <f>IFERROR(INDEX(diakadat!$X$2:$X$50,MATCH(D435,diakadat!$J$2:$J$50),1),"")</f>
        <v/>
      </c>
      <c r="AK435">
        <f t="shared" si="6"/>
        <v>329</v>
      </c>
      <c r="AL435" t="str" cm="1">
        <f t="array" ref="AL435">ElsoBetuNagy(R435)</f>
        <v/>
      </c>
      <c r="AO435" t="str" cm="1">
        <f t="array" ref="AO435">DatumSzovegge5(AN435)</f>
        <v>1899.</v>
      </c>
      <c r="AP435" t="str" cm="1">
        <f t="array" ref="AP435">DatumSzovegge3(AN435)</f>
        <v>december</v>
      </c>
      <c r="AQ435" t="str" cm="1">
        <f t="array" ref="AQ435">DatumSzovegge4(AN435)</f>
        <v>30.</v>
      </c>
    </row>
    <row r="436" spans="4:43" x14ac:dyDescent="0.25">
      <c r="D436" t="str" cm="1">
        <f t="array" ref="D436">SzuressNev($B$1,ROW()-1)</f>
        <v/>
      </c>
      <c r="E436">
        <f>COUNTIF($D$2:D593,D436)</f>
        <v>572</v>
      </c>
      <c r="F436" t="str" cm="1">
        <f t="array" ref="F436">ElutasitasEgyOk2(D436,E436)</f>
        <v/>
      </c>
      <c r="G436" t="str">
        <f>IFERROR(INDEX(diakadat!$I$2:$I$50,MATCH(D436,diakadat!$J$2:$J$50,0),1),"")</f>
        <v/>
      </c>
      <c r="H436" t="str">
        <f>IFERROR(INDEX(diakadat!$O$2:$O$50,MATCH(D436,diakadat!$J$2:$J$50,0),1),"")</f>
        <v/>
      </c>
      <c r="I436" t="str">
        <f>IFERROR(INDEX(diakadat!#REF!,MATCH(D436,diakadat!$J$2:$J$50,0),1),"")</f>
        <v/>
      </c>
      <c r="J436" t="str">
        <f>IFERROR(INDEX(diakadat!$K$2:$K$50,MATCH(D436,diakadat!$J$2:$J$50,0),1),"")</f>
        <v/>
      </c>
      <c r="K436" t="str" cm="1">
        <f t="array" ref="K436">IFERROR(DatumSzovegge2(INDEX(diakadat!$L$2:$L$50,MATCH(D436,diakadat!$J$2:$J$50,0),1)),"")</f>
        <v/>
      </c>
      <c r="L436" t="str" cm="1">
        <f t="array" ref="L436">IFERROR(DatumSzovegge5(INDEX(diakadat!$L$2:$L$50,MATCH(D436,diakadat!$J$2:$J$50,0),1)),"")</f>
        <v/>
      </c>
      <c r="M436" t="str" cm="1">
        <f t="array" ref="M436">IFERROR(DatumSzovegge3(INDEX(diakadat!$L$2:$L$50,MATCH(D436,diakadat!$J$2:$J$50,0),1)),"")</f>
        <v/>
      </c>
      <c r="N436" t="str" cm="1">
        <f t="array" ref="N436">IFERROR(DatumSzovegge4(INDEX(diakadat!$L$2:$L$50,MATCH(D436,diakadat!$J$2:$J$50,0),1)),"")</f>
        <v/>
      </c>
      <c r="O436" t="str">
        <f>IFERROR(INDEX(diakadat!$R$2:$R$50,MATCH(D436,diakadat!$J$2:$J$50,0),1),"")</f>
        <v/>
      </c>
      <c r="P436" t="str">
        <f>IFERROR(INDEX(diakadat!$AI$2:$AI$50,MATCH(D436,diakadat!$J$2:$J$50,0),1),"")</f>
        <v/>
      </c>
      <c r="Q436" t="str">
        <f>IFERROR(INDEX('rangsor'!$C$2:$C$343,MATCH(D436,'rangsor'!$A$2:$A$343,0),1),"")</f>
        <v/>
      </c>
      <c r="T436" t="s">
        <v>831</v>
      </c>
      <c r="U436" t="str" cm="1">
        <f t="array" ref="U436">Határozat(D436)</f>
        <v/>
      </c>
      <c r="AC436" t="str">
        <f>IFERROR(INDEX(diakadat!$U$2:$U$50,MATCH(D436,diakadat!$J$2:$J$50),1),"")</f>
        <v/>
      </c>
      <c r="AD436" t="str">
        <f>IFERROR(INDEX(diakadat!$V$2:$V$50,MATCH(D436,diakadat!$J$2:$J$50),1),"")</f>
        <v/>
      </c>
      <c r="AE436" t="str">
        <f>IFERROR(INDEX(diakadat!$W$2:$W$50,MATCH(D436,diakadat!$J$2:$J$50),1),"")</f>
        <v/>
      </c>
      <c r="AI436" t="str">
        <f>IFERROR(INDEX(diakadat!$X$2:$X$50,MATCH(D436,diakadat!$J$2:$J$50),1),"")</f>
        <v/>
      </c>
      <c r="AK436">
        <f t="shared" si="6"/>
        <v>329</v>
      </c>
      <c r="AL436" t="str" cm="1">
        <f t="array" ref="AL436">ElsoBetuNagy(R436)</f>
        <v/>
      </c>
      <c r="AO436" t="str" cm="1">
        <f t="array" ref="AO436">DatumSzovegge5(AN436)</f>
        <v>1899.</v>
      </c>
      <c r="AP436" t="str" cm="1">
        <f t="array" ref="AP436">DatumSzovegge3(AN436)</f>
        <v>december</v>
      </c>
      <c r="AQ436" t="str" cm="1">
        <f t="array" ref="AQ436">DatumSzovegge4(AN436)</f>
        <v>30.</v>
      </c>
    </row>
    <row r="437" spans="4:43" x14ac:dyDescent="0.25">
      <c r="D437" t="str" cm="1">
        <f t="array" ref="D437">SzuressNev($B$1,ROW()-1)</f>
        <v/>
      </c>
      <c r="E437">
        <f>COUNTIF($D$2:D437,D437)</f>
        <v>416</v>
      </c>
      <c r="F437" t="str" cm="1">
        <f t="array" ref="F437">ElutasitasEgyOk2(D437,E437)</f>
        <v/>
      </c>
      <c r="G437" t="str">
        <f>IFERROR(INDEX(diakadat!$I$2:$I$50,MATCH(D437,diakadat!$J$2:$J$50,0),1),"")</f>
        <v/>
      </c>
      <c r="H437" t="str">
        <f>IFERROR(INDEX(diakadat!$O$2:$O$50,MATCH(D437,diakadat!$J$2:$J$50,0),1),"")</f>
        <v/>
      </c>
      <c r="I437" t="str">
        <f>IFERROR(INDEX(diakadat!#REF!,MATCH(D437,diakadat!$J$2:$J$50,0),1),"")</f>
        <v/>
      </c>
      <c r="J437" t="str">
        <f>IFERROR(INDEX(diakadat!$K$2:$K$50,MATCH(D437,diakadat!$J$2:$J$50,0),1),"")</f>
        <v/>
      </c>
      <c r="K437" t="str" cm="1">
        <f t="array" ref="K437">IFERROR(DatumSzovegge2(INDEX(diakadat!$L$2:$L$50,MATCH(D437,diakadat!$J$2:$J$50,0),1)),"")</f>
        <v/>
      </c>
      <c r="L437" t="str" cm="1">
        <f t="array" ref="L437">IFERROR(DatumSzovegge5(INDEX(diakadat!$L$2:$L$50,MATCH(D437,diakadat!$J$2:$J$50,0),1)),"")</f>
        <v/>
      </c>
      <c r="M437" t="str" cm="1">
        <f t="array" ref="M437">IFERROR(DatumSzovegge3(INDEX(diakadat!$L$2:$L$50,MATCH(D437,diakadat!$J$2:$J$50,0),1)),"")</f>
        <v/>
      </c>
      <c r="N437" t="str" cm="1">
        <f t="array" ref="N437">IFERROR(DatumSzovegge4(INDEX(diakadat!$L$2:$L$50,MATCH(D437,diakadat!$J$2:$J$50,0),1)),"")</f>
        <v/>
      </c>
      <c r="O437" t="str">
        <f>IFERROR(INDEX(diakadat!$R$2:$R$50,MATCH(D437,diakadat!$J$2:$J$50,0),1),"")</f>
        <v/>
      </c>
      <c r="P437" t="str">
        <f>IFERROR(INDEX(diakadat!$AI$2:$AI$50,MATCH(D437,diakadat!$J$2:$J$50,0),1),"")</f>
        <v/>
      </c>
      <c r="Q437" t="str">
        <f>IFERROR(INDEX('rangsor'!$C$2:$C$343,MATCH(D437,'rangsor'!$A$2:$A$343,0),1),"")</f>
        <v/>
      </c>
      <c r="T437" t="s">
        <v>831</v>
      </c>
      <c r="U437" t="str" cm="1">
        <f t="array" ref="U437">Határozat(D437)</f>
        <v/>
      </c>
      <c r="AC437" t="str">
        <f>IFERROR(INDEX(diakadat!$U$2:$U$50,MATCH(D437,diakadat!$J$2:$J$50),1),"")</f>
        <v/>
      </c>
      <c r="AD437" t="str">
        <f>IFERROR(INDEX(diakadat!$V$2:$V$50,MATCH(D437,diakadat!$J$2:$J$50),1),"")</f>
        <v/>
      </c>
      <c r="AE437" t="str">
        <f>IFERROR(INDEX(diakadat!$W$2:$W$50,MATCH(D437,diakadat!$J$2:$J$50),1),"")</f>
        <v/>
      </c>
      <c r="AI437" t="str">
        <f>IFERROR(INDEX(diakadat!$X$2:$X$50,MATCH(D437,diakadat!$J$2:$J$50),1),"")</f>
        <v/>
      </c>
      <c r="AK437">
        <f t="shared" si="6"/>
        <v>329</v>
      </c>
      <c r="AL437" t="str" cm="1">
        <f t="array" ref="AL437">ElsoBetuNagy(R437)</f>
        <v/>
      </c>
      <c r="AO437" t="str" cm="1">
        <f t="array" ref="AO437">DatumSzovegge5(AN437)</f>
        <v>1899.</v>
      </c>
      <c r="AP437" t="str" cm="1">
        <f t="array" ref="AP437">DatumSzovegge3(AN437)</f>
        <v>december</v>
      </c>
      <c r="AQ437" t="str" cm="1">
        <f t="array" ref="AQ437">DatumSzovegge4(AN437)</f>
        <v>30.</v>
      </c>
    </row>
    <row r="438" spans="4:43" x14ac:dyDescent="0.25">
      <c r="D438" t="str" cm="1">
        <f t="array" ref="D438">SzuressNev($B$1,ROW()-1)</f>
        <v/>
      </c>
      <c r="E438">
        <f>COUNTIF($D$2:D438,D438)</f>
        <v>417</v>
      </c>
      <c r="F438" t="str" cm="1">
        <f t="array" ref="F438">ElutasitasEgyOk2(D438,E438)</f>
        <v/>
      </c>
      <c r="G438" t="str">
        <f>IFERROR(INDEX(diakadat!$I$2:$I$50,MATCH(D438,diakadat!$J$2:$J$50,0),1),"")</f>
        <v/>
      </c>
      <c r="H438" t="str">
        <f>IFERROR(INDEX(diakadat!$O$2:$O$50,MATCH(D438,diakadat!$J$2:$J$50,0),1),"")</f>
        <v/>
      </c>
      <c r="I438" t="str">
        <f>IFERROR(INDEX(diakadat!#REF!,MATCH(D438,diakadat!$J$2:$J$50,0),1),"")</f>
        <v/>
      </c>
      <c r="J438" t="str">
        <f>IFERROR(INDEX(diakadat!$K$2:$K$50,MATCH(D438,diakadat!$J$2:$J$50,0),1),"")</f>
        <v/>
      </c>
      <c r="K438" t="str" cm="1">
        <f t="array" ref="K438">IFERROR(DatumSzovegge2(INDEX(diakadat!$L$2:$L$50,MATCH(D438,diakadat!$J$2:$J$50,0),1)),"")</f>
        <v/>
      </c>
      <c r="L438" t="str" cm="1">
        <f t="array" ref="L438">IFERROR(DatumSzovegge5(INDEX(diakadat!$L$2:$L$50,MATCH(D438,diakadat!$J$2:$J$50,0),1)),"")</f>
        <v/>
      </c>
      <c r="M438" t="str" cm="1">
        <f t="array" ref="M438">IFERROR(DatumSzovegge3(INDEX(diakadat!$L$2:$L$50,MATCH(D438,diakadat!$J$2:$J$50,0),1)),"")</f>
        <v/>
      </c>
      <c r="N438" t="str" cm="1">
        <f t="array" ref="N438">IFERROR(DatumSzovegge4(INDEX(diakadat!$L$2:$L$50,MATCH(D438,diakadat!$J$2:$J$50,0),1)),"")</f>
        <v/>
      </c>
      <c r="O438" t="str">
        <f>IFERROR(INDEX(diakadat!$R$2:$R$50,MATCH(D438,diakadat!$J$2:$J$50,0),1),"")</f>
        <v/>
      </c>
      <c r="P438" t="str">
        <f>IFERROR(INDEX(diakadat!$AI$2:$AI$50,MATCH(D438,diakadat!$J$2:$J$50,0),1),"")</f>
        <v/>
      </c>
      <c r="Q438" t="str">
        <f>IFERROR(INDEX('rangsor'!$C$2:$C$343,MATCH(D438,'rangsor'!$A$2:$A$343,0),1),"")</f>
        <v/>
      </c>
      <c r="T438" t="s">
        <v>831</v>
      </c>
      <c r="U438" t="str" cm="1">
        <f t="array" ref="U438">Határozat(D438)</f>
        <v/>
      </c>
      <c r="AC438" t="str">
        <f>IFERROR(INDEX(diakadat!$U$2:$U$50,MATCH(D438,diakadat!$J$2:$J$50),1),"")</f>
        <v/>
      </c>
      <c r="AD438" t="str">
        <f>IFERROR(INDEX(diakadat!$V$2:$V$50,MATCH(D438,diakadat!$J$2:$J$50),1),"")</f>
        <v/>
      </c>
      <c r="AE438" t="str">
        <f>IFERROR(INDEX(diakadat!$W$2:$W$50,MATCH(D438,diakadat!$J$2:$J$50),1),"")</f>
        <v/>
      </c>
      <c r="AI438" t="str">
        <f>IFERROR(INDEX(diakadat!$X$2:$X$50,MATCH(D438,diakadat!$J$2:$J$50),1),"")</f>
        <v/>
      </c>
      <c r="AK438">
        <f t="shared" si="6"/>
        <v>329</v>
      </c>
      <c r="AL438" t="str" cm="1">
        <f t="array" ref="AL438">ElsoBetuNagy(R438)</f>
        <v/>
      </c>
      <c r="AO438" t="str" cm="1">
        <f t="array" ref="AO438">DatumSzovegge5(AN438)</f>
        <v>1899.</v>
      </c>
      <c r="AP438" t="str" cm="1">
        <f t="array" ref="AP438">DatumSzovegge3(AN438)</f>
        <v>december</v>
      </c>
      <c r="AQ438" t="str" cm="1">
        <f t="array" ref="AQ438">DatumSzovegge4(AN438)</f>
        <v>30.</v>
      </c>
    </row>
    <row r="439" spans="4:43" x14ac:dyDescent="0.25">
      <c r="D439" t="str" cm="1">
        <f t="array" ref="D439">SzuressNev($B$1,ROW()-1)</f>
        <v/>
      </c>
      <c r="E439">
        <f>COUNTIF($D$2:D439,D439)</f>
        <v>418</v>
      </c>
      <c r="F439" t="str" cm="1">
        <f t="array" ref="F439">ElutasitasEgyOk2(D439,E439)</f>
        <v/>
      </c>
      <c r="G439" t="str">
        <f>IFERROR(INDEX(diakadat!$I$2:$I$50,MATCH(D439,diakadat!$J$2:$J$50,0),1),"")</f>
        <v/>
      </c>
      <c r="H439" t="str">
        <f>IFERROR(INDEX(diakadat!$O$2:$O$50,MATCH(D439,diakadat!$J$2:$J$50,0),1),"")</f>
        <v/>
      </c>
      <c r="I439" t="str">
        <f>IFERROR(INDEX(diakadat!#REF!,MATCH(D439,diakadat!$J$2:$J$50,0),1),"")</f>
        <v/>
      </c>
      <c r="J439" t="str">
        <f>IFERROR(INDEX(diakadat!$K$2:$K$50,MATCH(D439,diakadat!$J$2:$J$50,0),1),"")</f>
        <v/>
      </c>
      <c r="K439" t="str" cm="1">
        <f t="array" ref="K439">IFERROR(DatumSzovegge2(INDEX(diakadat!$L$2:$L$50,MATCH(D439,diakadat!$J$2:$J$50,0),1)),"")</f>
        <v/>
      </c>
      <c r="L439" t="str" cm="1">
        <f t="array" ref="L439">IFERROR(DatumSzovegge5(INDEX(diakadat!$L$2:$L$50,MATCH(D439,diakadat!$J$2:$J$50,0),1)),"")</f>
        <v/>
      </c>
      <c r="M439" t="str" cm="1">
        <f t="array" ref="M439">IFERROR(DatumSzovegge3(INDEX(diakadat!$L$2:$L$50,MATCH(D439,diakadat!$J$2:$J$50,0),1)),"")</f>
        <v/>
      </c>
      <c r="N439" t="str" cm="1">
        <f t="array" ref="N439">IFERROR(DatumSzovegge4(INDEX(diakadat!$L$2:$L$50,MATCH(D439,diakadat!$J$2:$J$50,0),1)),"")</f>
        <v/>
      </c>
      <c r="O439" t="str">
        <f>IFERROR(INDEX(diakadat!$R$2:$R$50,MATCH(D439,diakadat!$J$2:$J$50,0),1),"")</f>
        <v/>
      </c>
      <c r="P439" t="str">
        <f>IFERROR(INDEX(diakadat!$AI$2:$AI$50,MATCH(D439,diakadat!$J$2:$J$50,0),1),"")</f>
        <v/>
      </c>
      <c r="Q439" t="str">
        <f>IFERROR(INDEX('rangsor'!$C$2:$C$343,MATCH(D439,'rangsor'!$A$2:$A$343,0),1),"")</f>
        <v/>
      </c>
      <c r="T439" t="s">
        <v>831</v>
      </c>
      <c r="U439" t="str" cm="1">
        <f t="array" ref="U439">Határozat(D439)</f>
        <v/>
      </c>
      <c r="AC439" t="str">
        <f>IFERROR(INDEX(diakadat!$U$2:$U$50,MATCH(D439,diakadat!$J$2:$J$50),1),"")</f>
        <v/>
      </c>
      <c r="AD439" t="str">
        <f>IFERROR(INDEX(diakadat!$V$2:$V$50,MATCH(D439,diakadat!$J$2:$J$50),1),"")</f>
        <v/>
      </c>
      <c r="AE439" t="str">
        <f>IFERROR(INDEX(diakadat!$W$2:$W$50,MATCH(D439,diakadat!$J$2:$J$50),1),"")</f>
        <v/>
      </c>
      <c r="AI439" t="str">
        <f>IFERROR(INDEX(diakadat!$X$2:$X$50,MATCH(D439,diakadat!$J$2:$J$50),1),"")</f>
        <v/>
      </c>
      <c r="AK439">
        <f t="shared" si="6"/>
        <v>329</v>
      </c>
      <c r="AL439" t="str" cm="1">
        <f t="array" ref="AL439">ElsoBetuNagy(R439)</f>
        <v/>
      </c>
      <c r="AO439" t="str" cm="1">
        <f t="array" ref="AO439">DatumSzovegge5(AN439)</f>
        <v>1899.</v>
      </c>
      <c r="AP439" t="str" cm="1">
        <f t="array" ref="AP439">DatumSzovegge3(AN439)</f>
        <v>december</v>
      </c>
      <c r="AQ439" t="str" cm="1">
        <f t="array" ref="AQ439">DatumSzovegge4(AN439)</f>
        <v>30.</v>
      </c>
    </row>
    <row r="440" spans="4:43" x14ac:dyDescent="0.25">
      <c r="D440" t="str" cm="1">
        <f t="array" ref="D440">SzuressNev($B$1,ROW()-1)</f>
        <v/>
      </c>
      <c r="E440">
        <f>COUNTIF($D$2:D440,D440)</f>
        <v>419</v>
      </c>
      <c r="F440" t="str" cm="1">
        <f t="array" ref="F440">ElutasitasEgyOk2(D440,E440)</f>
        <v/>
      </c>
      <c r="G440" t="str">
        <f>IFERROR(INDEX(diakadat!$I$2:$I$50,MATCH(D440,diakadat!$J$2:$J$50,0),1),"")</f>
        <v/>
      </c>
      <c r="H440" t="str">
        <f>IFERROR(INDEX(diakadat!$O$2:$O$50,MATCH(D440,diakadat!$J$2:$J$50,0),1),"")</f>
        <v/>
      </c>
      <c r="I440" t="str">
        <f>IFERROR(INDEX(diakadat!#REF!,MATCH(D440,diakadat!$J$2:$J$50,0),1),"")</f>
        <v/>
      </c>
      <c r="J440" t="str">
        <f>IFERROR(INDEX(diakadat!$K$2:$K$50,MATCH(D440,diakadat!$J$2:$J$50,0),1),"")</f>
        <v/>
      </c>
      <c r="K440" t="str" cm="1">
        <f t="array" ref="K440">IFERROR(DatumSzovegge2(INDEX(diakadat!$L$2:$L$50,MATCH(D440,diakadat!$J$2:$J$50,0),1)),"")</f>
        <v/>
      </c>
      <c r="L440" t="str" cm="1">
        <f t="array" ref="L440">IFERROR(DatumSzovegge5(INDEX(diakadat!$L$2:$L$50,MATCH(D440,diakadat!$J$2:$J$50,0),1)),"")</f>
        <v/>
      </c>
      <c r="M440" t="str" cm="1">
        <f t="array" ref="M440">IFERROR(DatumSzovegge3(INDEX(diakadat!$L$2:$L$50,MATCH(D440,diakadat!$J$2:$J$50,0),1)),"")</f>
        <v/>
      </c>
      <c r="N440" t="str" cm="1">
        <f t="array" ref="N440">IFERROR(DatumSzovegge4(INDEX(diakadat!$L$2:$L$50,MATCH(D440,diakadat!$J$2:$J$50,0),1)),"")</f>
        <v/>
      </c>
      <c r="O440" t="str">
        <f>IFERROR(INDEX(diakadat!$R$2:$R$50,MATCH(D440,diakadat!$J$2:$J$50,0),1),"")</f>
        <v/>
      </c>
      <c r="P440" t="str">
        <f>IFERROR(INDEX(diakadat!$AI$2:$AI$50,MATCH(D440,diakadat!$J$2:$J$50,0),1),"")</f>
        <v/>
      </c>
      <c r="Q440" t="str">
        <f>IFERROR(INDEX('rangsor'!$C$2:$C$343,MATCH(D440,'rangsor'!$A$2:$A$343,0),1),"")</f>
        <v/>
      </c>
      <c r="T440" t="s">
        <v>831</v>
      </c>
      <c r="U440" t="str" cm="1">
        <f t="array" ref="U440">Határozat(D440)</f>
        <v/>
      </c>
      <c r="AC440" t="str">
        <f>IFERROR(INDEX(diakadat!$U$2:$U$50,MATCH(D440,diakadat!$J$2:$J$50),1),"")</f>
        <v/>
      </c>
      <c r="AD440" t="str">
        <f>IFERROR(INDEX(diakadat!$V$2:$V$50,MATCH(D440,diakadat!$J$2:$J$50),1),"")</f>
        <v/>
      </c>
      <c r="AE440" t="str">
        <f>IFERROR(INDEX(diakadat!$W$2:$W$50,MATCH(D440,diakadat!$J$2:$J$50),1),"")</f>
        <v/>
      </c>
      <c r="AI440" t="str">
        <f>IFERROR(INDEX(diakadat!$X$2:$X$50,MATCH(D440,diakadat!$J$2:$J$50),1),"")</f>
        <v/>
      </c>
      <c r="AK440">
        <f t="shared" si="6"/>
        <v>329</v>
      </c>
      <c r="AL440" t="str" cm="1">
        <f t="array" ref="AL440">ElsoBetuNagy(R440)</f>
        <v/>
      </c>
      <c r="AO440" t="str" cm="1">
        <f t="array" ref="AO440">DatumSzovegge5(AN440)</f>
        <v>1899.</v>
      </c>
      <c r="AP440" t="str" cm="1">
        <f t="array" ref="AP440">DatumSzovegge3(AN440)</f>
        <v>december</v>
      </c>
      <c r="AQ440" t="str" cm="1">
        <f t="array" ref="AQ440">DatumSzovegge4(AN440)</f>
        <v>30.</v>
      </c>
    </row>
    <row r="441" spans="4:43" x14ac:dyDescent="0.25">
      <c r="D441" t="str" cm="1">
        <f t="array" ref="D441">SzuressNev($B$1,ROW()-1)</f>
        <v/>
      </c>
      <c r="E441">
        <f>COUNTIF($D$2:D441,D441)</f>
        <v>420</v>
      </c>
      <c r="F441" t="str" cm="1">
        <f t="array" ref="F441">ElutasitasEgyOk2(D441,E441)</f>
        <v/>
      </c>
      <c r="G441" t="str">
        <f>IFERROR(INDEX(diakadat!$I$2:$I$50,MATCH(D441,diakadat!$J$2:$J$50,0),1),"")</f>
        <v/>
      </c>
      <c r="H441" t="str">
        <f>IFERROR(INDEX(diakadat!$O$2:$O$50,MATCH(D441,diakadat!$J$2:$J$50,0),1),"")</f>
        <v/>
      </c>
      <c r="I441" t="str">
        <f>IFERROR(INDEX(diakadat!#REF!,MATCH(D441,diakadat!$J$2:$J$50,0),1),"")</f>
        <v/>
      </c>
      <c r="J441" t="str">
        <f>IFERROR(INDEX(diakadat!$K$2:$K$50,MATCH(D441,diakadat!$J$2:$J$50,0),1),"")</f>
        <v/>
      </c>
      <c r="K441" t="str" cm="1">
        <f t="array" ref="K441">IFERROR(DatumSzovegge2(INDEX(diakadat!$L$2:$L$50,MATCH(D441,diakadat!$J$2:$J$50,0),1)),"")</f>
        <v/>
      </c>
      <c r="L441" t="str" cm="1">
        <f t="array" ref="L441">IFERROR(DatumSzovegge5(INDEX(diakadat!$L$2:$L$50,MATCH(D441,diakadat!$J$2:$J$50,0),1)),"")</f>
        <v/>
      </c>
      <c r="M441" t="str" cm="1">
        <f t="array" ref="M441">IFERROR(DatumSzovegge3(INDEX(diakadat!$L$2:$L$50,MATCH(D441,diakadat!$J$2:$J$50,0),1)),"")</f>
        <v/>
      </c>
      <c r="N441" t="str" cm="1">
        <f t="array" ref="N441">IFERROR(DatumSzovegge4(INDEX(diakadat!$L$2:$L$50,MATCH(D441,diakadat!$J$2:$J$50,0),1)),"")</f>
        <v/>
      </c>
      <c r="O441" t="str">
        <f>IFERROR(INDEX(diakadat!$R$2:$R$50,MATCH(D441,diakadat!$J$2:$J$50,0),1),"")</f>
        <v/>
      </c>
      <c r="P441" t="str">
        <f>IFERROR(INDEX(diakadat!$AI$2:$AI$50,MATCH(D441,diakadat!$J$2:$J$50,0),1),"")</f>
        <v/>
      </c>
      <c r="Q441" t="str">
        <f>IFERROR(INDEX('rangsor'!$C$2:$C$343,MATCH(D441,'rangsor'!$A$2:$A$343,0),1),"")</f>
        <v/>
      </c>
      <c r="T441" t="s">
        <v>831</v>
      </c>
      <c r="U441" t="str" cm="1">
        <f t="array" ref="U441">Határozat(D441)</f>
        <v/>
      </c>
      <c r="AC441" t="str">
        <f>IFERROR(INDEX(diakadat!$U$2:$U$50,MATCH(D441,diakadat!$J$2:$J$50),1),"")</f>
        <v/>
      </c>
      <c r="AD441" t="str">
        <f>IFERROR(INDEX(diakadat!$V$2:$V$50,MATCH(D441,diakadat!$J$2:$J$50),1),"")</f>
        <v/>
      </c>
      <c r="AE441" t="str">
        <f>IFERROR(INDEX(diakadat!$W$2:$W$50,MATCH(D441,diakadat!$J$2:$J$50),1),"")</f>
        <v/>
      </c>
      <c r="AI441" t="str">
        <f>IFERROR(INDEX(diakadat!$X$2:$X$50,MATCH(D441,diakadat!$J$2:$J$50),1),"")</f>
        <v/>
      </c>
      <c r="AK441">
        <f t="shared" si="6"/>
        <v>329</v>
      </c>
      <c r="AL441" t="str" cm="1">
        <f t="array" ref="AL441">ElsoBetuNagy(R441)</f>
        <v/>
      </c>
      <c r="AO441" t="str" cm="1">
        <f t="array" ref="AO441">DatumSzovegge5(AN441)</f>
        <v>1899.</v>
      </c>
      <c r="AP441" t="str" cm="1">
        <f t="array" ref="AP441">DatumSzovegge3(AN441)</f>
        <v>december</v>
      </c>
      <c r="AQ441" t="str" cm="1">
        <f t="array" ref="AQ441">DatumSzovegge4(AN441)</f>
        <v>30.</v>
      </c>
    </row>
    <row r="442" spans="4:43" x14ac:dyDescent="0.25">
      <c r="D442" t="str" cm="1">
        <f t="array" ref="D442">SzuressNev($B$1,ROW()-1)</f>
        <v/>
      </c>
      <c r="E442">
        <f>COUNTIF($D$2:D442,D442)</f>
        <v>421</v>
      </c>
      <c r="F442" t="str" cm="1">
        <f t="array" ref="F442">ElutasitasEgyOk2(D442,E442)</f>
        <v/>
      </c>
      <c r="G442" t="str">
        <f>IFERROR(INDEX(diakadat!$I$2:$I$50,MATCH(D442,diakadat!$J$2:$J$50,0),1),"")</f>
        <v/>
      </c>
      <c r="H442" t="str">
        <f>IFERROR(INDEX(diakadat!$O$2:$O$50,MATCH(D442,diakadat!$J$2:$J$50,0),1),"")</f>
        <v/>
      </c>
      <c r="I442" t="str">
        <f>IFERROR(INDEX(diakadat!#REF!,MATCH(D442,diakadat!$J$2:$J$50,0),1),"")</f>
        <v/>
      </c>
      <c r="J442" t="str">
        <f>IFERROR(INDEX(diakadat!$K$2:$K$50,MATCH(D442,diakadat!$J$2:$J$50,0),1),"")</f>
        <v/>
      </c>
      <c r="K442" t="str" cm="1">
        <f t="array" ref="K442">IFERROR(DatumSzovegge2(INDEX(diakadat!$L$2:$L$50,MATCH(D442,diakadat!$J$2:$J$50,0),1)),"")</f>
        <v/>
      </c>
      <c r="L442" t="str" cm="1">
        <f t="array" ref="L442">IFERROR(DatumSzovegge5(INDEX(diakadat!$L$2:$L$50,MATCH(D442,diakadat!$J$2:$J$50,0),1)),"")</f>
        <v/>
      </c>
      <c r="M442" t="str" cm="1">
        <f t="array" ref="M442">IFERROR(DatumSzovegge3(INDEX(diakadat!$L$2:$L$50,MATCH(D442,diakadat!$J$2:$J$50,0),1)),"")</f>
        <v/>
      </c>
      <c r="N442" t="str" cm="1">
        <f t="array" ref="N442">IFERROR(DatumSzovegge4(INDEX(diakadat!$L$2:$L$50,MATCH(D442,diakadat!$J$2:$J$50,0),1)),"")</f>
        <v/>
      </c>
      <c r="O442" t="str">
        <f>IFERROR(INDEX(diakadat!$R$2:$R$50,MATCH(D442,diakadat!$J$2:$J$50,0),1),"")</f>
        <v/>
      </c>
      <c r="P442" t="str">
        <f>IFERROR(INDEX(diakadat!$AI$2:$AI$50,MATCH(D442,diakadat!$J$2:$J$50,0),1),"")</f>
        <v/>
      </c>
      <c r="Q442" t="str">
        <f>IFERROR(INDEX('rangsor'!$C$2:$C$343,MATCH(D442,'rangsor'!$A$2:$A$343,0),1),"")</f>
        <v/>
      </c>
      <c r="T442" t="s">
        <v>831</v>
      </c>
      <c r="U442" t="str" cm="1">
        <f t="array" ref="U442">Határozat(D442)</f>
        <v/>
      </c>
      <c r="AC442" t="str">
        <f>IFERROR(INDEX(diakadat!$U$2:$U$50,MATCH(D442,diakadat!$J$2:$J$50),1),"")</f>
        <v/>
      </c>
      <c r="AD442" t="str">
        <f>IFERROR(INDEX(diakadat!$V$2:$V$50,MATCH(D442,diakadat!$J$2:$J$50),1),"")</f>
        <v/>
      </c>
      <c r="AE442" t="str">
        <f>IFERROR(INDEX(diakadat!$W$2:$W$50,MATCH(D442,diakadat!$J$2:$J$50),1),"")</f>
        <v/>
      </c>
      <c r="AI442" t="str">
        <f>IFERROR(INDEX(diakadat!$X$2:$X$50,MATCH(D442,diakadat!$J$2:$J$50),1),"")</f>
        <v/>
      </c>
      <c r="AK442">
        <f t="shared" si="6"/>
        <v>329</v>
      </c>
      <c r="AL442" t="str" cm="1">
        <f t="array" ref="AL442">ElsoBetuNagy(R442)</f>
        <v/>
      </c>
      <c r="AO442" t="str" cm="1">
        <f t="array" ref="AO442">DatumSzovegge5(AN442)</f>
        <v>1899.</v>
      </c>
      <c r="AP442" t="str" cm="1">
        <f t="array" ref="AP442">DatumSzovegge3(AN442)</f>
        <v>december</v>
      </c>
      <c r="AQ442" t="str" cm="1">
        <f t="array" ref="AQ442">DatumSzovegge4(AN442)</f>
        <v>30.</v>
      </c>
    </row>
    <row r="443" spans="4:43" x14ac:dyDescent="0.25">
      <c r="D443" t="str" cm="1">
        <f t="array" ref="D443">SzuressNev($B$1,ROW()-1)</f>
        <v/>
      </c>
      <c r="E443">
        <f>COUNTIF($D$2:D443,D443)</f>
        <v>422</v>
      </c>
      <c r="F443" t="str" cm="1">
        <f t="array" ref="F443">ElutasitasEgyOk2(D443,E443)</f>
        <v/>
      </c>
      <c r="G443" t="str">
        <f>IFERROR(INDEX(diakadat!$I$2:$I$50,MATCH(D443,diakadat!$J$2:$J$50,0),1),"")</f>
        <v/>
      </c>
      <c r="H443" t="str">
        <f>IFERROR(INDEX(diakadat!$O$2:$O$50,MATCH(D443,diakadat!$J$2:$J$50,0),1),"")</f>
        <v/>
      </c>
      <c r="I443" t="str">
        <f>IFERROR(INDEX(diakadat!#REF!,MATCH(D443,diakadat!$J$2:$J$50,0),1),"")</f>
        <v/>
      </c>
      <c r="J443" t="str">
        <f>IFERROR(INDEX(diakadat!$K$2:$K$50,MATCH(D443,diakadat!$J$2:$J$50,0),1),"")</f>
        <v/>
      </c>
      <c r="K443" t="str" cm="1">
        <f t="array" ref="K443">IFERROR(DatumSzovegge2(INDEX(diakadat!$L$2:$L$50,MATCH(D443,diakadat!$J$2:$J$50,0),1)),"")</f>
        <v/>
      </c>
      <c r="L443" t="str" cm="1">
        <f t="array" ref="L443">IFERROR(DatumSzovegge5(INDEX(diakadat!$L$2:$L$50,MATCH(D443,diakadat!$J$2:$J$50,0),1)),"")</f>
        <v/>
      </c>
      <c r="M443" t="str" cm="1">
        <f t="array" ref="M443">IFERROR(DatumSzovegge3(INDEX(diakadat!$L$2:$L$50,MATCH(D443,diakadat!$J$2:$J$50,0),1)),"")</f>
        <v/>
      </c>
      <c r="N443" t="str" cm="1">
        <f t="array" ref="N443">IFERROR(DatumSzovegge4(INDEX(diakadat!$L$2:$L$50,MATCH(D443,diakadat!$J$2:$J$50,0),1)),"")</f>
        <v/>
      </c>
      <c r="O443" t="str">
        <f>IFERROR(INDEX(diakadat!$R$2:$R$50,MATCH(D443,diakadat!$J$2:$J$50,0),1),"")</f>
        <v/>
      </c>
      <c r="P443" t="str">
        <f>IFERROR(INDEX(diakadat!$AI$2:$AI$50,MATCH(D443,diakadat!$J$2:$J$50,0),1),"")</f>
        <v/>
      </c>
      <c r="Q443" t="str">
        <f>IFERROR(INDEX('rangsor'!$C$2:$C$343,MATCH(D443,'rangsor'!$A$2:$A$343,0),1),"")</f>
        <v/>
      </c>
      <c r="T443" t="s">
        <v>831</v>
      </c>
      <c r="U443" t="str" cm="1">
        <f t="array" ref="U443">Határozat(D443)</f>
        <v/>
      </c>
      <c r="AC443" t="str">
        <f>IFERROR(INDEX(diakadat!$U$2:$U$50,MATCH(D443,diakadat!$J$2:$J$50),1),"")</f>
        <v/>
      </c>
      <c r="AD443" t="str">
        <f>IFERROR(INDEX(diakadat!$V$2:$V$50,MATCH(D443,diakadat!$J$2:$J$50),1),"")</f>
        <v/>
      </c>
      <c r="AE443" t="str">
        <f>IFERROR(INDEX(diakadat!$W$2:$W$50,MATCH(D443,diakadat!$J$2:$J$50),1),"")</f>
        <v/>
      </c>
      <c r="AI443" t="str">
        <f>IFERROR(INDEX(diakadat!$X$2:$X$50,MATCH(D443,diakadat!$J$2:$J$50),1),"")</f>
        <v/>
      </c>
      <c r="AK443">
        <f t="shared" si="6"/>
        <v>329</v>
      </c>
      <c r="AL443" t="str" cm="1">
        <f t="array" ref="AL443">ElsoBetuNagy(R443)</f>
        <v/>
      </c>
      <c r="AO443" t="str" cm="1">
        <f t="array" ref="AO443">DatumSzovegge5(AN443)</f>
        <v>1899.</v>
      </c>
      <c r="AP443" t="str" cm="1">
        <f t="array" ref="AP443">DatumSzovegge3(AN443)</f>
        <v>december</v>
      </c>
      <c r="AQ443" t="str" cm="1">
        <f t="array" ref="AQ443">DatumSzovegge4(AN443)</f>
        <v>30.</v>
      </c>
    </row>
    <row r="444" spans="4:43" x14ac:dyDescent="0.25">
      <c r="D444" t="str" cm="1">
        <f t="array" ref="D444">SzuressNev($B$1,ROW()-1)</f>
        <v/>
      </c>
      <c r="E444">
        <f>COUNTIF($D$2:D593,D444)</f>
        <v>572</v>
      </c>
      <c r="F444" t="str" cm="1">
        <f t="array" ref="F444">ElutasitasEgyOk2(D444,E444)</f>
        <v/>
      </c>
      <c r="G444" t="str">
        <f>IFERROR(INDEX(diakadat!$I$2:$I$50,MATCH(D444,diakadat!$J$2:$J$50,0),1),"")</f>
        <v/>
      </c>
      <c r="H444" t="str">
        <f>IFERROR(INDEX(diakadat!$O$2:$O$50,MATCH(D444,diakadat!$J$2:$J$50,0),1),"")</f>
        <v/>
      </c>
      <c r="I444" t="str">
        <f>IFERROR(INDEX(diakadat!#REF!,MATCH(D444,diakadat!$J$2:$J$50,0),1),"")</f>
        <v/>
      </c>
      <c r="J444" t="str">
        <f>IFERROR(INDEX(diakadat!$K$2:$K$50,MATCH(D444,diakadat!$J$2:$J$50,0),1),"")</f>
        <v/>
      </c>
      <c r="K444" t="str" cm="1">
        <f t="array" ref="K444">IFERROR(DatumSzovegge2(INDEX(diakadat!$L$2:$L$50,MATCH(D444,diakadat!$J$2:$J$50,0),1)),"")</f>
        <v/>
      </c>
      <c r="L444" t="str" cm="1">
        <f t="array" ref="L444">IFERROR(DatumSzovegge5(INDEX(diakadat!$L$2:$L$50,MATCH(D444,diakadat!$J$2:$J$50,0),1)),"")</f>
        <v/>
      </c>
      <c r="M444" t="str" cm="1">
        <f t="array" ref="M444">IFERROR(DatumSzovegge3(INDEX(diakadat!$L$2:$L$50,MATCH(D444,diakadat!$J$2:$J$50,0),1)),"")</f>
        <v/>
      </c>
      <c r="N444" t="str" cm="1">
        <f t="array" ref="N444">IFERROR(DatumSzovegge4(INDEX(diakadat!$L$2:$L$50,MATCH(D444,diakadat!$J$2:$J$50,0),1)),"")</f>
        <v/>
      </c>
      <c r="O444" t="str">
        <f>IFERROR(INDEX(diakadat!$R$2:$R$50,MATCH(D444,diakadat!$J$2:$J$50,0),1),"")</f>
        <v/>
      </c>
      <c r="P444" t="str">
        <f>IFERROR(INDEX(diakadat!$AI$2:$AI$50,MATCH(D444,diakadat!$J$2:$J$50,0),1),"")</f>
        <v/>
      </c>
      <c r="Q444" t="str">
        <f>IFERROR(INDEX('rangsor'!$C$2:$C$343,MATCH(D444,'rangsor'!$A$2:$A$343,0),1),"")</f>
        <v/>
      </c>
      <c r="T444" t="s">
        <v>831</v>
      </c>
      <c r="U444" t="str" cm="1">
        <f t="array" ref="U444">Határozat(D444)</f>
        <v/>
      </c>
      <c r="AC444" t="str">
        <f>IFERROR(INDEX(diakadat!$U$2:$U$50,MATCH(D444,diakadat!$J$2:$J$50),1),"")</f>
        <v/>
      </c>
      <c r="AD444" t="str">
        <f>IFERROR(INDEX(diakadat!$V$2:$V$50,MATCH(D444,diakadat!$J$2:$J$50),1),"")</f>
        <v/>
      </c>
      <c r="AE444" t="str">
        <f>IFERROR(INDEX(diakadat!$W$2:$W$50,MATCH(D444,diakadat!$J$2:$J$50),1),"")</f>
        <v/>
      </c>
      <c r="AI444" t="str">
        <f>IFERROR(INDEX(diakadat!$X$2:$X$50,MATCH(D444,diakadat!$J$2:$J$50),1),"")</f>
        <v/>
      </c>
      <c r="AK444">
        <f t="shared" si="6"/>
        <v>329</v>
      </c>
      <c r="AL444" t="str" cm="1">
        <f t="array" ref="AL444">ElsoBetuNagy(R444)</f>
        <v/>
      </c>
      <c r="AO444" t="str" cm="1">
        <f t="array" ref="AO444">DatumSzovegge5(AN444)</f>
        <v>1899.</v>
      </c>
      <c r="AP444" t="str" cm="1">
        <f t="array" ref="AP444">DatumSzovegge3(AN444)</f>
        <v>december</v>
      </c>
      <c r="AQ444" t="str" cm="1">
        <f t="array" ref="AQ444">DatumSzovegge4(AN444)</f>
        <v>30.</v>
      </c>
    </row>
    <row r="445" spans="4:43" x14ac:dyDescent="0.25">
      <c r="D445" t="str" cm="1">
        <f t="array" ref="D445">SzuressNev($B$1,ROW()-1)</f>
        <v/>
      </c>
      <c r="E445">
        <f>COUNTIF($D$2:D445,D445)</f>
        <v>424</v>
      </c>
      <c r="F445" t="str" cm="1">
        <f t="array" ref="F445">ElutasitasEgyOk2(D445,E445)</f>
        <v/>
      </c>
      <c r="G445" t="str">
        <f>IFERROR(INDEX(diakadat!$I$2:$I$50,MATCH(D445,diakadat!$J$2:$J$50,0),1),"")</f>
        <v/>
      </c>
      <c r="H445" t="str">
        <f>IFERROR(INDEX(diakadat!$O$2:$O$50,MATCH(D445,diakadat!$J$2:$J$50,0),1),"")</f>
        <v/>
      </c>
      <c r="I445" t="str">
        <f>IFERROR(INDEX(diakadat!#REF!,MATCH(D445,diakadat!$J$2:$J$50,0),1),"")</f>
        <v/>
      </c>
      <c r="J445" t="str">
        <f>IFERROR(INDEX(diakadat!$K$2:$K$50,MATCH(D445,diakadat!$J$2:$J$50,0),1),"")</f>
        <v/>
      </c>
      <c r="K445" t="str" cm="1">
        <f t="array" ref="K445">IFERROR(DatumSzovegge2(INDEX(diakadat!$L$2:$L$50,MATCH(D445,diakadat!$J$2:$J$50,0),1)),"")</f>
        <v/>
      </c>
      <c r="L445" t="str" cm="1">
        <f t="array" ref="L445">IFERROR(DatumSzovegge5(INDEX(diakadat!$L$2:$L$50,MATCH(D445,diakadat!$J$2:$J$50,0),1)),"")</f>
        <v/>
      </c>
      <c r="M445" t="str" cm="1">
        <f t="array" ref="M445">IFERROR(DatumSzovegge3(INDEX(diakadat!$L$2:$L$50,MATCH(D445,diakadat!$J$2:$J$50,0),1)),"")</f>
        <v/>
      </c>
      <c r="N445" t="str" cm="1">
        <f t="array" ref="N445">IFERROR(DatumSzovegge4(INDEX(diakadat!$L$2:$L$50,MATCH(D445,diakadat!$J$2:$J$50,0),1)),"")</f>
        <v/>
      </c>
      <c r="O445" t="str">
        <f>IFERROR(INDEX(diakadat!$R$2:$R$50,MATCH(D445,diakadat!$J$2:$J$50,0),1),"")</f>
        <v/>
      </c>
      <c r="P445" t="str">
        <f>IFERROR(INDEX(diakadat!$AI$2:$AI$50,MATCH(D445,diakadat!$J$2:$J$50,0),1),"")</f>
        <v/>
      </c>
      <c r="Q445" t="str">
        <f>IFERROR(INDEX('rangsor'!$C$2:$C$343,MATCH(D445,'rangsor'!$A$2:$A$343,0),1),"")</f>
        <v/>
      </c>
      <c r="T445" t="s">
        <v>831</v>
      </c>
      <c r="U445" t="str" cm="1">
        <f t="array" ref="U445">Határozat(D445)</f>
        <v/>
      </c>
      <c r="AC445" t="str">
        <f>IFERROR(INDEX(diakadat!$U$2:$U$50,MATCH(D445,diakadat!$J$2:$J$50),1),"")</f>
        <v/>
      </c>
      <c r="AD445" t="str">
        <f>IFERROR(INDEX(diakadat!$V$2:$V$50,MATCH(D445,diakadat!$J$2:$J$50),1),"")</f>
        <v/>
      </c>
      <c r="AE445" t="str">
        <f>IFERROR(INDEX(diakadat!$W$2:$W$50,MATCH(D445,diakadat!$J$2:$J$50),1),"")</f>
        <v/>
      </c>
      <c r="AI445" t="str">
        <f>IFERROR(INDEX(diakadat!$X$2:$X$50,MATCH(D445,diakadat!$J$2:$J$50),1),"")</f>
        <v/>
      </c>
      <c r="AK445">
        <f t="shared" si="6"/>
        <v>329</v>
      </c>
      <c r="AL445" t="str" cm="1">
        <f t="array" ref="AL445">ElsoBetuNagy(R445)</f>
        <v/>
      </c>
      <c r="AO445" t="str" cm="1">
        <f t="array" ref="AO445">DatumSzovegge5(AN445)</f>
        <v>1899.</v>
      </c>
      <c r="AP445" t="str" cm="1">
        <f t="array" ref="AP445">DatumSzovegge3(AN445)</f>
        <v>december</v>
      </c>
      <c r="AQ445" t="str" cm="1">
        <f t="array" ref="AQ445">DatumSzovegge4(AN445)</f>
        <v>30.</v>
      </c>
    </row>
    <row r="446" spans="4:43" x14ac:dyDescent="0.25">
      <c r="D446" t="str" cm="1">
        <f t="array" ref="D446">SzuressNev($B$1,ROW()-1)</f>
        <v/>
      </c>
      <c r="E446">
        <f>COUNTIF($D$2:D446,D446)</f>
        <v>425</v>
      </c>
      <c r="F446" t="str" cm="1">
        <f t="array" ref="F446">ElutasitasEgyOk2(D446,E446)</f>
        <v/>
      </c>
      <c r="G446" t="str">
        <f>IFERROR(INDEX(diakadat!$I$2:$I$50,MATCH(D446,diakadat!$J$2:$J$50,0),1),"")</f>
        <v/>
      </c>
      <c r="H446" t="str">
        <f>IFERROR(INDEX(diakadat!$O$2:$O$50,MATCH(D446,diakadat!$J$2:$J$50,0),1),"")</f>
        <v/>
      </c>
      <c r="I446" t="str">
        <f>IFERROR(INDEX(diakadat!#REF!,MATCH(D446,diakadat!$J$2:$J$50,0),1),"")</f>
        <v/>
      </c>
      <c r="J446" t="str">
        <f>IFERROR(INDEX(diakadat!$K$2:$K$50,MATCH(D446,diakadat!$J$2:$J$50,0),1),"")</f>
        <v/>
      </c>
      <c r="K446" t="str" cm="1">
        <f t="array" ref="K446">IFERROR(DatumSzovegge2(INDEX(diakadat!$L$2:$L$50,MATCH(D446,diakadat!$J$2:$J$50,0),1)),"")</f>
        <v/>
      </c>
      <c r="L446" t="str" cm="1">
        <f t="array" ref="L446">IFERROR(DatumSzovegge5(INDEX(diakadat!$L$2:$L$50,MATCH(D446,diakadat!$J$2:$J$50,0),1)),"")</f>
        <v/>
      </c>
      <c r="M446" t="str" cm="1">
        <f t="array" ref="M446">IFERROR(DatumSzovegge3(INDEX(diakadat!$L$2:$L$50,MATCH(D446,diakadat!$J$2:$J$50,0),1)),"")</f>
        <v/>
      </c>
      <c r="N446" t="str" cm="1">
        <f t="array" ref="N446">IFERROR(DatumSzovegge4(INDEX(diakadat!$L$2:$L$50,MATCH(D446,diakadat!$J$2:$J$50,0),1)),"")</f>
        <v/>
      </c>
      <c r="O446" t="str">
        <f>IFERROR(INDEX(diakadat!$R$2:$R$50,MATCH(D446,diakadat!$J$2:$J$50,0),1),"")</f>
        <v/>
      </c>
      <c r="P446" t="str">
        <f>IFERROR(INDEX(diakadat!$AI$2:$AI$50,MATCH(D446,diakadat!$J$2:$J$50,0),1),"")</f>
        <v/>
      </c>
      <c r="Q446" t="str">
        <f>IFERROR(INDEX('rangsor'!$C$2:$C$343,MATCH(D446,'rangsor'!$A$2:$A$343,0),1),"")</f>
        <v/>
      </c>
      <c r="T446" t="s">
        <v>831</v>
      </c>
      <c r="U446" t="str" cm="1">
        <f t="array" ref="U446">Határozat(D446)</f>
        <v/>
      </c>
      <c r="AC446" t="str">
        <f>IFERROR(INDEX(diakadat!$U$2:$U$50,MATCH(D446,diakadat!$J$2:$J$50),1),"")</f>
        <v/>
      </c>
      <c r="AD446" t="str">
        <f>IFERROR(INDEX(diakadat!$V$2:$V$50,MATCH(D446,diakadat!$J$2:$J$50),1),"")</f>
        <v/>
      </c>
      <c r="AE446" t="str">
        <f>IFERROR(INDEX(diakadat!$W$2:$W$50,MATCH(D446,diakadat!$J$2:$J$50),1),"")</f>
        <v/>
      </c>
      <c r="AI446" t="str">
        <f>IFERROR(INDEX(diakadat!$X$2:$X$50,MATCH(D446,diakadat!$J$2:$J$50),1),"")</f>
        <v/>
      </c>
      <c r="AK446">
        <f t="shared" si="6"/>
        <v>329</v>
      </c>
      <c r="AL446" t="str" cm="1">
        <f t="array" ref="AL446">ElsoBetuNagy(R446)</f>
        <v/>
      </c>
      <c r="AO446" t="str" cm="1">
        <f t="array" ref="AO446">DatumSzovegge5(AN446)</f>
        <v>1899.</v>
      </c>
      <c r="AP446" t="str" cm="1">
        <f t="array" ref="AP446">DatumSzovegge3(AN446)</f>
        <v>december</v>
      </c>
      <c r="AQ446" t="str" cm="1">
        <f t="array" ref="AQ446">DatumSzovegge4(AN446)</f>
        <v>30.</v>
      </c>
    </row>
    <row r="447" spans="4:43" x14ac:dyDescent="0.25">
      <c r="D447" t="str" cm="1">
        <f t="array" ref="D447">SzuressNev($B$1,ROW()-1)</f>
        <v/>
      </c>
      <c r="E447">
        <f>COUNTIF($D$2:D447,D447)</f>
        <v>426</v>
      </c>
      <c r="F447" t="str" cm="1">
        <f t="array" ref="F447">ElutasitasEgyOk2(D447,E447)</f>
        <v/>
      </c>
      <c r="G447" t="str">
        <f>IFERROR(INDEX(diakadat!$I$2:$I$50,MATCH(D447,diakadat!$J$2:$J$50,0),1),"")</f>
        <v/>
      </c>
      <c r="H447" t="str">
        <f>IFERROR(INDEX(diakadat!$O$2:$O$50,MATCH(D447,diakadat!$J$2:$J$50,0),1),"")</f>
        <v/>
      </c>
      <c r="I447" t="str">
        <f>IFERROR(INDEX(diakadat!#REF!,MATCH(D447,diakadat!$J$2:$J$50,0),1),"")</f>
        <v/>
      </c>
      <c r="J447" t="str">
        <f>IFERROR(INDEX(diakadat!$K$2:$K$50,MATCH(D447,diakadat!$J$2:$J$50,0),1),"")</f>
        <v/>
      </c>
      <c r="K447" t="str" cm="1">
        <f t="array" ref="K447">IFERROR(DatumSzovegge2(INDEX(diakadat!$L$2:$L$50,MATCH(D447,diakadat!$J$2:$J$50,0),1)),"")</f>
        <v/>
      </c>
      <c r="L447" t="str" cm="1">
        <f t="array" ref="L447">IFERROR(DatumSzovegge5(INDEX(diakadat!$L$2:$L$50,MATCH(D447,diakadat!$J$2:$J$50,0),1)),"")</f>
        <v/>
      </c>
      <c r="M447" t="str" cm="1">
        <f t="array" ref="M447">IFERROR(DatumSzovegge3(INDEX(diakadat!$L$2:$L$50,MATCH(D447,diakadat!$J$2:$J$50,0),1)),"")</f>
        <v/>
      </c>
      <c r="N447" t="str" cm="1">
        <f t="array" ref="N447">IFERROR(DatumSzovegge4(INDEX(diakadat!$L$2:$L$50,MATCH(D447,diakadat!$J$2:$J$50,0),1)),"")</f>
        <v/>
      </c>
      <c r="O447" t="str">
        <f>IFERROR(INDEX(diakadat!$R$2:$R$50,MATCH(D447,diakadat!$J$2:$J$50,0),1),"")</f>
        <v/>
      </c>
      <c r="P447" t="str">
        <f>IFERROR(INDEX(diakadat!$AI$2:$AI$50,MATCH(D447,diakadat!$J$2:$J$50,0),1),"")</f>
        <v/>
      </c>
      <c r="Q447" t="str">
        <f>IFERROR(INDEX('rangsor'!$C$2:$C$343,MATCH(D447,'rangsor'!$A$2:$A$343,0),1),"")</f>
        <v/>
      </c>
      <c r="T447" t="s">
        <v>831</v>
      </c>
      <c r="U447" t="str" cm="1">
        <f t="array" ref="U447">Határozat(D447)</f>
        <v/>
      </c>
      <c r="AC447" t="str">
        <f>IFERROR(INDEX(diakadat!$U$2:$U$50,MATCH(D447,diakadat!$J$2:$J$50),1),"")</f>
        <v/>
      </c>
      <c r="AD447" t="str">
        <f>IFERROR(INDEX(diakadat!$V$2:$V$50,MATCH(D447,diakadat!$J$2:$J$50),1),"")</f>
        <v/>
      </c>
      <c r="AE447" t="str">
        <f>IFERROR(INDEX(diakadat!$W$2:$W$50,MATCH(D447,diakadat!$J$2:$J$50),1),"")</f>
        <v/>
      </c>
      <c r="AI447" t="str">
        <f>IFERROR(INDEX(diakadat!$X$2:$X$50,MATCH(D447,diakadat!$J$2:$J$50),1),"")</f>
        <v/>
      </c>
      <c r="AK447">
        <f t="shared" si="6"/>
        <v>329</v>
      </c>
      <c r="AL447" t="str" cm="1">
        <f t="array" ref="AL447">ElsoBetuNagy(R447)</f>
        <v/>
      </c>
      <c r="AO447" t="str" cm="1">
        <f t="array" ref="AO447">DatumSzovegge5(AN447)</f>
        <v>1899.</v>
      </c>
      <c r="AP447" t="str" cm="1">
        <f t="array" ref="AP447">DatumSzovegge3(AN447)</f>
        <v>december</v>
      </c>
      <c r="AQ447" t="str" cm="1">
        <f t="array" ref="AQ447">DatumSzovegge4(AN447)</f>
        <v>30.</v>
      </c>
    </row>
    <row r="448" spans="4:43" x14ac:dyDescent="0.25">
      <c r="D448" t="str" cm="1">
        <f t="array" ref="D448">SzuressNev($B$1,ROW()-1)</f>
        <v/>
      </c>
      <c r="E448">
        <f>COUNTIF($D$2:D448,D448)</f>
        <v>427</v>
      </c>
      <c r="F448" t="str" cm="1">
        <f t="array" ref="F448">ElutasitasEgyOk2(D448,E448)</f>
        <v/>
      </c>
      <c r="G448" t="str">
        <f>IFERROR(INDEX(diakadat!$I$2:$I$50,MATCH(D448,diakadat!$J$2:$J$50,0),1),"")</f>
        <v/>
      </c>
      <c r="H448" t="str">
        <f>IFERROR(INDEX(diakadat!$O$2:$O$50,MATCH(D448,diakadat!$J$2:$J$50,0),1),"")</f>
        <v/>
      </c>
      <c r="I448" t="str">
        <f>IFERROR(INDEX(diakadat!#REF!,MATCH(D448,diakadat!$J$2:$J$50,0),1),"")</f>
        <v/>
      </c>
      <c r="J448" t="str">
        <f>IFERROR(INDEX(diakadat!$K$2:$K$50,MATCH(D448,diakadat!$J$2:$J$50,0),1),"")</f>
        <v/>
      </c>
      <c r="K448" t="str" cm="1">
        <f t="array" ref="K448">IFERROR(DatumSzovegge2(INDEX(diakadat!$L$2:$L$50,MATCH(D448,diakadat!$J$2:$J$50,0),1)),"")</f>
        <v/>
      </c>
      <c r="L448" t="str" cm="1">
        <f t="array" ref="L448">IFERROR(DatumSzovegge5(INDEX(diakadat!$L$2:$L$50,MATCH(D448,diakadat!$J$2:$J$50,0),1)),"")</f>
        <v/>
      </c>
      <c r="M448" t="str" cm="1">
        <f t="array" ref="M448">IFERROR(DatumSzovegge3(INDEX(diakadat!$L$2:$L$50,MATCH(D448,diakadat!$J$2:$J$50,0),1)),"")</f>
        <v/>
      </c>
      <c r="N448" t="str" cm="1">
        <f t="array" ref="N448">IFERROR(DatumSzovegge4(INDEX(diakadat!$L$2:$L$50,MATCH(D448,diakadat!$J$2:$J$50,0),1)),"")</f>
        <v/>
      </c>
      <c r="O448" t="str">
        <f>IFERROR(INDEX(diakadat!$R$2:$R$50,MATCH(D448,diakadat!$J$2:$J$50,0),1),"")</f>
        <v/>
      </c>
      <c r="P448" t="str">
        <f>IFERROR(INDEX(diakadat!$AI$2:$AI$50,MATCH(D448,diakadat!$J$2:$J$50,0),1),"")</f>
        <v/>
      </c>
      <c r="Q448" t="str">
        <f>IFERROR(INDEX('rangsor'!$C$2:$C$343,MATCH(D448,'rangsor'!$A$2:$A$343,0),1),"")</f>
        <v/>
      </c>
      <c r="T448" t="s">
        <v>831</v>
      </c>
      <c r="U448" t="str" cm="1">
        <f t="array" ref="U448">Határozat(D448)</f>
        <v/>
      </c>
      <c r="AC448" t="str">
        <f>IFERROR(INDEX(diakadat!$U$2:$U$50,MATCH(D448,diakadat!$J$2:$J$50),1),"")</f>
        <v/>
      </c>
      <c r="AD448" t="str">
        <f>IFERROR(INDEX(diakadat!$V$2:$V$50,MATCH(D448,diakadat!$J$2:$J$50),1),"")</f>
        <v/>
      </c>
      <c r="AE448" t="str">
        <f>IFERROR(INDEX(diakadat!$W$2:$W$50,MATCH(D448,diakadat!$J$2:$J$50),1),"")</f>
        <v/>
      </c>
      <c r="AI448" t="str">
        <f>IFERROR(INDEX(diakadat!$X$2:$X$50,MATCH(D448,diakadat!$J$2:$J$50),1),"")</f>
        <v/>
      </c>
      <c r="AK448">
        <f t="shared" si="6"/>
        <v>329</v>
      </c>
      <c r="AL448" t="str" cm="1">
        <f t="array" ref="AL448">ElsoBetuNagy(R448)</f>
        <v/>
      </c>
      <c r="AO448" t="str" cm="1">
        <f t="array" ref="AO448">DatumSzovegge5(AN448)</f>
        <v>1899.</v>
      </c>
      <c r="AP448" t="str" cm="1">
        <f t="array" ref="AP448">DatumSzovegge3(AN448)</f>
        <v>december</v>
      </c>
      <c r="AQ448" t="str" cm="1">
        <f t="array" ref="AQ448">DatumSzovegge4(AN448)</f>
        <v>30.</v>
      </c>
    </row>
    <row r="449" spans="4:43" x14ac:dyDescent="0.25">
      <c r="D449" t="str" cm="1">
        <f t="array" ref="D449">SzuressNev($B$1,ROW()-1)</f>
        <v/>
      </c>
      <c r="E449">
        <f>COUNTIF($D$2:D449,D449)</f>
        <v>428</v>
      </c>
      <c r="F449" t="str" cm="1">
        <f t="array" ref="F449">ElutasitasEgyOk2(D449,E449)</f>
        <v/>
      </c>
      <c r="G449" t="str">
        <f>IFERROR(INDEX(diakadat!$I$2:$I$50,MATCH(D449,diakadat!$J$2:$J$50,0),1),"")</f>
        <v/>
      </c>
      <c r="H449" t="str">
        <f>IFERROR(INDEX(diakadat!$O$2:$O$50,MATCH(D449,diakadat!$J$2:$J$50,0),1),"")</f>
        <v/>
      </c>
      <c r="I449" t="str">
        <f>IFERROR(INDEX(diakadat!#REF!,MATCH(D449,diakadat!$J$2:$J$50,0),1),"")</f>
        <v/>
      </c>
      <c r="J449" t="str">
        <f>IFERROR(INDEX(diakadat!$K$2:$K$50,MATCH(D449,diakadat!$J$2:$J$50,0),1),"")</f>
        <v/>
      </c>
      <c r="K449" t="str" cm="1">
        <f t="array" ref="K449">IFERROR(DatumSzovegge2(INDEX(diakadat!$L$2:$L$50,MATCH(D449,diakadat!$J$2:$J$50,0),1)),"")</f>
        <v/>
      </c>
      <c r="L449" t="str" cm="1">
        <f t="array" ref="L449">IFERROR(DatumSzovegge5(INDEX(diakadat!$L$2:$L$50,MATCH(D449,diakadat!$J$2:$J$50,0),1)),"")</f>
        <v/>
      </c>
      <c r="M449" t="str" cm="1">
        <f t="array" ref="M449">IFERROR(DatumSzovegge3(INDEX(diakadat!$L$2:$L$50,MATCH(D449,diakadat!$J$2:$J$50,0),1)),"")</f>
        <v/>
      </c>
      <c r="N449" t="str" cm="1">
        <f t="array" ref="N449">IFERROR(DatumSzovegge4(INDEX(diakadat!$L$2:$L$50,MATCH(D449,diakadat!$J$2:$J$50,0),1)),"")</f>
        <v/>
      </c>
      <c r="O449" t="str">
        <f>IFERROR(INDEX(diakadat!$R$2:$R$50,MATCH(D449,diakadat!$J$2:$J$50,0),1),"")</f>
        <v/>
      </c>
      <c r="P449" t="str">
        <f>IFERROR(INDEX(diakadat!$AI$2:$AI$50,MATCH(D449,diakadat!$J$2:$J$50,0),1),"")</f>
        <v/>
      </c>
      <c r="Q449" t="str">
        <f>IFERROR(INDEX('rangsor'!$C$2:$C$343,MATCH(D449,'rangsor'!$A$2:$A$343,0),1),"")</f>
        <v/>
      </c>
      <c r="T449" t="s">
        <v>831</v>
      </c>
      <c r="U449" t="str" cm="1">
        <f t="array" ref="U449">Határozat(D449)</f>
        <v/>
      </c>
      <c r="AC449" t="str">
        <f>IFERROR(INDEX(diakadat!$U$2:$U$50,MATCH(D449,diakadat!$J$2:$J$50),1),"")</f>
        <v/>
      </c>
      <c r="AD449" t="str">
        <f>IFERROR(INDEX(diakadat!$V$2:$V$50,MATCH(D449,diakadat!$J$2:$J$50),1),"")</f>
        <v/>
      </c>
      <c r="AE449" t="str">
        <f>IFERROR(INDEX(diakadat!$W$2:$W$50,MATCH(D449,diakadat!$J$2:$J$50),1),"")</f>
        <v/>
      </c>
      <c r="AI449" t="str">
        <f>IFERROR(INDEX(diakadat!$X$2:$X$50,MATCH(D449,diakadat!$J$2:$J$50),1),"")</f>
        <v/>
      </c>
      <c r="AK449">
        <f t="shared" si="6"/>
        <v>329</v>
      </c>
      <c r="AL449" t="str" cm="1">
        <f t="array" ref="AL449">ElsoBetuNagy(R449)</f>
        <v/>
      </c>
      <c r="AO449" t="str" cm="1">
        <f t="array" ref="AO449">DatumSzovegge5(AN449)</f>
        <v>1899.</v>
      </c>
      <c r="AP449" t="str" cm="1">
        <f t="array" ref="AP449">DatumSzovegge3(AN449)</f>
        <v>december</v>
      </c>
      <c r="AQ449" t="str" cm="1">
        <f t="array" ref="AQ449">DatumSzovegge4(AN449)</f>
        <v>30.</v>
      </c>
    </row>
    <row r="450" spans="4:43" x14ac:dyDescent="0.25">
      <c r="D450" t="str" cm="1">
        <f t="array" ref="D450">SzuressNev($B$1,ROW()-1)</f>
        <v/>
      </c>
      <c r="E450">
        <f>COUNTIF($D$2:D450,D450)</f>
        <v>429</v>
      </c>
      <c r="F450" t="str" cm="1">
        <f t="array" ref="F450">ElutasitasEgyOk2(D450,E450)</f>
        <v/>
      </c>
      <c r="G450" t="str">
        <f>IFERROR(INDEX(diakadat!$I$2:$I$50,MATCH(D450,diakadat!$J$2:$J$50,0),1),"")</f>
        <v/>
      </c>
      <c r="H450" t="str">
        <f>IFERROR(INDEX(diakadat!$O$2:$O$50,MATCH(D450,diakadat!$J$2:$J$50,0),1),"")</f>
        <v/>
      </c>
      <c r="I450" t="str">
        <f>IFERROR(INDEX(diakadat!#REF!,MATCH(D450,diakadat!$J$2:$J$50,0),1),"")</f>
        <v/>
      </c>
      <c r="J450" t="str">
        <f>IFERROR(INDEX(diakadat!$K$2:$K$50,MATCH(D450,diakadat!$J$2:$J$50,0),1),"")</f>
        <v/>
      </c>
      <c r="K450" t="str" cm="1">
        <f t="array" ref="K450">IFERROR(DatumSzovegge2(INDEX(diakadat!$L$2:$L$50,MATCH(D450,diakadat!$J$2:$J$50,0),1)),"")</f>
        <v/>
      </c>
      <c r="L450" t="str" cm="1">
        <f t="array" ref="L450">IFERROR(DatumSzovegge5(INDEX(diakadat!$L$2:$L$50,MATCH(D450,diakadat!$J$2:$J$50,0),1)),"")</f>
        <v/>
      </c>
      <c r="M450" t="str" cm="1">
        <f t="array" ref="M450">IFERROR(DatumSzovegge3(INDEX(diakadat!$L$2:$L$50,MATCH(D450,diakadat!$J$2:$J$50,0),1)),"")</f>
        <v/>
      </c>
      <c r="N450" t="str" cm="1">
        <f t="array" ref="N450">IFERROR(DatumSzovegge4(INDEX(diakadat!$L$2:$L$50,MATCH(D450,diakadat!$J$2:$J$50,0),1)),"")</f>
        <v/>
      </c>
      <c r="O450" t="str">
        <f>IFERROR(INDEX(diakadat!$R$2:$R$50,MATCH(D450,diakadat!$J$2:$J$50,0),1),"")</f>
        <v/>
      </c>
      <c r="P450" t="str">
        <f>IFERROR(INDEX(diakadat!$AI$2:$AI$50,MATCH(D450,diakadat!$J$2:$J$50,0),1),"")</f>
        <v/>
      </c>
      <c r="Q450" t="str">
        <f>IFERROR(INDEX('rangsor'!$C$2:$C$343,MATCH(D450,'rangsor'!$A$2:$A$343,0),1),"")</f>
        <v/>
      </c>
      <c r="T450" t="s">
        <v>831</v>
      </c>
      <c r="U450" t="str" cm="1">
        <f t="array" ref="U450">Határozat(D450)</f>
        <v/>
      </c>
      <c r="AC450" t="str">
        <f>IFERROR(INDEX(diakadat!$U$2:$U$50,MATCH(D450,diakadat!$J$2:$J$50),1),"")</f>
        <v/>
      </c>
      <c r="AD450" t="str">
        <f>IFERROR(INDEX(diakadat!$V$2:$V$50,MATCH(D450,diakadat!$J$2:$J$50),1),"")</f>
        <v/>
      </c>
      <c r="AE450" t="str">
        <f>IFERROR(INDEX(diakadat!$W$2:$W$50,MATCH(D450,diakadat!$J$2:$J$50),1),"")</f>
        <v/>
      </c>
      <c r="AI450" t="str">
        <f>IFERROR(INDEX(diakadat!$X$2:$X$50,MATCH(D450,diakadat!$J$2:$J$50),1),"")</f>
        <v/>
      </c>
      <c r="AK450">
        <f t="shared" ref="AK450:AK513" si="7">COUNTIF($AD$2:$AD$350,AD450)</f>
        <v>329</v>
      </c>
      <c r="AL450" t="str" cm="1">
        <f t="array" ref="AL450">ElsoBetuNagy(R450)</f>
        <v/>
      </c>
      <c r="AO450" t="str" cm="1">
        <f t="array" ref="AO450">DatumSzovegge5(AN450)</f>
        <v>1899.</v>
      </c>
      <c r="AP450" t="str" cm="1">
        <f t="array" ref="AP450">DatumSzovegge3(AN450)</f>
        <v>december</v>
      </c>
      <c r="AQ450" t="str" cm="1">
        <f t="array" ref="AQ450">DatumSzovegge4(AN450)</f>
        <v>30.</v>
      </c>
    </row>
    <row r="451" spans="4:43" x14ac:dyDescent="0.25">
      <c r="D451" t="str" cm="1">
        <f t="array" ref="D451">SzuressNev($B$1,ROW()-1)</f>
        <v/>
      </c>
      <c r="E451">
        <f>COUNTIF($D$2:D451,D451)</f>
        <v>430</v>
      </c>
      <c r="F451" t="str" cm="1">
        <f t="array" ref="F451">ElutasitasEgyOk2(D451,E451)</f>
        <v/>
      </c>
      <c r="G451" t="str">
        <f>IFERROR(INDEX(diakadat!$I$2:$I$50,MATCH(D451,diakadat!$J$2:$J$50,0),1),"")</f>
        <v/>
      </c>
      <c r="H451" t="str">
        <f>IFERROR(INDEX(diakadat!$O$2:$O$50,MATCH(D451,diakadat!$J$2:$J$50,0),1),"")</f>
        <v/>
      </c>
      <c r="I451" t="str">
        <f>IFERROR(INDEX(diakadat!#REF!,MATCH(D451,diakadat!$J$2:$J$50,0),1),"")</f>
        <v/>
      </c>
      <c r="J451" t="str">
        <f>IFERROR(INDEX(diakadat!$K$2:$K$50,MATCH(D451,diakadat!$J$2:$J$50,0),1),"")</f>
        <v/>
      </c>
      <c r="K451" t="str" cm="1">
        <f t="array" ref="K451">IFERROR(DatumSzovegge2(INDEX(diakadat!$L$2:$L$50,MATCH(D451,diakadat!$J$2:$J$50,0),1)),"")</f>
        <v/>
      </c>
      <c r="L451" t="str" cm="1">
        <f t="array" ref="L451">IFERROR(DatumSzovegge5(INDEX(diakadat!$L$2:$L$50,MATCH(D451,diakadat!$J$2:$J$50,0),1)),"")</f>
        <v/>
      </c>
      <c r="M451" t="str" cm="1">
        <f t="array" ref="M451">IFERROR(DatumSzovegge3(INDEX(diakadat!$L$2:$L$50,MATCH(D451,diakadat!$J$2:$J$50,0),1)),"")</f>
        <v/>
      </c>
      <c r="N451" t="str" cm="1">
        <f t="array" ref="N451">IFERROR(DatumSzovegge4(INDEX(diakadat!$L$2:$L$50,MATCH(D451,diakadat!$J$2:$J$50,0),1)),"")</f>
        <v/>
      </c>
      <c r="O451" t="str">
        <f>IFERROR(INDEX(diakadat!$R$2:$R$50,MATCH(D451,diakadat!$J$2:$J$50,0),1),"")</f>
        <v/>
      </c>
      <c r="P451" t="str">
        <f>IFERROR(INDEX(diakadat!$AI$2:$AI$50,MATCH(D451,diakadat!$J$2:$J$50,0),1),"")</f>
        <v/>
      </c>
      <c r="Q451" t="str">
        <f>IFERROR(INDEX('rangsor'!$C$2:$C$343,MATCH(D451,'rangsor'!$A$2:$A$343,0),1),"")</f>
        <v/>
      </c>
      <c r="T451" t="s">
        <v>831</v>
      </c>
      <c r="U451" t="str" cm="1">
        <f t="array" ref="U451">Határozat(D451)</f>
        <v/>
      </c>
      <c r="AC451" t="str">
        <f>IFERROR(INDEX(diakadat!$U$2:$U$50,MATCH(D451,diakadat!$J$2:$J$50),1),"")</f>
        <v/>
      </c>
      <c r="AD451" t="str">
        <f>IFERROR(INDEX(diakadat!$V$2:$V$50,MATCH(D451,diakadat!$J$2:$J$50),1),"")</f>
        <v/>
      </c>
      <c r="AE451" t="str">
        <f>IFERROR(INDEX(diakadat!$W$2:$W$50,MATCH(D451,diakadat!$J$2:$J$50),1),"")</f>
        <v/>
      </c>
      <c r="AI451" t="str">
        <f>IFERROR(INDEX(diakadat!$X$2:$X$50,MATCH(D451,diakadat!$J$2:$J$50),1),"")</f>
        <v/>
      </c>
      <c r="AK451">
        <f t="shared" si="7"/>
        <v>329</v>
      </c>
      <c r="AL451" t="str" cm="1">
        <f t="array" ref="AL451">ElsoBetuNagy(R451)</f>
        <v/>
      </c>
      <c r="AO451" t="str" cm="1">
        <f t="array" ref="AO451">DatumSzovegge5(AN451)</f>
        <v>1899.</v>
      </c>
      <c r="AP451" t="str" cm="1">
        <f t="array" ref="AP451">DatumSzovegge3(AN451)</f>
        <v>december</v>
      </c>
      <c r="AQ451" t="str" cm="1">
        <f t="array" ref="AQ451">DatumSzovegge4(AN451)</f>
        <v>30.</v>
      </c>
    </row>
    <row r="452" spans="4:43" x14ac:dyDescent="0.25">
      <c r="D452" t="str" cm="1">
        <f t="array" ref="D452">SzuressNev($B$1,ROW()-1)</f>
        <v/>
      </c>
      <c r="E452">
        <f>COUNTIF($D$2:D452,D452)</f>
        <v>431</v>
      </c>
      <c r="F452" t="str" cm="1">
        <f t="array" ref="F452">ElutasitasEgyOk2(D452,E452)</f>
        <v/>
      </c>
      <c r="G452" t="str">
        <f>IFERROR(INDEX(diakadat!$I$2:$I$50,MATCH(D452,diakadat!$J$2:$J$50,0),1),"")</f>
        <v/>
      </c>
      <c r="H452" t="str">
        <f>IFERROR(INDEX(diakadat!$O$2:$O$50,MATCH(D452,diakadat!$J$2:$J$50,0),1),"")</f>
        <v/>
      </c>
      <c r="I452" t="str">
        <f>IFERROR(INDEX(diakadat!#REF!,MATCH(D452,diakadat!$J$2:$J$50,0),1),"")</f>
        <v/>
      </c>
      <c r="J452" t="str">
        <f>IFERROR(INDEX(diakadat!$K$2:$K$50,MATCH(D452,diakadat!$J$2:$J$50,0),1),"")</f>
        <v/>
      </c>
      <c r="K452" t="str" cm="1">
        <f t="array" ref="K452">IFERROR(DatumSzovegge2(INDEX(diakadat!$L$2:$L$50,MATCH(D452,diakadat!$J$2:$J$50,0),1)),"")</f>
        <v/>
      </c>
      <c r="L452" t="str" cm="1">
        <f t="array" ref="L452">IFERROR(DatumSzovegge5(INDEX(diakadat!$L$2:$L$50,MATCH(D452,diakadat!$J$2:$J$50,0),1)),"")</f>
        <v/>
      </c>
      <c r="M452" t="str" cm="1">
        <f t="array" ref="M452">IFERROR(DatumSzovegge3(INDEX(diakadat!$L$2:$L$50,MATCH(D452,diakadat!$J$2:$J$50,0),1)),"")</f>
        <v/>
      </c>
      <c r="N452" t="str" cm="1">
        <f t="array" ref="N452">IFERROR(DatumSzovegge4(INDEX(diakadat!$L$2:$L$50,MATCH(D452,diakadat!$J$2:$J$50,0),1)),"")</f>
        <v/>
      </c>
      <c r="O452" t="str">
        <f>IFERROR(INDEX(diakadat!$R$2:$R$50,MATCH(D452,diakadat!$J$2:$J$50,0),1),"")</f>
        <v/>
      </c>
      <c r="P452" t="str">
        <f>IFERROR(INDEX(diakadat!$AI$2:$AI$50,MATCH(D452,diakadat!$J$2:$J$50,0),1),"")</f>
        <v/>
      </c>
      <c r="Q452" t="str">
        <f>IFERROR(INDEX('rangsor'!$C$2:$C$343,MATCH(D452,'rangsor'!$A$2:$A$343,0),1),"")</f>
        <v/>
      </c>
      <c r="T452" t="s">
        <v>831</v>
      </c>
      <c r="U452" t="str" cm="1">
        <f t="array" ref="U452">Határozat(D452)</f>
        <v/>
      </c>
      <c r="AC452" t="str">
        <f>IFERROR(INDEX(diakadat!$U$2:$U$50,MATCH(D452,diakadat!$J$2:$J$50),1),"")</f>
        <v/>
      </c>
      <c r="AD452" t="str">
        <f>IFERROR(INDEX(diakadat!$V$2:$V$50,MATCH(D452,diakadat!$J$2:$J$50),1),"")</f>
        <v/>
      </c>
      <c r="AE452" t="str">
        <f>IFERROR(INDEX(diakadat!$W$2:$W$50,MATCH(D452,diakadat!$J$2:$J$50),1),"")</f>
        <v/>
      </c>
      <c r="AI452" t="str">
        <f>IFERROR(INDEX(diakadat!$X$2:$X$50,MATCH(D452,diakadat!$J$2:$J$50),1),"")</f>
        <v/>
      </c>
      <c r="AK452">
        <f t="shared" si="7"/>
        <v>329</v>
      </c>
      <c r="AL452" t="str" cm="1">
        <f t="array" ref="AL452">ElsoBetuNagy(R452)</f>
        <v/>
      </c>
      <c r="AO452" t="str" cm="1">
        <f t="array" ref="AO452">DatumSzovegge5(AN452)</f>
        <v>1899.</v>
      </c>
      <c r="AP452" t="str" cm="1">
        <f t="array" ref="AP452">DatumSzovegge3(AN452)</f>
        <v>december</v>
      </c>
      <c r="AQ452" t="str" cm="1">
        <f t="array" ref="AQ452">DatumSzovegge4(AN452)</f>
        <v>30.</v>
      </c>
    </row>
    <row r="453" spans="4:43" x14ac:dyDescent="0.25">
      <c r="D453" t="str" cm="1">
        <f t="array" ref="D453">SzuressNev($B$1,ROW()-1)</f>
        <v/>
      </c>
      <c r="E453">
        <f>COUNTIF($D$2:D453,D453)</f>
        <v>432</v>
      </c>
      <c r="F453" t="str" cm="1">
        <f t="array" ref="F453">ElutasitasEgyOk2(D453,E453)</f>
        <v/>
      </c>
      <c r="G453" t="str">
        <f>IFERROR(INDEX(diakadat!$I$2:$I$50,MATCH(D453,diakadat!$J$2:$J$50,0),1),"")</f>
        <v/>
      </c>
      <c r="H453" t="str">
        <f>IFERROR(INDEX(diakadat!$O$2:$O$50,MATCH(D453,diakadat!$J$2:$J$50,0),1),"")</f>
        <v/>
      </c>
      <c r="I453" t="str">
        <f>IFERROR(INDEX(diakadat!#REF!,MATCH(D453,diakadat!$J$2:$J$50,0),1),"")</f>
        <v/>
      </c>
      <c r="J453" t="str">
        <f>IFERROR(INDEX(diakadat!$K$2:$K$50,MATCH(D453,diakadat!$J$2:$J$50,0),1),"")</f>
        <v/>
      </c>
      <c r="K453" t="str" cm="1">
        <f t="array" ref="K453">IFERROR(DatumSzovegge2(INDEX(diakadat!$L$2:$L$50,MATCH(D453,diakadat!$J$2:$J$50,0),1)),"")</f>
        <v/>
      </c>
      <c r="L453" t="str" cm="1">
        <f t="array" ref="L453">IFERROR(DatumSzovegge5(INDEX(diakadat!$L$2:$L$50,MATCH(D453,diakadat!$J$2:$J$50,0),1)),"")</f>
        <v/>
      </c>
      <c r="M453" t="str" cm="1">
        <f t="array" ref="M453">IFERROR(DatumSzovegge3(INDEX(diakadat!$L$2:$L$50,MATCH(D453,diakadat!$J$2:$J$50,0),1)),"")</f>
        <v/>
      </c>
      <c r="N453" t="str" cm="1">
        <f t="array" ref="N453">IFERROR(DatumSzovegge4(INDEX(diakadat!$L$2:$L$50,MATCH(D453,diakadat!$J$2:$J$50,0),1)),"")</f>
        <v/>
      </c>
      <c r="O453" t="str">
        <f>IFERROR(INDEX(diakadat!$R$2:$R$50,MATCH(D453,diakadat!$J$2:$J$50,0),1),"")</f>
        <v/>
      </c>
      <c r="P453" t="str">
        <f>IFERROR(INDEX(diakadat!$AI$2:$AI$50,MATCH(D453,diakadat!$J$2:$J$50,0),1),"")</f>
        <v/>
      </c>
      <c r="Q453" t="str">
        <f>IFERROR(INDEX('rangsor'!$C$2:$C$343,MATCH(D453,'rangsor'!$A$2:$A$343,0),1),"")</f>
        <v/>
      </c>
      <c r="T453" t="s">
        <v>831</v>
      </c>
      <c r="U453" t="str" cm="1">
        <f t="array" ref="U453">Határozat(D453)</f>
        <v/>
      </c>
      <c r="AC453" t="str">
        <f>IFERROR(INDEX(diakadat!$U$2:$U$50,MATCH(D453,diakadat!$J$2:$J$50),1),"")</f>
        <v/>
      </c>
      <c r="AD453" t="str">
        <f>IFERROR(INDEX(diakadat!$V$2:$V$50,MATCH(D453,diakadat!$J$2:$J$50),1),"")</f>
        <v/>
      </c>
      <c r="AE453" t="str">
        <f>IFERROR(INDEX(diakadat!$W$2:$W$50,MATCH(D453,diakadat!$J$2:$J$50),1),"")</f>
        <v/>
      </c>
      <c r="AI453" t="str">
        <f>IFERROR(INDEX(diakadat!$X$2:$X$50,MATCH(D453,diakadat!$J$2:$J$50),1),"")</f>
        <v/>
      </c>
      <c r="AK453">
        <f t="shared" si="7"/>
        <v>329</v>
      </c>
      <c r="AL453" t="str" cm="1">
        <f t="array" ref="AL453">ElsoBetuNagy(R453)</f>
        <v/>
      </c>
      <c r="AO453" t="str" cm="1">
        <f t="array" ref="AO453">DatumSzovegge5(AN453)</f>
        <v>1899.</v>
      </c>
      <c r="AP453" t="str" cm="1">
        <f t="array" ref="AP453">DatumSzovegge3(AN453)</f>
        <v>december</v>
      </c>
      <c r="AQ453" t="str" cm="1">
        <f t="array" ref="AQ453">DatumSzovegge4(AN453)</f>
        <v>30.</v>
      </c>
    </row>
    <row r="454" spans="4:43" x14ac:dyDescent="0.25">
      <c r="D454" t="str" cm="1">
        <f t="array" ref="D454">SzuressNev($B$1,ROW()-1)</f>
        <v/>
      </c>
      <c r="E454">
        <f>COUNTIF($D$2:D454,D454)</f>
        <v>433</v>
      </c>
      <c r="F454" t="str" cm="1">
        <f t="array" ref="F454">ElutasitasEgyOk2(D454,E454)</f>
        <v/>
      </c>
      <c r="G454" t="str">
        <f>IFERROR(INDEX(diakadat!$I$2:$I$50,MATCH(D454,diakadat!$J$2:$J$50,0),1),"")</f>
        <v/>
      </c>
      <c r="H454" t="str">
        <f>IFERROR(INDEX(diakadat!$O$2:$O$50,MATCH(D454,diakadat!$J$2:$J$50,0),1),"")</f>
        <v/>
      </c>
      <c r="I454" t="str">
        <f>IFERROR(INDEX(diakadat!#REF!,MATCH(D454,diakadat!$J$2:$J$50,0),1),"")</f>
        <v/>
      </c>
      <c r="J454" t="str">
        <f>IFERROR(INDEX(diakadat!$K$2:$K$50,MATCH(D454,diakadat!$J$2:$J$50,0),1),"")</f>
        <v/>
      </c>
      <c r="K454" t="str" cm="1">
        <f t="array" ref="K454">IFERROR(DatumSzovegge2(INDEX(diakadat!$L$2:$L$50,MATCH(D454,diakadat!$J$2:$J$50,0),1)),"")</f>
        <v/>
      </c>
      <c r="L454" t="str" cm="1">
        <f t="array" ref="L454">IFERROR(DatumSzovegge5(INDEX(diakadat!$L$2:$L$50,MATCH(D454,diakadat!$J$2:$J$50,0),1)),"")</f>
        <v/>
      </c>
      <c r="M454" t="str" cm="1">
        <f t="array" ref="M454">IFERROR(DatumSzovegge3(INDEX(diakadat!$L$2:$L$50,MATCH(D454,diakadat!$J$2:$J$50,0),1)),"")</f>
        <v/>
      </c>
      <c r="N454" t="str" cm="1">
        <f t="array" ref="N454">IFERROR(DatumSzovegge4(INDEX(diakadat!$L$2:$L$50,MATCH(D454,diakadat!$J$2:$J$50,0),1)),"")</f>
        <v/>
      </c>
      <c r="O454" t="str">
        <f>IFERROR(INDEX(diakadat!$R$2:$R$50,MATCH(D454,diakadat!$J$2:$J$50,0),1),"")</f>
        <v/>
      </c>
      <c r="P454" t="str">
        <f>IFERROR(INDEX(diakadat!$AI$2:$AI$50,MATCH(D454,diakadat!$J$2:$J$50,0),1),"")</f>
        <v/>
      </c>
      <c r="Q454" t="str">
        <f>IFERROR(INDEX('rangsor'!$C$2:$C$343,MATCH(D454,'rangsor'!$A$2:$A$343,0),1),"")</f>
        <v/>
      </c>
      <c r="T454" t="s">
        <v>831</v>
      </c>
      <c r="U454" t="str" cm="1">
        <f t="array" ref="U454">Határozat(D454)</f>
        <v/>
      </c>
      <c r="AC454" t="str">
        <f>IFERROR(INDEX(diakadat!$U$2:$U$50,MATCH(D454,diakadat!$J$2:$J$50),1),"")</f>
        <v/>
      </c>
      <c r="AD454" t="str">
        <f>IFERROR(INDEX(diakadat!$V$2:$V$50,MATCH(D454,diakadat!$J$2:$J$50),1),"")</f>
        <v/>
      </c>
      <c r="AE454" t="str">
        <f>IFERROR(INDEX(diakadat!$W$2:$W$50,MATCH(D454,diakadat!$J$2:$J$50),1),"")</f>
        <v/>
      </c>
      <c r="AI454" t="str">
        <f>IFERROR(INDEX(diakadat!$X$2:$X$50,MATCH(D454,diakadat!$J$2:$J$50),1),"")</f>
        <v/>
      </c>
      <c r="AK454">
        <f t="shared" si="7"/>
        <v>329</v>
      </c>
      <c r="AL454" t="str" cm="1">
        <f t="array" ref="AL454">ElsoBetuNagy(R454)</f>
        <v/>
      </c>
      <c r="AO454" t="str" cm="1">
        <f t="array" ref="AO454">DatumSzovegge5(AN454)</f>
        <v>1899.</v>
      </c>
      <c r="AP454" t="str" cm="1">
        <f t="array" ref="AP454">DatumSzovegge3(AN454)</f>
        <v>december</v>
      </c>
      <c r="AQ454" t="str" cm="1">
        <f t="array" ref="AQ454">DatumSzovegge4(AN454)</f>
        <v>30.</v>
      </c>
    </row>
    <row r="455" spans="4:43" x14ac:dyDescent="0.25">
      <c r="D455" t="str" cm="1">
        <f t="array" ref="D455">SzuressNev($B$1,ROW()-1)</f>
        <v/>
      </c>
      <c r="E455">
        <f>COUNTIF($D$2:D455,D455)</f>
        <v>434</v>
      </c>
      <c r="F455" t="str" cm="1">
        <f t="array" ref="F455">ElutasitasEgyOk2(D455,E455)</f>
        <v/>
      </c>
      <c r="G455" t="str">
        <f>IFERROR(INDEX(diakadat!$I$2:$I$50,MATCH(D455,diakadat!$J$2:$J$50,0),1),"")</f>
        <v/>
      </c>
      <c r="H455" t="str">
        <f>IFERROR(INDEX(diakadat!$O$2:$O$50,MATCH(D455,diakadat!$J$2:$J$50,0),1),"")</f>
        <v/>
      </c>
      <c r="I455" t="str">
        <f>IFERROR(INDEX(diakadat!#REF!,MATCH(D455,diakadat!$J$2:$J$50,0),1),"")</f>
        <v/>
      </c>
      <c r="J455" t="str">
        <f>IFERROR(INDEX(diakadat!$K$2:$K$50,MATCH(D455,diakadat!$J$2:$J$50,0),1),"")</f>
        <v/>
      </c>
      <c r="K455" t="str" cm="1">
        <f t="array" ref="K455">IFERROR(DatumSzovegge2(INDEX(diakadat!$L$2:$L$50,MATCH(D455,diakadat!$J$2:$J$50,0),1)),"")</f>
        <v/>
      </c>
      <c r="L455" t="str" cm="1">
        <f t="array" ref="L455">IFERROR(DatumSzovegge5(INDEX(diakadat!$L$2:$L$50,MATCH(D455,diakadat!$J$2:$J$50,0),1)),"")</f>
        <v/>
      </c>
      <c r="M455" t="str" cm="1">
        <f t="array" ref="M455">IFERROR(DatumSzovegge3(INDEX(diakadat!$L$2:$L$50,MATCH(D455,diakadat!$J$2:$J$50,0),1)),"")</f>
        <v/>
      </c>
      <c r="N455" t="str" cm="1">
        <f t="array" ref="N455">IFERROR(DatumSzovegge4(INDEX(diakadat!$L$2:$L$50,MATCH(D455,diakadat!$J$2:$J$50,0),1)),"")</f>
        <v/>
      </c>
      <c r="O455" t="str">
        <f>IFERROR(INDEX(diakadat!$R$2:$R$50,MATCH(D455,diakadat!$J$2:$J$50,0),1),"")</f>
        <v/>
      </c>
      <c r="P455" t="str">
        <f>IFERROR(INDEX(diakadat!$AI$2:$AI$50,MATCH(D455,diakadat!$J$2:$J$50,0),1),"")</f>
        <v/>
      </c>
      <c r="Q455" t="str">
        <f>IFERROR(INDEX('rangsor'!$C$2:$C$343,MATCH(D455,'rangsor'!$A$2:$A$343,0),1),"")</f>
        <v/>
      </c>
      <c r="T455" t="s">
        <v>831</v>
      </c>
      <c r="U455" t="str" cm="1">
        <f t="array" ref="U455">Határozat(D455)</f>
        <v/>
      </c>
      <c r="AC455" t="str">
        <f>IFERROR(INDEX(diakadat!$U$2:$U$50,MATCH(D455,diakadat!$J$2:$J$50),1),"")</f>
        <v/>
      </c>
      <c r="AD455" t="str">
        <f>IFERROR(INDEX(diakadat!$V$2:$V$50,MATCH(D455,diakadat!$J$2:$J$50),1),"")</f>
        <v/>
      </c>
      <c r="AE455" t="str">
        <f>IFERROR(INDEX(diakadat!$W$2:$W$50,MATCH(D455,diakadat!$J$2:$J$50),1),"")</f>
        <v/>
      </c>
      <c r="AI455" t="str">
        <f>IFERROR(INDEX(diakadat!$X$2:$X$50,MATCH(D455,diakadat!$J$2:$J$50),1),"")</f>
        <v/>
      </c>
      <c r="AK455">
        <f t="shared" si="7"/>
        <v>329</v>
      </c>
      <c r="AL455" t="str" cm="1">
        <f t="array" ref="AL455">ElsoBetuNagy(R455)</f>
        <v/>
      </c>
      <c r="AO455" t="str" cm="1">
        <f t="array" ref="AO455">DatumSzovegge5(AN455)</f>
        <v>1899.</v>
      </c>
      <c r="AP455" t="str" cm="1">
        <f t="array" ref="AP455">DatumSzovegge3(AN455)</f>
        <v>december</v>
      </c>
      <c r="AQ455" t="str" cm="1">
        <f t="array" ref="AQ455">DatumSzovegge4(AN455)</f>
        <v>30.</v>
      </c>
    </row>
    <row r="456" spans="4:43" x14ac:dyDescent="0.25">
      <c r="D456" t="str" cm="1">
        <f t="array" ref="D456">SzuressNev($B$1,ROW()-1)</f>
        <v/>
      </c>
      <c r="E456">
        <f>COUNTIF($D$2:D456,D456)</f>
        <v>435</v>
      </c>
      <c r="F456" t="str" cm="1">
        <f t="array" ref="F456">ElutasitasEgyOk2(D456,E456)</f>
        <v/>
      </c>
      <c r="G456" t="str">
        <f>IFERROR(INDEX(diakadat!$I$2:$I$50,MATCH(D456,diakadat!$J$2:$J$50,0),1),"")</f>
        <v/>
      </c>
      <c r="H456" t="str">
        <f>IFERROR(INDEX(diakadat!$O$2:$O$50,MATCH(D456,diakadat!$J$2:$J$50,0),1),"")</f>
        <v/>
      </c>
      <c r="I456" t="str">
        <f>IFERROR(INDEX(diakadat!#REF!,MATCH(D456,diakadat!$J$2:$J$50,0),1),"")</f>
        <v/>
      </c>
      <c r="J456" t="str">
        <f>IFERROR(INDEX(diakadat!$K$2:$K$50,MATCH(D456,diakadat!$J$2:$J$50,0),1),"")</f>
        <v/>
      </c>
      <c r="K456" t="str" cm="1">
        <f t="array" ref="K456">IFERROR(DatumSzovegge2(INDEX(diakadat!$L$2:$L$50,MATCH(D456,diakadat!$J$2:$J$50,0),1)),"")</f>
        <v/>
      </c>
      <c r="L456" t="str" cm="1">
        <f t="array" ref="L456">IFERROR(DatumSzovegge5(INDEX(diakadat!$L$2:$L$50,MATCH(D456,diakadat!$J$2:$J$50,0),1)),"")</f>
        <v/>
      </c>
      <c r="M456" t="str" cm="1">
        <f t="array" ref="M456">IFERROR(DatumSzovegge3(INDEX(diakadat!$L$2:$L$50,MATCH(D456,diakadat!$J$2:$J$50,0),1)),"")</f>
        <v/>
      </c>
      <c r="N456" t="str" cm="1">
        <f t="array" ref="N456">IFERROR(DatumSzovegge4(INDEX(diakadat!$L$2:$L$50,MATCH(D456,diakadat!$J$2:$J$50,0),1)),"")</f>
        <v/>
      </c>
      <c r="O456" t="str">
        <f>IFERROR(INDEX(diakadat!$R$2:$R$50,MATCH(D456,diakadat!$J$2:$J$50,0),1),"")</f>
        <v/>
      </c>
      <c r="P456" t="str">
        <f>IFERROR(INDEX(diakadat!$AI$2:$AI$50,MATCH(D456,diakadat!$J$2:$J$50,0),1),"")</f>
        <v/>
      </c>
      <c r="Q456" t="str">
        <f>IFERROR(INDEX('rangsor'!$C$2:$C$343,MATCH(D456,'rangsor'!$A$2:$A$343,0),1),"")</f>
        <v/>
      </c>
      <c r="T456" t="s">
        <v>831</v>
      </c>
      <c r="U456" t="str" cm="1">
        <f t="array" ref="U456">Határozat(D456)</f>
        <v/>
      </c>
      <c r="AC456" t="str">
        <f>IFERROR(INDEX(diakadat!$U$2:$U$50,MATCH(D456,diakadat!$J$2:$J$50),1),"")</f>
        <v/>
      </c>
      <c r="AD456" t="str">
        <f>IFERROR(INDEX(diakadat!$V$2:$V$50,MATCH(D456,diakadat!$J$2:$J$50),1),"")</f>
        <v/>
      </c>
      <c r="AE456" t="str">
        <f>IFERROR(INDEX(diakadat!$W$2:$W$50,MATCH(D456,diakadat!$J$2:$J$50),1),"")</f>
        <v/>
      </c>
      <c r="AI456" t="str">
        <f>IFERROR(INDEX(diakadat!$X$2:$X$50,MATCH(D456,diakadat!$J$2:$J$50),1),"")</f>
        <v/>
      </c>
      <c r="AK456">
        <f t="shared" si="7"/>
        <v>329</v>
      </c>
      <c r="AL456" t="str" cm="1">
        <f t="array" ref="AL456">ElsoBetuNagy(R456)</f>
        <v/>
      </c>
      <c r="AO456" t="str" cm="1">
        <f t="array" ref="AO456">DatumSzovegge5(AN456)</f>
        <v>1899.</v>
      </c>
      <c r="AP456" t="str" cm="1">
        <f t="array" ref="AP456">DatumSzovegge3(AN456)</f>
        <v>december</v>
      </c>
      <c r="AQ456" t="str" cm="1">
        <f t="array" ref="AQ456">DatumSzovegge4(AN456)</f>
        <v>30.</v>
      </c>
    </row>
    <row r="457" spans="4:43" x14ac:dyDescent="0.25">
      <c r="D457" t="str" cm="1">
        <f t="array" ref="D457">SzuressNev($B$1,ROW()-1)</f>
        <v/>
      </c>
      <c r="E457">
        <f>COUNTIF($D$2:D457,D457)</f>
        <v>436</v>
      </c>
      <c r="F457" t="str" cm="1">
        <f t="array" ref="F457">ElutasitasEgyOk2(D457,E457)</f>
        <v/>
      </c>
      <c r="G457" t="str">
        <f>IFERROR(INDEX(diakadat!$I$2:$I$50,MATCH(D457,diakadat!$J$2:$J$50,0),1),"")</f>
        <v/>
      </c>
      <c r="H457" t="str">
        <f>IFERROR(INDEX(diakadat!$O$2:$O$50,MATCH(D457,diakadat!$J$2:$J$50,0),1),"")</f>
        <v/>
      </c>
      <c r="I457" t="str">
        <f>IFERROR(INDEX(diakadat!#REF!,MATCH(D457,diakadat!$J$2:$J$50,0),1),"")</f>
        <v/>
      </c>
      <c r="J457" t="str">
        <f>IFERROR(INDEX(diakadat!$K$2:$K$50,MATCH(D457,diakadat!$J$2:$J$50,0),1),"")</f>
        <v/>
      </c>
      <c r="K457" t="str" cm="1">
        <f t="array" ref="K457">IFERROR(DatumSzovegge2(INDEX(diakadat!$L$2:$L$50,MATCH(D457,diakadat!$J$2:$J$50,0),1)),"")</f>
        <v/>
      </c>
      <c r="L457" t="str" cm="1">
        <f t="array" ref="L457">IFERROR(DatumSzovegge5(INDEX(diakadat!$L$2:$L$50,MATCH(D457,diakadat!$J$2:$J$50,0),1)),"")</f>
        <v/>
      </c>
      <c r="M457" t="str" cm="1">
        <f t="array" ref="M457">IFERROR(DatumSzovegge3(INDEX(diakadat!$L$2:$L$50,MATCH(D457,diakadat!$J$2:$J$50,0),1)),"")</f>
        <v/>
      </c>
      <c r="N457" t="str" cm="1">
        <f t="array" ref="N457">IFERROR(DatumSzovegge4(INDEX(diakadat!$L$2:$L$50,MATCH(D457,diakadat!$J$2:$J$50,0),1)),"")</f>
        <v/>
      </c>
      <c r="O457" t="str">
        <f>IFERROR(INDEX(diakadat!$R$2:$R$50,MATCH(D457,diakadat!$J$2:$J$50,0),1),"")</f>
        <v/>
      </c>
      <c r="P457" t="str">
        <f>IFERROR(INDEX(diakadat!$AI$2:$AI$50,MATCH(D457,diakadat!$J$2:$J$50,0),1),"")</f>
        <v/>
      </c>
      <c r="Q457" t="str">
        <f>IFERROR(INDEX('rangsor'!$C$2:$C$343,MATCH(D457,'rangsor'!$A$2:$A$343,0),1),"")</f>
        <v/>
      </c>
      <c r="T457" t="s">
        <v>831</v>
      </c>
      <c r="U457" t="str" cm="1">
        <f t="array" ref="U457">Határozat(D457)</f>
        <v/>
      </c>
      <c r="AC457" t="str">
        <f>IFERROR(INDEX(diakadat!$U$2:$U$50,MATCH(D457,diakadat!$J$2:$J$50),1),"")</f>
        <v/>
      </c>
      <c r="AD457" t="str">
        <f>IFERROR(INDEX(diakadat!$V$2:$V$50,MATCH(D457,diakadat!$J$2:$J$50),1),"")</f>
        <v/>
      </c>
      <c r="AE457" t="str">
        <f>IFERROR(INDEX(diakadat!$W$2:$W$50,MATCH(D457,diakadat!$J$2:$J$50),1),"")</f>
        <v/>
      </c>
      <c r="AI457" t="str">
        <f>IFERROR(INDEX(diakadat!$X$2:$X$50,MATCH(D457,diakadat!$J$2:$J$50),1),"")</f>
        <v/>
      </c>
      <c r="AK457">
        <f t="shared" si="7"/>
        <v>329</v>
      </c>
      <c r="AL457" t="str" cm="1">
        <f t="array" ref="AL457">ElsoBetuNagy(R457)</f>
        <v/>
      </c>
      <c r="AO457" t="str" cm="1">
        <f t="array" ref="AO457">DatumSzovegge5(AN457)</f>
        <v>1899.</v>
      </c>
      <c r="AP457" t="str" cm="1">
        <f t="array" ref="AP457">DatumSzovegge3(AN457)</f>
        <v>december</v>
      </c>
      <c r="AQ457" t="str" cm="1">
        <f t="array" ref="AQ457">DatumSzovegge4(AN457)</f>
        <v>30.</v>
      </c>
    </row>
    <row r="458" spans="4:43" x14ac:dyDescent="0.25">
      <c r="D458" t="str" cm="1">
        <f t="array" ref="D458">SzuressNev($B$1,ROW()-1)</f>
        <v/>
      </c>
      <c r="E458">
        <f>COUNTIF($D$2:D458,D458)</f>
        <v>437</v>
      </c>
      <c r="F458" t="str" cm="1">
        <f t="array" ref="F458">ElutasitasEgyOk2(D458,E458)</f>
        <v/>
      </c>
      <c r="G458" t="str">
        <f>IFERROR(INDEX(diakadat!$I$2:$I$50,MATCH(D458,diakadat!$J$2:$J$50,0),1),"")</f>
        <v/>
      </c>
      <c r="H458" t="str">
        <f>IFERROR(INDEX(diakadat!$O$2:$O$50,MATCH(D458,diakadat!$J$2:$J$50,0),1),"")</f>
        <v/>
      </c>
      <c r="I458" t="str">
        <f>IFERROR(INDEX(diakadat!#REF!,MATCH(D458,diakadat!$J$2:$J$50,0),1),"")</f>
        <v/>
      </c>
      <c r="J458" t="str">
        <f>IFERROR(INDEX(diakadat!$K$2:$K$50,MATCH(D458,diakadat!$J$2:$J$50,0),1),"")</f>
        <v/>
      </c>
      <c r="K458" t="str" cm="1">
        <f t="array" ref="K458">IFERROR(DatumSzovegge2(INDEX(diakadat!$L$2:$L$50,MATCH(D458,diakadat!$J$2:$J$50,0),1)),"")</f>
        <v/>
      </c>
      <c r="L458" t="str" cm="1">
        <f t="array" ref="L458">IFERROR(DatumSzovegge5(INDEX(diakadat!$L$2:$L$50,MATCH(D458,diakadat!$J$2:$J$50,0),1)),"")</f>
        <v/>
      </c>
      <c r="M458" t="str" cm="1">
        <f t="array" ref="M458">IFERROR(DatumSzovegge3(INDEX(diakadat!$L$2:$L$50,MATCH(D458,diakadat!$J$2:$J$50,0),1)),"")</f>
        <v/>
      </c>
      <c r="N458" t="str" cm="1">
        <f t="array" ref="N458">IFERROR(DatumSzovegge4(INDEX(diakadat!$L$2:$L$50,MATCH(D458,diakadat!$J$2:$J$50,0),1)),"")</f>
        <v/>
      </c>
      <c r="O458" t="str">
        <f>IFERROR(INDEX(diakadat!$R$2:$R$50,MATCH(D458,diakadat!$J$2:$J$50,0),1),"")</f>
        <v/>
      </c>
      <c r="P458" t="str">
        <f>IFERROR(INDEX(diakadat!$AI$2:$AI$50,MATCH(D458,diakadat!$J$2:$J$50,0),1),"")</f>
        <v/>
      </c>
      <c r="Q458" t="str">
        <f>IFERROR(INDEX('rangsor'!$C$2:$C$343,MATCH(D458,'rangsor'!$A$2:$A$343,0),1),"")</f>
        <v/>
      </c>
      <c r="T458" t="s">
        <v>831</v>
      </c>
      <c r="U458" t="str" cm="1">
        <f t="array" ref="U458">Határozat(D458)</f>
        <v/>
      </c>
      <c r="AC458" t="str">
        <f>IFERROR(INDEX(diakadat!$U$2:$U$50,MATCH(D458,diakadat!$J$2:$J$50),1),"")</f>
        <v/>
      </c>
      <c r="AD458" t="str">
        <f>IFERROR(INDEX(diakadat!$V$2:$V$50,MATCH(D458,diakadat!$J$2:$J$50),1),"")</f>
        <v/>
      </c>
      <c r="AE458" t="str">
        <f>IFERROR(INDEX(diakadat!$W$2:$W$50,MATCH(D458,diakadat!$J$2:$J$50),1),"")</f>
        <v/>
      </c>
      <c r="AI458" t="str">
        <f>IFERROR(INDEX(diakadat!$X$2:$X$50,MATCH(D458,diakadat!$J$2:$J$50),1),"")</f>
        <v/>
      </c>
      <c r="AK458">
        <f t="shared" si="7"/>
        <v>329</v>
      </c>
      <c r="AL458" t="str" cm="1">
        <f t="array" ref="AL458">ElsoBetuNagy(R458)</f>
        <v/>
      </c>
      <c r="AO458" t="str" cm="1">
        <f t="array" ref="AO458">DatumSzovegge5(AN458)</f>
        <v>1899.</v>
      </c>
      <c r="AP458" t="str" cm="1">
        <f t="array" ref="AP458">DatumSzovegge3(AN458)</f>
        <v>december</v>
      </c>
      <c r="AQ458" t="str" cm="1">
        <f t="array" ref="AQ458">DatumSzovegge4(AN458)</f>
        <v>30.</v>
      </c>
    </row>
    <row r="459" spans="4:43" x14ac:dyDescent="0.25">
      <c r="D459" t="str" cm="1">
        <f t="array" ref="D459">SzuressNev($B$1,ROW()-1)</f>
        <v/>
      </c>
      <c r="E459">
        <f>COUNTIF($D$2:D459,D459)</f>
        <v>438</v>
      </c>
      <c r="F459" t="str" cm="1">
        <f t="array" ref="F459">ElutasitasEgyOk2(D459,E459)</f>
        <v/>
      </c>
      <c r="G459" t="str">
        <f>IFERROR(INDEX(diakadat!$I$2:$I$50,MATCH(D459,diakadat!$J$2:$J$50,0),1),"")</f>
        <v/>
      </c>
      <c r="H459" t="str">
        <f>IFERROR(INDEX(diakadat!$O$2:$O$50,MATCH(D459,diakadat!$J$2:$J$50,0),1),"")</f>
        <v/>
      </c>
      <c r="I459" t="str">
        <f>IFERROR(INDEX(diakadat!#REF!,MATCH(D459,diakadat!$J$2:$J$50,0),1),"")</f>
        <v/>
      </c>
      <c r="J459" t="str">
        <f>IFERROR(INDEX(diakadat!$K$2:$K$50,MATCH(D459,diakadat!$J$2:$J$50,0),1),"")</f>
        <v/>
      </c>
      <c r="K459" t="str" cm="1">
        <f t="array" ref="K459">IFERROR(DatumSzovegge2(INDEX(diakadat!$L$2:$L$50,MATCH(D459,diakadat!$J$2:$J$50,0),1)),"")</f>
        <v/>
      </c>
      <c r="L459" t="str" cm="1">
        <f t="array" ref="L459">IFERROR(DatumSzovegge5(INDEX(diakadat!$L$2:$L$50,MATCH(D459,diakadat!$J$2:$J$50,0),1)),"")</f>
        <v/>
      </c>
      <c r="M459" t="str" cm="1">
        <f t="array" ref="M459">IFERROR(DatumSzovegge3(INDEX(diakadat!$L$2:$L$50,MATCH(D459,diakadat!$J$2:$J$50,0),1)),"")</f>
        <v/>
      </c>
      <c r="N459" t="str" cm="1">
        <f t="array" ref="N459">IFERROR(DatumSzovegge4(INDEX(diakadat!$L$2:$L$50,MATCH(D459,diakadat!$J$2:$J$50,0),1)),"")</f>
        <v/>
      </c>
      <c r="O459" t="str">
        <f>IFERROR(INDEX(diakadat!$R$2:$R$50,MATCH(D459,diakadat!$J$2:$J$50,0),1),"")</f>
        <v/>
      </c>
      <c r="P459" t="str">
        <f>IFERROR(INDEX(diakadat!$AI$2:$AI$50,MATCH(D459,diakadat!$J$2:$J$50,0),1),"")</f>
        <v/>
      </c>
      <c r="Q459" t="str">
        <f>IFERROR(INDEX('rangsor'!$C$2:$C$343,MATCH(D459,'rangsor'!$A$2:$A$343,0),1),"")</f>
        <v/>
      </c>
      <c r="T459" t="s">
        <v>831</v>
      </c>
      <c r="U459" t="str" cm="1">
        <f t="array" ref="U459">Határozat(D459)</f>
        <v/>
      </c>
      <c r="AC459" t="str">
        <f>IFERROR(INDEX(diakadat!$U$2:$U$50,MATCH(D459,diakadat!$J$2:$J$50),1),"")</f>
        <v/>
      </c>
      <c r="AD459" t="str">
        <f>IFERROR(INDEX(diakadat!$V$2:$V$50,MATCH(D459,diakadat!$J$2:$J$50),1),"")</f>
        <v/>
      </c>
      <c r="AE459" t="str">
        <f>IFERROR(INDEX(diakadat!$W$2:$W$50,MATCH(D459,diakadat!$J$2:$J$50),1),"")</f>
        <v/>
      </c>
      <c r="AI459" t="str">
        <f>IFERROR(INDEX(diakadat!$X$2:$X$50,MATCH(D459,diakadat!$J$2:$J$50),1),"")</f>
        <v/>
      </c>
      <c r="AK459">
        <f t="shared" si="7"/>
        <v>329</v>
      </c>
      <c r="AL459" t="str" cm="1">
        <f t="array" ref="AL459">ElsoBetuNagy(R459)</f>
        <v/>
      </c>
      <c r="AO459" t="str" cm="1">
        <f t="array" ref="AO459">DatumSzovegge5(AN459)</f>
        <v>1899.</v>
      </c>
      <c r="AP459" t="str" cm="1">
        <f t="array" ref="AP459">DatumSzovegge3(AN459)</f>
        <v>december</v>
      </c>
      <c r="AQ459" t="str" cm="1">
        <f t="array" ref="AQ459">DatumSzovegge4(AN459)</f>
        <v>30.</v>
      </c>
    </row>
    <row r="460" spans="4:43" x14ac:dyDescent="0.25">
      <c r="D460" t="str" cm="1">
        <f t="array" ref="D460">SzuressNev($B$1,ROW()-1)</f>
        <v/>
      </c>
      <c r="E460">
        <f>COUNTIF($D$2:D460,D460)</f>
        <v>439</v>
      </c>
      <c r="F460" t="str" cm="1">
        <f t="array" ref="F460">ElutasitasEgyOk2(D460,E460)</f>
        <v/>
      </c>
      <c r="G460" t="str">
        <f>IFERROR(INDEX(diakadat!$I$2:$I$50,MATCH(D460,diakadat!$J$2:$J$50,0),1),"")</f>
        <v/>
      </c>
      <c r="H460" t="str">
        <f>IFERROR(INDEX(diakadat!$O$2:$O$50,MATCH(D460,diakadat!$J$2:$J$50,0),1),"")</f>
        <v/>
      </c>
      <c r="I460" t="str">
        <f>IFERROR(INDEX(diakadat!#REF!,MATCH(D460,diakadat!$J$2:$J$50,0),1),"")</f>
        <v/>
      </c>
      <c r="J460" t="str">
        <f>IFERROR(INDEX(diakadat!$K$2:$K$50,MATCH(D460,diakadat!$J$2:$J$50,0),1),"")</f>
        <v/>
      </c>
      <c r="K460" t="str" cm="1">
        <f t="array" ref="K460">IFERROR(DatumSzovegge2(INDEX(diakadat!$L$2:$L$50,MATCH(D460,diakadat!$J$2:$J$50,0),1)),"")</f>
        <v/>
      </c>
      <c r="L460" t="str" cm="1">
        <f t="array" ref="L460">IFERROR(DatumSzovegge5(INDEX(diakadat!$L$2:$L$50,MATCH(D460,diakadat!$J$2:$J$50,0),1)),"")</f>
        <v/>
      </c>
      <c r="M460" t="str" cm="1">
        <f t="array" ref="M460">IFERROR(DatumSzovegge3(INDEX(diakadat!$L$2:$L$50,MATCH(D460,diakadat!$J$2:$J$50,0),1)),"")</f>
        <v/>
      </c>
      <c r="N460" t="str" cm="1">
        <f t="array" ref="N460">IFERROR(DatumSzovegge4(INDEX(diakadat!$L$2:$L$50,MATCH(D460,diakadat!$J$2:$J$50,0),1)),"")</f>
        <v/>
      </c>
      <c r="O460" t="str">
        <f>IFERROR(INDEX(diakadat!$R$2:$R$50,MATCH(D460,diakadat!$J$2:$J$50,0),1),"")</f>
        <v/>
      </c>
      <c r="P460" t="str">
        <f>IFERROR(INDEX(diakadat!$AI$2:$AI$50,MATCH(D460,diakadat!$J$2:$J$50,0),1),"")</f>
        <v/>
      </c>
      <c r="Q460" t="str">
        <f>IFERROR(INDEX('rangsor'!$C$2:$C$343,MATCH(D460,'rangsor'!$A$2:$A$343,0),1),"")</f>
        <v/>
      </c>
      <c r="T460" t="s">
        <v>831</v>
      </c>
      <c r="U460" t="str" cm="1">
        <f t="array" ref="U460">Határozat(D460)</f>
        <v/>
      </c>
      <c r="AC460" t="str">
        <f>IFERROR(INDEX(diakadat!$U$2:$U$50,MATCH(D460,diakadat!$J$2:$J$50),1),"")</f>
        <v/>
      </c>
      <c r="AD460" t="str">
        <f>IFERROR(INDEX(diakadat!$V$2:$V$50,MATCH(D460,diakadat!$J$2:$J$50),1),"")</f>
        <v/>
      </c>
      <c r="AE460" t="str">
        <f>IFERROR(INDEX(diakadat!$W$2:$W$50,MATCH(D460,diakadat!$J$2:$J$50),1),"")</f>
        <v/>
      </c>
      <c r="AI460" t="str">
        <f>IFERROR(INDEX(diakadat!$X$2:$X$50,MATCH(D460,diakadat!$J$2:$J$50),1),"")</f>
        <v/>
      </c>
      <c r="AK460">
        <f t="shared" si="7"/>
        <v>329</v>
      </c>
      <c r="AL460" t="str" cm="1">
        <f t="array" ref="AL460">ElsoBetuNagy(R460)</f>
        <v/>
      </c>
      <c r="AO460" t="str" cm="1">
        <f t="array" ref="AO460">DatumSzovegge5(AN460)</f>
        <v>1899.</v>
      </c>
      <c r="AP460" t="str" cm="1">
        <f t="array" ref="AP460">DatumSzovegge3(AN460)</f>
        <v>december</v>
      </c>
      <c r="AQ460" t="str" cm="1">
        <f t="array" ref="AQ460">DatumSzovegge4(AN460)</f>
        <v>30.</v>
      </c>
    </row>
    <row r="461" spans="4:43" x14ac:dyDescent="0.25">
      <c r="D461" t="str" cm="1">
        <f t="array" ref="D461">SzuressNev($B$1,ROW()-1)</f>
        <v/>
      </c>
      <c r="E461">
        <f>COUNTIF($D$2:D593,D461)</f>
        <v>572</v>
      </c>
      <c r="F461" t="str" cm="1">
        <f t="array" ref="F461">ElutasitasEgyOk2(D461,E461)</f>
        <v/>
      </c>
      <c r="G461" t="str">
        <f>IFERROR(INDEX(diakadat!$I$2:$I$50,MATCH(D461,diakadat!$J$2:$J$50,0),1),"")</f>
        <v/>
      </c>
      <c r="H461" t="str">
        <f>IFERROR(INDEX(diakadat!$O$2:$O$50,MATCH(D461,diakadat!$J$2:$J$50,0),1),"")</f>
        <v/>
      </c>
      <c r="I461" t="str">
        <f>IFERROR(INDEX(diakadat!#REF!,MATCH(D461,diakadat!$J$2:$J$50,0),1),"")</f>
        <v/>
      </c>
      <c r="J461" t="str">
        <f>IFERROR(INDEX(diakadat!$K$2:$K$50,MATCH(D461,diakadat!$J$2:$J$50,0),1),"")</f>
        <v/>
      </c>
      <c r="K461" t="str" cm="1">
        <f t="array" ref="K461">IFERROR(DatumSzovegge2(INDEX(diakadat!$L$2:$L$50,MATCH(D461,diakadat!$J$2:$J$50,0),1)),"")</f>
        <v/>
      </c>
      <c r="L461" t="str" cm="1">
        <f t="array" ref="L461">IFERROR(DatumSzovegge5(INDEX(diakadat!$L$2:$L$50,MATCH(D461,diakadat!$J$2:$J$50,0),1)),"")</f>
        <v/>
      </c>
      <c r="M461" t="str" cm="1">
        <f t="array" ref="M461">IFERROR(DatumSzovegge3(INDEX(diakadat!$L$2:$L$50,MATCH(D461,diakadat!$J$2:$J$50,0),1)),"")</f>
        <v/>
      </c>
      <c r="N461" t="str" cm="1">
        <f t="array" ref="N461">IFERROR(DatumSzovegge4(INDEX(diakadat!$L$2:$L$50,MATCH(D461,diakadat!$J$2:$J$50,0),1)),"")</f>
        <v/>
      </c>
      <c r="O461" t="str">
        <f>IFERROR(INDEX(diakadat!$R$2:$R$50,MATCH(D461,diakadat!$J$2:$J$50,0),1),"")</f>
        <v/>
      </c>
      <c r="P461" t="str">
        <f>IFERROR(INDEX(diakadat!$AI$2:$AI$50,MATCH(D461,diakadat!$J$2:$J$50,0),1),"")</f>
        <v/>
      </c>
      <c r="Q461" t="str">
        <f>IFERROR(INDEX('rangsor'!$C$2:$C$343,MATCH(D461,'rangsor'!$A$2:$A$343,0),1),"")</f>
        <v/>
      </c>
      <c r="T461" t="s">
        <v>831</v>
      </c>
      <c r="U461" t="str" cm="1">
        <f t="array" ref="U461">Határozat(D461)</f>
        <v/>
      </c>
      <c r="AC461" t="str">
        <f>IFERROR(INDEX(diakadat!$U$2:$U$50,MATCH(D461,diakadat!$J$2:$J$50),1),"")</f>
        <v/>
      </c>
      <c r="AD461" t="str">
        <f>IFERROR(INDEX(diakadat!$V$2:$V$50,MATCH(D461,diakadat!$J$2:$J$50),1),"")</f>
        <v/>
      </c>
      <c r="AE461" t="str">
        <f>IFERROR(INDEX(diakadat!$W$2:$W$50,MATCH(D461,diakadat!$J$2:$J$50),1),"")</f>
        <v/>
      </c>
      <c r="AI461" t="str">
        <f>IFERROR(INDEX(diakadat!$X$2:$X$50,MATCH(D461,diakadat!$J$2:$J$50),1),"")</f>
        <v/>
      </c>
      <c r="AK461">
        <f t="shared" si="7"/>
        <v>329</v>
      </c>
      <c r="AL461" t="str" cm="1">
        <f t="array" ref="AL461">ElsoBetuNagy(R461)</f>
        <v/>
      </c>
      <c r="AO461" t="str" cm="1">
        <f t="array" ref="AO461">DatumSzovegge5(AN461)</f>
        <v>1899.</v>
      </c>
      <c r="AP461" t="str" cm="1">
        <f t="array" ref="AP461">DatumSzovegge3(AN461)</f>
        <v>december</v>
      </c>
      <c r="AQ461" t="str" cm="1">
        <f t="array" ref="AQ461">DatumSzovegge4(AN461)</f>
        <v>30.</v>
      </c>
    </row>
    <row r="462" spans="4:43" x14ac:dyDescent="0.25">
      <c r="D462" t="str" cm="1">
        <f t="array" ref="D462">SzuressNev($B$1,ROW()-1)</f>
        <v/>
      </c>
      <c r="E462">
        <f>COUNTIF($D$2:D462,D462)</f>
        <v>441</v>
      </c>
      <c r="F462" t="str" cm="1">
        <f t="array" ref="F462">ElutasitasEgyOk2(D462,E462)</f>
        <v/>
      </c>
      <c r="G462" t="str">
        <f>IFERROR(INDEX(diakadat!$I$2:$I$50,MATCH(D462,diakadat!$J$2:$J$50,0),1),"")</f>
        <v/>
      </c>
      <c r="H462" t="str">
        <f>IFERROR(INDEX(diakadat!$O$2:$O$50,MATCH(D462,diakadat!$J$2:$J$50,0),1),"")</f>
        <v/>
      </c>
      <c r="I462" t="str">
        <f>IFERROR(INDEX(diakadat!#REF!,MATCH(D462,diakadat!$J$2:$J$50,0),1),"")</f>
        <v/>
      </c>
      <c r="J462" t="str">
        <f>IFERROR(INDEX(diakadat!$K$2:$K$50,MATCH(D462,diakadat!$J$2:$J$50,0),1),"")</f>
        <v/>
      </c>
      <c r="K462" t="str" cm="1">
        <f t="array" ref="K462">IFERROR(DatumSzovegge2(INDEX(diakadat!$L$2:$L$50,MATCH(D462,diakadat!$J$2:$J$50,0),1)),"")</f>
        <v/>
      </c>
      <c r="L462" t="str" cm="1">
        <f t="array" ref="L462">IFERROR(DatumSzovegge5(INDEX(diakadat!$L$2:$L$50,MATCH(D462,diakadat!$J$2:$J$50,0),1)),"")</f>
        <v/>
      </c>
      <c r="M462" t="str" cm="1">
        <f t="array" ref="M462">IFERROR(DatumSzovegge3(INDEX(diakadat!$L$2:$L$50,MATCH(D462,diakadat!$J$2:$J$50,0),1)),"")</f>
        <v/>
      </c>
      <c r="N462" t="str" cm="1">
        <f t="array" ref="N462">IFERROR(DatumSzovegge4(INDEX(diakadat!$L$2:$L$50,MATCH(D462,diakadat!$J$2:$J$50,0),1)),"")</f>
        <v/>
      </c>
      <c r="O462" t="str">
        <f>IFERROR(INDEX(diakadat!$R$2:$R$50,MATCH(D462,diakadat!$J$2:$J$50,0),1),"")</f>
        <v/>
      </c>
      <c r="P462" t="str">
        <f>IFERROR(INDEX(diakadat!$AI$2:$AI$50,MATCH(D462,diakadat!$J$2:$J$50,0),1),"")</f>
        <v/>
      </c>
      <c r="Q462" t="str">
        <f>IFERROR(INDEX('rangsor'!$C$2:$C$343,MATCH(D462,'rangsor'!$A$2:$A$343,0),1),"")</f>
        <v/>
      </c>
      <c r="T462" t="s">
        <v>831</v>
      </c>
      <c r="U462" t="str" cm="1">
        <f t="array" ref="U462">Határozat(D462)</f>
        <v/>
      </c>
      <c r="AC462" t="str">
        <f>IFERROR(INDEX(diakadat!$U$2:$U$50,MATCH(D462,diakadat!$J$2:$J$50),1),"")</f>
        <v/>
      </c>
      <c r="AD462" t="str">
        <f>IFERROR(INDEX(diakadat!$V$2:$V$50,MATCH(D462,diakadat!$J$2:$J$50),1),"")</f>
        <v/>
      </c>
      <c r="AE462" t="str">
        <f>IFERROR(INDEX(diakadat!$W$2:$W$50,MATCH(D462,diakadat!$J$2:$J$50),1),"")</f>
        <v/>
      </c>
      <c r="AI462" t="str">
        <f>IFERROR(INDEX(diakadat!$X$2:$X$50,MATCH(D462,diakadat!$J$2:$J$50),1),"")</f>
        <v/>
      </c>
      <c r="AK462">
        <f t="shared" si="7"/>
        <v>329</v>
      </c>
      <c r="AL462" t="str" cm="1">
        <f t="array" ref="AL462">ElsoBetuNagy(R462)</f>
        <v/>
      </c>
      <c r="AO462" t="str" cm="1">
        <f t="array" ref="AO462">DatumSzovegge5(AN462)</f>
        <v>1899.</v>
      </c>
      <c r="AP462" t="str" cm="1">
        <f t="array" ref="AP462">DatumSzovegge3(AN462)</f>
        <v>december</v>
      </c>
      <c r="AQ462" t="str" cm="1">
        <f t="array" ref="AQ462">DatumSzovegge4(AN462)</f>
        <v>30.</v>
      </c>
    </row>
    <row r="463" spans="4:43" x14ac:dyDescent="0.25">
      <c r="D463" t="str" cm="1">
        <f t="array" ref="D463">SzuressNev($B$1,ROW()-1)</f>
        <v/>
      </c>
      <c r="E463">
        <f>COUNTIF($D$2:D463,D463)</f>
        <v>442</v>
      </c>
      <c r="F463" t="str" cm="1">
        <f t="array" ref="F463">ElutasitasEgyOk2(D463,E463)</f>
        <v/>
      </c>
      <c r="G463" t="str">
        <f>IFERROR(INDEX(diakadat!$I$2:$I$50,MATCH(D463,diakadat!$J$2:$J$50,0),1),"")</f>
        <v/>
      </c>
      <c r="H463" t="str">
        <f>IFERROR(INDEX(diakadat!$O$2:$O$50,MATCH(D463,diakadat!$J$2:$J$50,0),1),"")</f>
        <v/>
      </c>
      <c r="I463" t="str">
        <f>IFERROR(INDEX(diakadat!#REF!,MATCH(D463,diakadat!$J$2:$J$50,0),1),"")</f>
        <v/>
      </c>
      <c r="J463" t="str">
        <f>IFERROR(INDEX(diakadat!$K$2:$K$50,MATCH(D463,diakadat!$J$2:$J$50,0),1),"")</f>
        <v/>
      </c>
      <c r="K463" t="str" cm="1">
        <f t="array" ref="K463">IFERROR(DatumSzovegge2(INDEX(diakadat!$L$2:$L$50,MATCH(D463,diakadat!$J$2:$J$50,0),1)),"")</f>
        <v/>
      </c>
      <c r="L463" t="str" cm="1">
        <f t="array" ref="L463">IFERROR(DatumSzovegge5(INDEX(diakadat!$L$2:$L$50,MATCH(D463,diakadat!$J$2:$J$50,0),1)),"")</f>
        <v/>
      </c>
      <c r="M463" t="str" cm="1">
        <f t="array" ref="M463">IFERROR(DatumSzovegge3(INDEX(diakadat!$L$2:$L$50,MATCH(D463,diakadat!$J$2:$J$50,0),1)),"")</f>
        <v/>
      </c>
      <c r="N463" t="str" cm="1">
        <f t="array" ref="N463">IFERROR(DatumSzovegge4(INDEX(diakadat!$L$2:$L$50,MATCH(D463,diakadat!$J$2:$J$50,0),1)),"")</f>
        <v/>
      </c>
      <c r="O463" t="str">
        <f>IFERROR(INDEX(diakadat!$R$2:$R$50,MATCH(D463,diakadat!$J$2:$J$50,0),1),"")</f>
        <v/>
      </c>
      <c r="P463" t="str">
        <f>IFERROR(INDEX(diakadat!$AI$2:$AI$50,MATCH(D463,diakadat!$J$2:$J$50,0),1),"")</f>
        <v/>
      </c>
      <c r="Q463" t="str">
        <f>IFERROR(INDEX('rangsor'!$C$2:$C$343,MATCH(D463,'rangsor'!$A$2:$A$343,0),1),"")</f>
        <v/>
      </c>
      <c r="T463" t="s">
        <v>831</v>
      </c>
      <c r="U463" t="str" cm="1">
        <f t="array" ref="U463">Határozat(D463)</f>
        <v/>
      </c>
      <c r="AC463" t="str">
        <f>IFERROR(INDEX(diakadat!$U$2:$U$50,MATCH(D463,diakadat!$J$2:$J$50),1),"")</f>
        <v/>
      </c>
      <c r="AD463" t="str">
        <f>IFERROR(INDEX(diakadat!$V$2:$V$50,MATCH(D463,diakadat!$J$2:$J$50),1),"")</f>
        <v/>
      </c>
      <c r="AE463" t="str">
        <f>IFERROR(INDEX(diakadat!$W$2:$W$50,MATCH(D463,diakadat!$J$2:$J$50),1),"")</f>
        <v/>
      </c>
      <c r="AI463" t="str">
        <f>IFERROR(INDEX(diakadat!$X$2:$X$50,MATCH(D463,diakadat!$J$2:$J$50),1),"")</f>
        <v/>
      </c>
      <c r="AK463">
        <f t="shared" si="7"/>
        <v>329</v>
      </c>
      <c r="AL463" t="str" cm="1">
        <f t="array" ref="AL463">ElsoBetuNagy(R463)</f>
        <v/>
      </c>
      <c r="AO463" t="str" cm="1">
        <f t="array" ref="AO463">DatumSzovegge5(AN463)</f>
        <v>1899.</v>
      </c>
      <c r="AP463" t="str" cm="1">
        <f t="array" ref="AP463">DatumSzovegge3(AN463)</f>
        <v>december</v>
      </c>
      <c r="AQ463" t="str" cm="1">
        <f t="array" ref="AQ463">DatumSzovegge4(AN463)</f>
        <v>30.</v>
      </c>
    </row>
    <row r="464" spans="4:43" x14ac:dyDescent="0.25">
      <c r="D464" t="str" cm="1">
        <f t="array" ref="D464">SzuressNev($B$1,ROW()-1)</f>
        <v/>
      </c>
      <c r="E464">
        <f>COUNTIF($D$2:D464,D464)</f>
        <v>443</v>
      </c>
      <c r="F464" t="str" cm="1">
        <f t="array" ref="F464">ElutasitasEgyOk2(D464,E464)</f>
        <v/>
      </c>
      <c r="G464" t="str">
        <f>IFERROR(INDEX(diakadat!$I$2:$I$50,MATCH(D464,diakadat!$J$2:$J$50,0),1),"")</f>
        <v/>
      </c>
      <c r="H464" t="str">
        <f>IFERROR(INDEX(diakadat!$O$2:$O$50,MATCH(D464,diakadat!$J$2:$J$50,0),1),"")</f>
        <v/>
      </c>
      <c r="I464" t="str">
        <f>IFERROR(INDEX(diakadat!#REF!,MATCH(D464,diakadat!$J$2:$J$50,0),1),"")</f>
        <v/>
      </c>
      <c r="J464" t="str">
        <f>IFERROR(INDEX(diakadat!$K$2:$K$50,MATCH(D464,diakadat!$J$2:$J$50,0),1),"")</f>
        <v/>
      </c>
      <c r="K464" t="str" cm="1">
        <f t="array" ref="K464">IFERROR(DatumSzovegge2(INDEX(diakadat!$L$2:$L$50,MATCH(D464,diakadat!$J$2:$J$50,0),1)),"")</f>
        <v/>
      </c>
      <c r="L464" t="str" cm="1">
        <f t="array" ref="L464">IFERROR(DatumSzovegge5(INDEX(diakadat!$L$2:$L$50,MATCH(D464,diakadat!$J$2:$J$50,0),1)),"")</f>
        <v/>
      </c>
      <c r="M464" t="str" cm="1">
        <f t="array" ref="M464">IFERROR(DatumSzovegge3(INDEX(diakadat!$L$2:$L$50,MATCH(D464,diakadat!$J$2:$J$50,0),1)),"")</f>
        <v/>
      </c>
      <c r="N464" t="str" cm="1">
        <f t="array" ref="N464">IFERROR(DatumSzovegge4(INDEX(diakadat!$L$2:$L$50,MATCH(D464,diakadat!$J$2:$J$50,0),1)),"")</f>
        <v/>
      </c>
      <c r="O464" t="str">
        <f>IFERROR(INDEX(diakadat!$R$2:$R$50,MATCH(D464,diakadat!$J$2:$J$50,0),1),"")</f>
        <v/>
      </c>
      <c r="P464" t="str">
        <f>IFERROR(INDEX(diakadat!$AI$2:$AI$50,MATCH(D464,diakadat!$J$2:$J$50,0),1),"")</f>
        <v/>
      </c>
      <c r="Q464" t="str">
        <f>IFERROR(INDEX('rangsor'!$C$2:$C$343,MATCH(D464,'rangsor'!$A$2:$A$343,0),1),"")</f>
        <v/>
      </c>
      <c r="T464" t="s">
        <v>831</v>
      </c>
      <c r="U464" t="str" cm="1">
        <f t="array" ref="U464">Határozat(D464)</f>
        <v/>
      </c>
      <c r="AC464" t="str">
        <f>IFERROR(INDEX(diakadat!$U$2:$U$50,MATCH(D464,diakadat!$J$2:$J$50),1),"")</f>
        <v/>
      </c>
      <c r="AD464" t="str">
        <f>IFERROR(INDEX(diakadat!$V$2:$V$50,MATCH(D464,diakadat!$J$2:$J$50),1),"")</f>
        <v/>
      </c>
      <c r="AE464" t="str">
        <f>IFERROR(INDEX(diakadat!$W$2:$W$50,MATCH(D464,diakadat!$J$2:$J$50),1),"")</f>
        <v/>
      </c>
      <c r="AI464" t="str">
        <f>IFERROR(INDEX(diakadat!$X$2:$X$50,MATCH(D464,diakadat!$J$2:$J$50),1),"")</f>
        <v/>
      </c>
      <c r="AK464">
        <f t="shared" si="7"/>
        <v>329</v>
      </c>
      <c r="AL464" t="str" cm="1">
        <f t="array" ref="AL464">ElsoBetuNagy(R464)</f>
        <v/>
      </c>
      <c r="AO464" t="str" cm="1">
        <f t="array" ref="AO464">DatumSzovegge5(AN464)</f>
        <v>1899.</v>
      </c>
      <c r="AP464" t="str" cm="1">
        <f t="array" ref="AP464">DatumSzovegge3(AN464)</f>
        <v>december</v>
      </c>
      <c r="AQ464" t="str" cm="1">
        <f t="array" ref="AQ464">DatumSzovegge4(AN464)</f>
        <v>30.</v>
      </c>
    </row>
    <row r="465" spans="4:43" x14ac:dyDescent="0.25">
      <c r="D465" t="str" cm="1">
        <f t="array" ref="D465">SzuressNev($B$1,ROW()-1)</f>
        <v/>
      </c>
      <c r="E465">
        <f>COUNTIF($D$2:D465,D465)</f>
        <v>444</v>
      </c>
      <c r="F465" t="str" cm="1">
        <f t="array" ref="F465">ElutasitasEgyOk2(D465,E465)</f>
        <v/>
      </c>
      <c r="G465" t="str">
        <f>IFERROR(INDEX(diakadat!$I$2:$I$50,MATCH(D465,diakadat!$J$2:$J$50,0),1),"")</f>
        <v/>
      </c>
      <c r="H465" t="str">
        <f>IFERROR(INDEX(diakadat!$O$2:$O$50,MATCH(D465,diakadat!$J$2:$J$50,0),1),"")</f>
        <v/>
      </c>
      <c r="I465" t="str">
        <f>IFERROR(INDEX(diakadat!#REF!,MATCH(D465,diakadat!$J$2:$J$50,0),1),"")</f>
        <v/>
      </c>
      <c r="J465" t="str">
        <f>IFERROR(INDEX(diakadat!$K$2:$K$50,MATCH(D465,diakadat!$J$2:$J$50,0),1),"")</f>
        <v/>
      </c>
      <c r="K465" t="str" cm="1">
        <f t="array" ref="K465">IFERROR(DatumSzovegge2(INDEX(diakadat!$L$2:$L$50,MATCH(D465,diakadat!$J$2:$J$50,0),1)),"")</f>
        <v/>
      </c>
      <c r="L465" t="str" cm="1">
        <f t="array" ref="L465">IFERROR(DatumSzovegge5(INDEX(diakadat!$L$2:$L$50,MATCH(D465,diakadat!$J$2:$J$50,0),1)),"")</f>
        <v/>
      </c>
      <c r="M465" t="str" cm="1">
        <f t="array" ref="M465">IFERROR(DatumSzovegge3(INDEX(diakadat!$L$2:$L$50,MATCH(D465,diakadat!$J$2:$J$50,0),1)),"")</f>
        <v/>
      </c>
      <c r="N465" t="str" cm="1">
        <f t="array" ref="N465">IFERROR(DatumSzovegge4(INDEX(diakadat!$L$2:$L$50,MATCH(D465,diakadat!$J$2:$J$50,0),1)),"")</f>
        <v/>
      </c>
      <c r="O465" t="str">
        <f>IFERROR(INDEX(diakadat!$R$2:$R$50,MATCH(D465,diakadat!$J$2:$J$50,0),1),"")</f>
        <v/>
      </c>
      <c r="P465" t="str">
        <f>IFERROR(INDEX(diakadat!$AI$2:$AI$50,MATCH(D465,diakadat!$J$2:$J$50,0),1),"")</f>
        <v/>
      </c>
      <c r="Q465" t="str">
        <f>IFERROR(INDEX('rangsor'!$C$2:$C$343,MATCH(D465,'rangsor'!$A$2:$A$343,0),1),"")</f>
        <v/>
      </c>
      <c r="T465" t="s">
        <v>831</v>
      </c>
      <c r="U465" t="str" cm="1">
        <f t="array" ref="U465">Határozat(D465)</f>
        <v/>
      </c>
      <c r="AC465" t="str">
        <f>IFERROR(INDEX(diakadat!$U$2:$U$50,MATCH(D465,diakadat!$J$2:$J$50),1),"")</f>
        <v/>
      </c>
      <c r="AD465" t="str">
        <f>IFERROR(INDEX(diakadat!$V$2:$V$50,MATCH(D465,diakadat!$J$2:$J$50),1),"")</f>
        <v/>
      </c>
      <c r="AE465" t="str">
        <f>IFERROR(INDEX(diakadat!$W$2:$W$50,MATCH(D465,diakadat!$J$2:$J$50),1),"")</f>
        <v/>
      </c>
      <c r="AI465" t="str">
        <f>IFERROR(INDEX(diakadat!$X$2:$X$50,MATCH(D465,diakadat!$J$2:$J$50),1),"")</f>
        <v/>
      </c>
      <c r="AK465">
        <f t="shared" si="7"/>
        <v>329</v>
      </c>
      <c r="AL465" t="str" cm="1">
        <f t="array" ref="AL465">ElsoBetuNagy(R465)</f>
        <v/>
      </c>
      <c r="AO465" t="str" cm="1">
        <f t="array" ref="AO465">DatumSzovegge5(AN465)</f>
        <v>1899.</v>
      </c>
      <c r="AP465" t="str" cm="1">
        <f t="array" ref="AP465">DatumSzovegge3(AN465)</f>
        <v>december</v>
      </c>
      <c r="AQ465" t="str" cm="1">
        <f t="array" ref="AQ465">DatumSzovegge4(AN465)</f>
        <v>30.</v>
      </c>
    </row>
    <row r="466" spans="4:43" x14ac:dyDescent="0.25">
      <c r="D466" t="str" cm="1">
        <f t="array" ref="D466">SzuressNev($B$1,ROW()-1)</f>
        <v/>
      </c>
      <c r="E466">
        <f>COUNTIF($D$2:D466,D466)</f>
        <v>445</v>
      </c>
      <c r="F466" t="str" cm="1">
        <f t="array" ref="F466">ElutasitasEgyOk2(D466,E466)</f>
        <v/>
      </c>
      <c r="G466" t="str">
        <f>IFERROR(INDEX(diakadat!$I$2:$I$50,MATCH(D466,diakadat!$J$2:$J$50,0),1),"")</f>
        <v/>
      </c>
      <c r="H466" t="str">
        <f>IFERROR(INDEX(diakadat!$O$2:$O$50,MATCH(D466,diakadat!$J$2:$J$50,0),1),"")</f>
        <v/>
      </c>
      <c r="I466" t="str">
        <f>IFERROR(INDEX(diakadat!#REF!,MATCH(D466,diakadat!$J$2:$J$50,0),1),"")</f>
        <v/>
      </c>
      <c r="J466" t="str">
        <f>IFERROR(INDEX(diakadat!$K$2:$K$50,MATCH(D466,diakadat!$J$2:$J$50,0),1),"")</f>
        <v/>
      </c>
      <c r="K466" t="str" cm="1">
        <f t="array" ref="K466">IFERROR(DatumSzovegge2(INDEX(diakadat!$L$2:$L$50,MATCH(D466,diakadat!$J$2:$J$50,0),1)),"")</f>
        <v/>
      </c>
      <c r="L466" t="str" cm="1">
        <f t="array" ref="L466">IFERROR(DatumSzovegge5(INDEX(diakadat!$L$2:$L$50,MATCH(D466,diakadat!$J$2:$J$50,0),1)),"")</f>
        <v/>
      </c>
      <c r="M466" t="str" cm="1">
        <f t="array" ref="M466">IFERROR(DatumSzovegge3(INDEX(diakadat!$L$2:$L$50,MATCH(D466,diakadat!$J$2:$J$50,0),1)),"")</f>
        <v/>
      </c>
      <c r="N466" t="str" cm="1">
        <f t="array" ref="N466">IFERROR(DatumSzovegge4(INDEX(diakadat!$L$2:$L$50,MATCH(D466,diakadat!$J$2:$J$50,0),1)),"")</f>
        <v/>
      </c>
      <c r="O466" t="str">
        <f>IFERROR(INDEX(diakadat!$R$2:$R$50,MATCH(D466,diakadat!$J$2:$J$50,0),1),"")</f>
        <v/>
      </c>
      <c r="P466" t="str">
        <f>IFERROR(INDEX(diakadat!$AI$2:$AI$50,MATCH(D466,diakadat!$J$2:$J$50,0),1),"")</f>
        <v/>
      </c>
      <c r="Q466" t="str">
        <f>IFERROR(INDEX('rangsor'!$C$2:$C$343,MATCH(D466,'rangsor'!$A$2:$A$343,0),1),"")</f>
        <v/>
      </c>
      <c r="T466" t="s">
        <v>831</v>
      </c>
      <c r="U466" t="str" cm="1">
        <f t="array" ref="U466">Határozat(D466)</f>
        <v/>
      </c>
      <c r="AC466" t="str">
        <f>IFERROR(INDEX(diakadat!$U$2:$U$50,MATCH(D466,diakadat!$J$2:$J$50),1),"")</f>
        <v/>
      </c>
      <c r="AD466" t="str">
        <f>IFERROR(INDEX(diakadat!$V$2:$V$50,MATCH(D466,diakadat!$J$2:$J$50),1),"")</f>
        <v/>
      </c>
      <c r="AE466" t="str">
        <f>IFERROR(INDEX(diakadat!$W$2:$W$50,MATCH(D466,diakadat!$J$2:$J$50),1),"")</f>
        <v/>
      </c>
      <c r="AI466" t="str">
        <f>IFERROR(INDEX(diakadat!$X$2:$X$50,MATCH(D466,diakadat!$J$2:$J$50),1),"")</f>
        <v/>
      </c>
      <c r="AK466">
        <f t="shared" si="7"/>
        <v>329</v>
      </c>
      <c r="AL466" t="str" cm="1">
        <f t="array" ref="AL466">ElsoBetuNagy(R466)</f>
        <v/>
      </c>
      <c r="AO466" t="str" cm="1">
        <f t="array" ref="AO466">DatumSzovegge5(AN466)</f>
        <v>1899.</v>
      </c>
      <c r="AP466" t="str" cm="1">
        <f t="array" ref="AP466">DatumSzovegge3(AN466)</f>
        <v>december</v>
      </c>
      <c r="AQ466" t="str" cm="1">
        <f t="array" ref="AQ466">DatumSzovegge4(AN466)</f>
        <v>30.</v>
      </c>
    </row>
    <row r="467" spans="4:43" x14ac:dyDescent="0.25">
      <c r="D467" t="str" cm="1">
        <f t="array" ref="D467">SzuressNev($B$1,ROW()-1)</f>
        <v/>
      </c>
      <c r="E467">
        <f>COUNTIF($D$2:D467,D467)</f>
        <v>446</v>
      </c>
      <c r="F467" t="str" cm="1">
        <f t="array" ref="F467">ElutasitasEgyOk2(D467,E467)</f>
        <v/>
      </c>
      <c r="G467" t="str">
        <f>IFERROR(INDEX(diakadat!$I$2:$I$50,MATCH(D467,diakadat!$J$2:$J$50,0),1),"")</f>
        <v/>
      </c>
      <c r="H467" t="str">
        <f>IFERROR(INDEX(diakadat!$O$2:$O$50,MATCH(D467,diakadat!$J$2:$J$50,0),1),"")</f>
        <v/>
      </c>
      <c r="I467" t="str">
        <f>IFERROR(INDEX(diakadat!#REF!,MATCH(D467,diakadat!$J$2:$J$50,0),1),"")</f>
        <v/>
      </c>
      <c r="J467" t="str">
        <f>IFERROR(INDEX(diakadat!$K$2:$K$50,MATCH(D467,diakadat!$J$2:$J$50,0),1),"")</f>
        <v/>
      </c>
      <c r="K467" t="str" cm="1">
        <f t="array" ref="K467">IFERROR(DatumSzovegge2(INDEX(diakadat!$L$2:$L$50,MATCH(D467,diakadat!$J$2:$J$50,0),1)),"")</f>
        <v/>
      </c>
      <c r="L467" t="str" cm="1">
        <f t="array" ref="L467">IFERROR(DatumSzovegge5(INDEX(diakadat!$L$2:$L$50,MATCH(D467,diakadat!$J$2:$J$50,0),1)),"")</f>
        <v/>
      </c>
      <c r="M467" t="str" cm="1">
        <f t="array" ref="M467">IFERROR(DatumSzovegge3(INDEX(diakadat!$L$2:$L$50,MATCH(D467,diakadat!$J$2:$J$50,0),1)),"")</f>
        <v/>
      </c>
      <c r="N467" t="str" cm="1">
        <f t="array" ref="N467">IFERROR(DatumSzovegge4(INDEX(diakadat!$L$2:$L$50,MATCH(D467,diakadat!$J$2:$J$50,0),1)),"")</f>
        <v/>
      </c>
      <c r="O467" t="str">
        <f>IFERROR(INDEX(diakadat!$R$2:$R$50,MATCH(D467,diakadat!$J$2:$J$50,0),1),"")</f>
        <v/>
      </c>
      <c r="P467" t="str">
        <f>IFERROR(INDEX(diakadat!$AI$2:$AI$50,MATCH(D467,diakadat!$J$2:$J$50,0),1),"")</f>
        <v/>
      </c>
      <c r="Q467" t="str">
        <f>IFERROR(INDEX('rangsor'!$C$2:$C$343,MATCH(D467,'rangsor'!$A$2:$A$343,0),1),"")</f>
        <v/>
      </c>
      <c r="T467" t="s">
        <v>831</v>
      </c>
      <c r="U467" t="str" cm="1">
        <f t="array" ref="U467">Határozat(D467)</f>
        <v/>
      </c>
      <c r="AC467" t="str">
        <f>IFERROR(INDEX(diakadat!$U$2:$U$50,MATCH(D467,diakadat!$J$2:$J$50),1),"")</f>
        <v/>
      </c>
      <c r="AD467" t="str">
        <f>IFERROR(INDEX(diakadat!$V$2:$V$50,MATCH(D467,diakadat!$J$2:$J$50),1),"")</f>
        <v/>
      </c>
      <c r="AE467" t="str">
        <f>IFERROR(INDEX(diakadat!$W$2:$W$50,MATCH(D467,diakadat!$J$2:$J$50),1),"")</f>
        <v/>
      </c>
      <c r="AI467" t="str">
        <f>IFERROR(INDEX(diakadat!$X$2:$X$50,MATCH(D467,diakadat!$J$2:$J$50),1),"")</f>
        <v/>
      </c>
      <c r="AK467">
        <f t="shared" si="7"/>
        <v>329</v>
      </c>
      <c r="AL467" t="str" cm="1">
        <f t="array" ref="AL467">ElsoBetuNagy(R467)</f>
        <v/>
      </c>
      <c r="AO467" t="str" cm="1">
        <f t="array" ref="AO467">DatumSzovegge5(AN467)</f>
        <v>1899.</v>
      </c>
      <c r="AP467" t="str" cm="1">
        <f t="array" ref="AP467">DatumSzovegge3(AN467)</f>
        <v>december</v>
      </c>
      <c r="AQ467" t="str" cm="1">
        <f t="array" ref="AQ467">DatumSzovegge4(AN467)</f>
        <v>30.</v>
      </c>
    </row>
    <row r="468" spans="4:43" x14ac:dyDescent="0.25">
      <c r="D468" t="str" cm="1">
        <f t="array" ref="D468">SzuressNev($B$1,ROW()-1)</f>
        <v/>
      </c>
      <c r="E468">
        <f>COUNTIF($D$2:D468,D468)</f>
        <v>447</v>
      </c>
      <c r="F468" t="str" cm="1">
        <f t="array" ref="F468">ElutasitasEgyOk2(D468,E468)</f>
        <v/>
      </c>
      <c r="G468" t="str">
        <f>IFERROR(INDEX(diakadat!$I$2:$I$50,MATCH(D468,diakadat!$J$2:$J$50,0),1),"")</f>
        <v/>
      </c>
      <c r="H468" t="str">
        <f>IFERROR(INDEX(diakadat!$O$2:$O$50,MATCH(D468,diakadat!$J$2:$J$50,0),1),"")</f>
        <v/>
      </c>
      <c r="I468" t="str">
        <f>IFERROR(INDEX(diakadat!#REF!,MATCH(D468,diakadat!$J$2:$J$50,0),1),"")</f>
        <v/>
      </c>
      <c r="J468" t="str">
        <f>IFERROR(INDEX(diakadat!$K$2:$K$50,MATCH(D468,diakadat!$J$2:$J$50,0),1),"")</f>
        <v/>
      </c>
      <c r="K468" t="str" cm="1">
        <f t="array" ref="K468">IFERROR(DatumSzovegge2(INDEX(diakadat!$L$2:$L$50,MATCH(D468,diakadat!$J$2:$J$50,0),1)),"")</f>
        <v/>
      </c>
      <c r="L468" t="str" cm="1">
        <f t="array" ref="L468">IFERROR(DatumSzovegge5(INDEX(diakadat!$L$2:$L$50,MATCH(D468,diakadat!$J$2:$J$50,0),1)),"")</f>
        <v/>
      </c>
      <c r="M468" t="str" cm="1">
        <f t="array" ref="M468">IFERROR(DatumSzovegge3(INDEX(diakadat!$L$2:$L$50,MATCH(D468,diakadat!$J$2:$J$50,0),1)),"")</f>
        <v/>
      </c>
      <c r="N468" t="str" cm="1">
        <f t="array" ref="N468">IFERROR(DatumSzovegge4(INDEX(diakadat!$L$2:$L$50,MATCH(D468,diakadat!$J$2:$J$50,0),1)),"")</f>
        <v/>
      </c>
      <c r="O468" t="str">
        <f>IFERROR(INDEX(diakadat!$R$2:$R$50,MATCH(D468,diakadat!$J$2:$J$50,0),1),"")</f>
        <v/>
      </c>
      <c r="P468" t="str">
        <f>IFERROR(INDEX(diakadat!$AI$2:$AI$50,MATCH(D468,diakadat!$J$2:$J$50,0),1),"")</f>
        <v/>
      </c>
      <c r="Q468" t="str">
        <f>IFERROR(INDEX('rangsor'!$C$2:$C$343,MATCH(D468,'rangsor'!$A$2:$A$343,0),1),"")</f>
        <v/>
      </c>
      <c r="T468" t="s">
        <v>831</v>
      </c>
      <c r="U468" t="str" cm="1">
        <f t="array" ref="U468">Határozat(D468)</f>
        <v/>
      </c>
      <c r="AC468" t="str">
        <f>IFERROR(INDEX(diakadat!$U$2:$U$50,MATCH(D468,diakadat!$J$2:$J$50),1),"")</f>
        <v/>
      </c>
      <c r="AD468" t="str">
        <f>IFERROR(INDEX(diakadat!$V$2:$V$50,MATCH(D468,diakadat!$J$2:$J$50),1),"")</f>
        <v/>
      </c>
      <c r="AE468" t="str">
        <f>IFERROR(INDEX(diakadat!$W$2:$W$50,MATCH(D468,diakadat!$J$2:$J$50),1),"")</f>
        <v/>
      </c>
      <c r="AI468" t="str">
        <f>IFERROR(INDEX(diakadat!$X$2:$X$50,MATCH(D468,diakadat!$J$2:$J$50),1),"")</f>
        <v/>
      </c>
      <c r="AK468">
        <f t="shared" si="7"/>
        <v>329</v>
      </c>
      <c r="AL468" t="str" cm="1">
        <f t="array" ref="AL468">ElsoBetuNagy(R468)</f>
        <v/>
      </c>
      <c r="AO468" t="str" cm="1">
        <f t="array" ref="AO468">DatumSzovegge5(AN468)</f>
        <v>1899.</v>
      </c>
      <c r="AP468" t="str" cm="1">
        <f t="array" ref="AP468">DatumSzovegge3(AN468)</f>
        <v>december</v>
      </c>
      <c r="AQ468" t="str" cm="1">
        <f t="array" ref="AQ468">DatumSzovegge4(AN468)</f>
        <v>30.</v>
      </c>
    </row>
    <row r="469" spans="4:43" x14ac:dyDescent="0.25">
      <c r="D469" t="str" cm="1">
        <f t="array" ref="D469">SzuressNev($B$1,ROW()-1)</f>
        <v/>
      </c>
      <c r="E469">
        <f>COUNTIF($D$2:D469,D469)</f>
        <v>448</v>
      </c>
      <c r="F469" t="str" cm="1">
        <f t="array" ref="F469">ElutasitasEgyOk2(D469,E469)</f>
        <v/>
      </c>
      <c r="G469" t="str">
        <f>IFERROR(INDEX(diakadat!$I$2:$I$50,MATCH(D469,diakadat!$J$2:$J$50,0),1),"")</f>
        <v/>
      </c>
      <c r="H469" t="str">
        <f>IFERROR(INDEX(diakadat!$O$2:$O$50,MATCH(D469,diakadat!$J$2:$J$50,0),1),"")</f>
        <v/>
      </c>
      <c r="I469" t="str">
        <f>IFERROR(INDEX(diakadat!#REF!,MATCH(D469,diakadat!$J$2:$J$50,0),1),"")</f>
        <v/>
      </c>
      <c r="J469" t="str">
        <f>IFERROR(INDEX(diakadat!$K$2:$K$50,MATCH(D469,diakadat!$J$2:$J$50,0),1),"")</f>
        <v/>
      </c>
      <c r="K469" t="str" cm="1">
        <f t="array" ref="K469">IFERROR(DatumSzovegge2(INDEX(diakadat!$L$2:$L$50,MATCH(D469,diakadat!$J$2:$J$50,0),1)),"")</f>
        <v/>
      </c>
      <c r="L469" t="str" cm="1">
        <f t="array" ref="L469">IFERROR(DatumSzovegge5(INDEX(diakadat!$L$2:$L$50,MATCH(D469,diakadat!$J$2:$J$50,0),1)),"")</f>
        <v/>
      </c>
      <c r="M469" t="str" cm="1">
        <f t="array" ref="M469">IFERROR(DatumSzovegge3(INDEX(diakadat!$L$2:$L$50,MATCH(D469,diakadat!$J$2:$J$50,0),1)),"")</f>
        <v/>
      </c>
      <c r="N469" t="str" cm="1">
        <f t="array" ref="N469">IFERROR(DatumSzovegge4(INDEX(diakadat!$L$2:$L$50,MATCH(D469,diakadat!$J$2:$J$50,0),1)),"")</f>
        <v/>
      </c>
      <c r="O469" t="str">
        <f>IFERROR(INDEX(diakadat!$R$2:$R$50,MATCH(D469,diakadat!$J$2:$J$50,0),1),"")</f>
        <v/>
      </c>
      <c r="P469" t="str">
        <f>IFERROR(INDEX(diakadat!$AI$2:$AI$50,MATCH(D469,diakadat!$J$2:$J$50,0),1),"")</f>
        <v/>
      </c>
      <c r="Q469" t="str">
        <f>IFERROR(INDEX('rangsor'!$C$2:$C$343,MATCH(D469,'rangsor'!$A$2:$A$343,0),1),"")</f>
        <v/>
      </c>
      <c r="T469" t="s">
        <v>831</v>
      </c>
      <c r="U469" t="str" cm="1">
        <f t="array" ref="U469">Határozat(D469)</f>
        <v/>
      </c>
      <c r="AC469" t="str">
        <f>IFERROR(INDEX(diakadat!$U$2:$U$50,MATCH(D469,diakadat!$J$2:$J$50),1),"")</f>
        <v/>
      </c>
      <c r="AD469" t="str">
        <f>IFERROR(INDEX(diakadat!$V$2:$V$50,MATCH(D469,diakadat!$J$2:$J$50),1),"")</f>
        <v/>
      </c>
      <c r="AE469" t="str">
        <f>IFERROR(INDEX(diakadat!$W$2:$W$50,MATCH(D469,diakadat!$J$2:$J$50),1),"")</f>
        <v/>
      </c>
      <c r="AI469" t="str">
        <f>IFERROR(INDEX(diakadat!$X$2:$X$50,MATCH(D469,diakadat!$J$2:$J$50),1),"")</f>
        <v/>
      </c>
      <c r="AK469">
        <f t="shared" si="7"/>
        <v>329</v>
      </c>
      <c r="AL469" t="str" cm="1">
        <f t="array" ref="AL469">ElsoBetuNagy(R469)</f>
        <v/>
      </c>
      <c r="AO469" t="str" cm="1">
        <f t="array" ref="AO469">DatumSzovegge5(AN469)</f>
        <v>1899.</v>
      </c>
      <c r="AP469" t="str" cm="1">
        <f t="array" ref="AP469">DatumSzovegge3(AN469)</f>
        <v>december</v>
      </c>
      <c r="AQ469" t="str" cm="1">
        <f t="array" ref="AQ469">DatumSzovegge4(AN469)</f>
        <v>30.</v>
      </c>
    </row>
    <row r="470" spans="4:43" x14ac:dyDescent="0.25">
      <c r="D470" t="str" cm="1">
        <f t="array" ref="D470">SzuressNev($B$1,ROW()-1)</f>
        <v/>
      </c>
      <c r="E470">
        <f>COUNTIF($D$2:D470,D470)</f>
        <v>449</v>
      </c>
      <c r="F470" t="str" cm="1">
        <f t="array" ref="F470">ElutasitasEgyOk2(D470,E470)</f>
        <v/>
      </c>
      <c r="G470" t="str">
        <f>IFERROR(INDEX(diakadat!$I$2:$I$50,MATCH(D470,diakadat!$J$2:$J$50,0),1),"")</f>
        <v/>
      </c>
      <c r="H470" t="str">
        <f>IFERROR(INDEX(diakadat!$O$2:$O$50,MATCH(D470,diakadat!$J$2:$J$50,0),1),"")</f>
        <v/>
      </c>
      <c r="I470" t="str">
        <f>IFERROR(INDEX(diakadat!#REF!,MATCH(D470,diakadat!$J$2:$J$50,0),1),"")</f>
        <v/>
      </c>
      <c r="J470" t="str">
        <f>IFERROR(INDEX(diakadat!$K$2:$K$50,MATCH(D470,diakadat!$J$2:$J$50,0),1),"")</f>
        <v/>
      </c>
      <c r="K470" t="str" cm="1">
        <f t="array" ref="K470">IFERROR(DatumSzovegge2(INDEX(diakadat!$L$2:$L$50,MATCH(D470,diakadat!$J$2:$J$50,0),1)),"")</f>
        <v/>
      </c>
      <c r="L470" t="str" cm="1">
        <f t="array" ref="L470">IFERROR(DatumSzovegge5(INDEX(diakadat!$L$2:$L$50,MATCH(D470,diakadat!$J$2:$J$50,0),1)),"")</f>
        <v/>
      </c>
      <c r="M470" t="str" cm="1">
        <f t="array" ref="M470">IFERROR(DatumSzovegge3(INDEX(diakadat!$L$2:$L$50,MATCH(D470,diakadat!$J$2:$J$50,0),1)),"")</f>
        <v/>
      </c>
      <c r="N470" t="str" cm="1">
        <f t="array" ref="N470">IFERROR(DatumSzovegge4(INDEX(diakadat!$L$2:$L$50,MATCH(D470,diakadat!$J$2:$J$50,0),1)),"")</f>
        <v/>
      </c>
      <c r="O470" t="str">
        <f>IFERROR(INDEX(diakadat!$R$2:$R$50,MATCH(D470,diakadat!$J$2:$J$50,0),1),"")</f>
        <v/>
      </c>
      <c r="P470" t="str">
        <f>IFERROR(INDEX(diakadat!$AI$2:$AI$50,MATCH(D470,diakadat!$J$2:$J$50,0),1),"")</f>
        <v/>
      </c>
      <c r="Q470" t="str">
        <f>IFERROR(INDEX('rangsor'!$C$2:$C$343,MATCH(D470,'rangsor'!$A$2:$A$343,0),1),"")</f>
        <v/>
      </c>
      <c r="T470" t="s">
        <v>831</v>
      </c>
      <c r="U470" t="str" cm="1">
        <f t="array" ref="U470">Határozat(D470)</f>
        <v/>
      </c>
      <c r="AC470" t="str">
        <f>IFERROR(INDEX(diakadat!$U$2:$U$50,MATCH(D470,diakadat!$J$2:$J$50),1),"")</f>
        <v/>
      </c>
      <c r="AD470" t="str">
        <f>IFERROR(INDEX(diakadat!$V$2:$V$50,MATCH(D470,diakadat!$J$2:$J$50),1),"")</f>
        <v/>
      </c>
      <c r="AE470" t="str">
        <f>IFERROR(INDEX(diakadat!$W$2:$W$50,MATCH(D470,diakadat!$J$2:$J$50),1),"")</f>
        <v/>
      </c>
      <c r="AI470" t="str">
        <f>IFERROR(INDEX(diakadat!$X$2:$X$50,MATCH(D470,diakadat!$J$2:$J$50),1),"")</f>
        <v/>
      </c>
      <c r="AK470">
        <f t="shared" si="7"/>
        <v>329</v>
      </c>
      <c r="AL470" t="str" cm="1">
        <f t="array" ref="AL470">ElsoBetuNagy(R470)</f>
        <v/>
      </c>
      <c r="AO470" t="str" cm="1">
        <f t="array" ref="AO470">DatumSzovegge5(AN470)</f>
        <v>1899.</v>
      </c>
      <c r="AP470" t="str" cm="1">
        <f t="array" ref="AP470">DatumSzovegge3(AN470)</f>
        <v>december</v>
      </c>
      <c r="AQ470" t="str" cm="1">
        <f t="array" ref="AQ470">DatumSzovegge4(AN470)</f>
        <v>30.</v>
      </c>
    </row>
    <row r="471" spans="4:43" x14ac:dyDescent="0.25">
      <c r="D471" t="str" cm="1">
        <f t="array" ref="D471">SzuressNev($B$1,ROW()-1)</f>
        <v/>
      </c>
      <c r="E471">
        <f>COUNTIF($D$2:D471,D471)</f>
        <v>450</v>
      </c>
      <c r="F471" t="str" cm="1">
        <f t="array" ref="F471">ElutasitasEgyOk2(D471,E471)</f>
        <v/>
      </c>
      <c r="G471" t="str">
        <f>IFERROR(INDEX(diakadat!$I$2:$I$50,MATCH(D471,diakadat!$J$2:$J$50,0),1),"")</f>
        <v/>
      </c>
      <c r="H471" t="str">
        <f>IFERROR(INDEX(diakadat!$O$2:$O$50,MATCH(D471,diakadat!$J$2:$J$50,0),1),"")</f>
        <v/>
      </c>
      <c r="I471" t="str">
        <f>IFERROR(INDEX(diakadat!#REF!,MATCH(D471,diakadat!$J$2:$J$50,0),1),"")</f>
        <v/>
      </c>
      <c r="J471" t="str">
        <f>IFERROR(INDEX(diakadat!$K$2:$K$50,MATCH(D471,diakadat!$J$2:$J$50,0),1),"")</f>
        <v/>
      </c>
      <c r="K471" t="str" cm="1">
        <f t="array" ref="K471">IFERROR(DatumSzovegge2(INDEX(diakadat!$L$2:$L$50,MATCH(D471,diakadat!$J$2:$J$50,0),1)),"")</f>
        <v/>
      </c>
      <c r="L471" t="str" cm="1">
        <f t="array" ref="L471">IFERROR(DatumSzovegge5(INDEX(diakadat!$L$2:$L$50,MATCH(D471,diakadat!$J$2:$J$50,0),1)),"")</f>
        <v/>
      </c>
      <c r="M471" t="str" cm="1">
        <f t="array" ref="M471">IFERROR(DatumSzovegge3(INDEX(diakadat!$L$2:$L$50,MATCH(D471,diakadat!$J$2:$J$50,0),1)),"")</f>
        <v/>
      </c>
      <c r="N471" t="str" cm="1">
        <f t="array" ref="N471">IFERROR(DatumSzovegge4(INDEX(diakadat!$L$2:$L$50,MATCH(D471,diakadat!$J$2:$J$50,0),1)),"")</f>
        <v/>
      </c>
      <c r="O471" t="str">
        <f>IFERROR(INDEX(diakadat!$R$2:$R$50,MATCH(D471,diakadat!$J$2:$J$50,0),1),"")</f>
        <v/>
      </c>
      <c r="P471" t="str">
        <f>IFERROR(INDEX(diakadat!$AI$2:$AI$50,MATCH(D471,diakadat!$J$2:$J$50,0),1),"")</f>
        <v/>
      </c>
      <c r="Q471" t="str">
        <f>IFERROR(INDEX('rangsor'!$C$2:$C$343,MATCH(D471,'rangsor'!$A$2:$A$343,0),1),"")</f>
        <v/>
      </c>
      <c r="T471" t="s">
        <v>831</v>
      </c>
      <c r="U471" t="str" cm="1">
        <f t="array" ref="U471">Határozat(D471)</f>
        <v/>
      </c>
      <c r="AC471" t="str">
        <f>IFERROR(INDEX(diakadat!$U$2:$U$50,MATCH(D471,diakadat!$J$2:$J$50),1),"")</f>
        <v/>
      </c>
      <c r="AD471" t="str">
        <f>IFERROR(INDEX(diakadat!$V$2:$V$50,MATCH(D471,diakadat!$J$2:$J$50),1),"")</f>
        <v/>
      </c>
      <c r="AE471" t="str">
        <f>IFERROR(INDEX(diakadat!$W$2:$W$50,MATCH(D471,diakadat!$J$2:$J$50),1),"")</f>
        <v/>
      </c>
      <c r="AI471" t="str">
        <f>IFERROR(INDEX(diakadat!$X$2:$X$50,MATCH(D471,diakadat!$J$2:$J$50),1),"")</f>
        <v/>
      </c>
      <c r="AK471">
        <f t="shared" si="7"/>
        <v>329</v>
      </c>
      <c r="AL471" t="str" cm="1">
        <f t="array" ref="AL471">ElsoBetuNagy(R471)</f>
        <v/>
      </c>
      <c r="AO471" t="str" cm="1">
        <f t="array" ref="AO471">DatumSzovegge5(AN471)</f>
        <v>1899.</v>
      </c>
      <c r="AP471" t="str" cm="1">
        <f t="array" ref="AP471">DatumSzovegge3(AN471)</f>
        <v>december</v>
      </c>
      <c r="AQ471" t="str" cm="1">
        <f t="array" ref="AQ471">DatumSzovegge4(AN471)</f>
        <v>30.</v>
      </c>
    </row>
    <row r="472" spans="4:43" x14ac:dyDescent="0.25">
      <c r="D472" t="str" cm="1">
        <f t="array" ref="D472">SzuressNev($B$1,ROW()-1)</f>
        <v/>
      </c>
      <c r="E472">
        <f>COUNTIF($D$2:D472,D472)</f>
        <v>451</v>
      </c>
      <c r="F472" t="str" cm="1">
        <f t="array" ref="F472">ElutasitasEgyOk2(D472,E472)</f>
        <v/>
      </c>
      <c r="G472" t="str">
        <f>IFERROR(INDEX(diakadat!$I$2:$I$50,MATCH(D472,diakadat!$J$2:$J$50,0),1),"")</f>
        <v/>
      </c>
      <c r="H472" t="str">
        <f>IFERROR(INDEX(diakadat!$O$2:$O$50,MATCH(D472,diakadat!$J$2:$J$50,0),1),"")</f>
        <v/>
      </c>
      <c r="I472" t="str">
        <f>IFERROR(INDEX(diakadat!#REF!,MATCH(D472,diakadat!$J$2:$J$50,0),1),"")</f>
        <v/>
      </c>
      <c r="J472" t="str">
        <f>IFERROR(INDEX(diakadat!$K$2:$K$50,MATCH(D472,diakadat!$J$2:$J$50,0),1),"")</f>
        <v/>
      </c>
      <c r="K472" t="str" cm="1">
        <f t="array" ref="K472">IFERROR(DatumSzovegge2(INDEX(diakadat!$L$2:$L$50,MATCH(D472,diakadat!$J$2:$J$50,0),1)),"")</f>
        <v/>
      </c>
      <c r="L472" t="str" cm="1">
        <f t="array" ref="L472">IFERROR(DatumSzovegge5(INDEX(diakadat!$L$2:$L$50,MATCH(D472,diakadat!$J$2:$J$50,0),1)),"")</f>
        <v/>
      </c>
      <c r="M472" t="str" cm="1">
        <f t="array" ref="M472">IFERROR(DatumSzovegge3(INDEX(diakadat!$L$2:$L$50,MATCH(D472,diakadat!$J$2:$J$50,0),1)),"")</f>
        <v/>
      </c>
      <c r="N472" t="str" cm="1">
        <f t="array" ref="N472">IFERROR(DatumSzovegge4(INDEX(diakadat!$L$2:$L$50,MATCH(D472,diakadat!$J$2:$J$50,0),1)),"")</f>
        <v/>
      </c>
      <c r="O472" t="str">
        <f>IFERROR(INDEX(diakadat!$R$2:$R$50,MATCH(D472,diakadat!$J$2:$J$50,0),1),"")</f>
        <v/>
      </c>
      <c r="P472" t="str">
        <f>IFERROR(INDEX(diakadat!$AI$2:$AI$50,MATCH(D472,diakadat!$J$2:$J$50,0),1),"")</f>
        <v/>
      </c>
      <c r="Q472" t="str">
        <f>IFERROR(INDEX('rangsor'!$C$2:$C$343,MATCH(D472,'rangsor'!$A$2:$A$343,0),1),"")</f>
        <v/>
      </c>
      <c r="T472" t="s">
        <v>831</v>
      </c>
      <c r="U472" t="str" cm="1">
        <f t="array" ref="U472">Határozat(D472)</f>
        <v/>
      </c>
      <c r="AC472" t="str">
        <f>IFERROR(INDEX(diakadat!$U$2:$U$50,MATCH(D472,diakadat!$J$2:$J$50),1),"")</f>
        <v/>
      </c>
      <c r="AD472" t="str">
        <f>IFERROR(INDEX(diakadat!$V$2:$V$50,MATCH(D472,diakadat!$J$2:$J$50),1),"")</f>
        <v/>
      </c>
      <c r="AE472" t="str">
        <f>IFERROR(INDEX(diakadat!$W$2:$W$50,MATCH(D472,diakadat!$J$2:$J$50),1),"")</f>
        <v/>
      </c>
      <c r="AI472" t="str">
        <f>IFERROR(INDEX(diakadat!$X$2:$X$50,MATCH(D472,diakadat!$J$2:$J$50),1),"")</f>
        <v/>
      </c>
      <c r="AK472">
        <f t="shared" si="7"/>
        <v>329</v>
      </c>
      <c r="AL472" t="str" cm="1">
        <f t="array" ref="AL472">ElsoBetuNagy(R472)</f>
        <v/>
      </c>
      <c r="AO472" t="str" cm="1">
        <f t="array" ref="AO472">DatumSzovegge5(AN472)</f>
        <v>1899.</v>
      </c>
      <c r="AP472" t="str" cm="1">
        <f t="array" ref="AP472">DatumSzovegge3(AN472)</f>
        <v>december</v>
      </c>
      <c r="AQ472" t="str" cm="1">
        <f t="array" ref="AQ472">DatumSzovegge4(AN472)</f>
        <v>30.</v>
      </c>
    </row>
    <row r="473" spans="4:43" x14ac:dyDescent="0.25">
      <c r="D473" t="str" cm="1">
        <f t="array" ref="D473">SzuressNev($B$1,ROW()-1)</f>
        <v/>
      </c>
      <c r="E473">
        <f>COUNTIF($D$2:D473,D473)</f>
        <v>452</v>
      </c>
      <c r="F473" t="str" cm="1">
        <f t="array" ref="F473">ElutasitasEgyOk2(D473,E473)</f>
        <v/>
      </c>
      <c r="G473" t="str">
        <f>IFERROR(INDEX(diakadat!$I$2:$I$50,MATCH(D473,diakadat!$J$2:$J$50,0),1),"")</f>
        <v/>
      </c>
      <c r="H473" t="str">
        <f>IFERROR(INDEX(diakadat!$O$2:$O$50,MATCH(D473,diakadat!$J$2:$J$50,0),1),"")</f>
        <v/>
      </c>
      <c r="I473" t="str">
        <f>IFERROR(INDEX(diakadat!#REF!,MATCH(D473,diakadat!$J$2:$J$50,0),1),"")</f>
        <v/>
      </c>
      <c r="J473" t="str">
        <f>IFERROR(INDEX(diakadat!$K$2:$K$50,MATCH(D473,diakadat!$J$2:$J$50,0),1),"")</f>
        <v/>
      </c>
      <c r="K473" t="str" cm="1">
        <f t="array" ref="K473">IFERROR(DatumSzovegge2(INDEX(diakadat!$L$2:$L$50,MATCH(D473,diakadat!$J$2:$J$50,0),1)),"")</f>
        <v/>
      </c>
      <c r="L473" t="str" cm="1">
        <f t="array" ref="L473">IFERROR(DatumSzovegge5(INDEX(diakadat!$L$2:$L$50,MATCH(D473,diakadat!$J$2:$J$50,0),1)),"")</f>
        <v/>
      </c>
      <c r="M473" t="str" cm="1">
        <f t="array" ref="M473">IFERROR(DatumSzovegge3(INDEX(diakadat!$L$2:$L$50,MATCH(D473,diakadat!$J$2:$J$50,0),1)),"")</f>
        <v/>
      </c>
      <c r="N473" t="str" cm="1">
        <f t="array" ref="N473">IFERROR(DatumSzovegge4(INDEX(diakadat!$L$2:$L$50,MATCH(D473,diakadat!$J$2:$J$50,0),1)),"")</f>
        <v/>
      </c>
      <c r="O473" t="str">
        <f>IFERROR(INDEX(diakadat!$R$2:$R$50,MATCH(D473,diakadat!$J$2:$J$50,0),1),"")</f>
        <v/>
      </c>
      <c r="P473" t="str">
        <f>IFERROR(INDEX(diakadat!$AI$2:$AI$50,MATCH(D473,diakadat!$J$2:$J$50,0),1),"")</f>
        <v/>
      </c>
      <c r="Q473" t="str">
        <f>IFERROR(INDEX('rangsor'!$C$2:$C$343,MATCH(D473,'rangsor'!$A$2:$A$343,0),1),"")</f>
        <v/>
      </c>
      <c r="T473" t="s">
        <v>831</v>
      </c>
      <c r="U473" t="str" cm="1">
        <f t="array" ref="U473">Határozat(D473)</f>
        <v/>
      </c>
      <c r="AC473" t="str">
        <f>IFERROR(INDEX(diakadat!$U$2:$U$50,MATCH(D473,diakadat!$J$2:$J$50),1),"")</f>
        <v/>
      </c>
      <c r="AD473" t="str">
        <f>IFERROR(INDEX(diakadat!$V$2:$V$50,MATCH(D473,diakadat!$J$2:$J$50),1),"")</f>
        <v/>
      </c>
      <c r="AE473" t="str">
        <f>IFERROR(INDEX(diakadat!$W$2:$W$50,MATCH(D473,diakadat!$J$2:$J$50),1),"")</f>
        <v/>
      </c>
      <c r="AI473" t="str">
        <f>IFERROR(INDEX(diakadat!$X$2:$X$50,MATCH(D473,diakadat!$J$2:$J$50),1),"")</f>
        <v/>
      </c>
      <c r="AK473">
        <f t="shared" si="7"/>
        <v>329</v>
      </c>
      <c r="AL473" t="str" cm="1">
        <f t="array" ref="AL473">ElsoBetuNagy(R473)</f>
        <v/>
      </c>
      <c r="AO473" t="str" cm="1">
        <f t="array" ref="AO473">DatumSzovegge5(AN473)</f>
        <v>1899.</v>
      </c>
      <c r="AP473" t="str" cm="1">
        <f t="array" ref="AP473">DatumSzovegge3(AN473)</f>
        <v>december</v>
      </c>
      <c r="AQ473" t="str" cm="1">
        <f t="array" ref="AQ473">DatumSzovegge4(AN473)</f>
        <v>30.</v>
      </c>
    </row>
    <row r="474" spans="4:43" x14ac:dyDescent="0.25">
      <c r="D474" t="str" cm="1">
        <f t="array" ref="D474">SzuressNev($B$1,ROW()-1)</f>
        <v/>
      </c>
      <c r="E474">
        <f>COUNTIF($D$2:D474,D474)</f>
        <v>453</v>
      </c>
      <c r="F474" t="str" cm="1">
        <f t="array" ref="F474">ElutasitasEgyOk2(D474,E474)</f>
        <v/>
      </c>
      <c r="G474" t="str">
        <f>IFERROR(INDEX(diakadat!$I$2:$I$50,MATCH(D474,diakadat!$J$2:$J$50,0),1),"")</f>
        <v/>
      </c>
      <c r="H474" t="str">
        <f>IFERROR(INDEX(diakadat!$O$2:$O$50,MATCH(D474,diakadat!$J$2:$J$50,0),1),"")</f>
        <v/>
      </c>
      <c r="I474" t="str">
        <f>IFERROR(INDEX(diakadat!#REF!,MATCH(D474,diakadat!$J$2:$J$50,0),1),"")</f>
        <v/>
      </c>
      <c r="J474" t="str">
        <f>IFERROR(INDEX(diakadat!$K$2:$K$50,MATCH(D474,diakadat!$J$2:$J$50,0),1),"")</f>
        <v/>
      </c>
      <c r="K474" t="str" cm="1">
        <f t="array" ref="K474">IFERROR(DatumSzovegge2(INDEX(diakadat!$L$2:$L$50,MATCH(D474,diakadat!$J$2:$J$50,0),1)),"")</f>
        <v/>
      </c>
      <c r="L474" t="str" cm="1">
        <f t="array" ref="L474">IFERROR(DatumSzovegge5(INDEX(diakadat!$L$2:$L$50,MATCH(D474,diakadat!$J$2:$J$50,0),1)),"")</f>
        <v/>
      </c>
      <c r="M474" t="str" cm="1">
        <f t="array" ref="M474">IFERROR(DatumSzovegge3(INDEX(diakadat!$L$2:$L$50,MATCH(D474,diakadat!$J$2:$J$50,0),1)),"")</f>
        <v/>
      </c>
      <c r="N474" t="str" cm="1">
        <f t="array" ref="N474">IFERROR(DatumSzovegge4(INDEX(diakadat!$L$2:$L$50,MATCH(D474,diakadat!$J$2:$J$50,0),1)),"")</f>
        <v/>
      </c>
      <c r="O474" t="str">
        <f>IFERROR(INDEX(diakadat!$R$2:$R$50,MATCH(D474,diakadat!$J$2:$J$50,0),1),"")</f>
        <v/>
      </c>
      <c r="P474" t="str">
        <f>IFERROR(INDEX(diakadat!$AI$2:$AI$50,MATCH(D474,diakadat!$J$2:$J$50,0),1),"")</f>
        <v/>
      </c>
      <c r="Q474" t="str">
        <f>IFERROR(INDEX('rangsor'!$C$2:$C$343,MATCH(D474,'rangsor'!$A$2:$A$343,0),1),"")</f>
        <v/>
      </c>
      <c r="T474" t="s">
        <v>831</v>
      </c>
      <c r="U474" t="str" cm="1">
        <f t="array" ref="U474">Határozat(D474)</f>
        <v/>
      </c>
      <c r="AC474" t="str">
        <f>IFERROR(INDEX(diakadat!$U$2:$U$50,MATCH(D474,diakadat!$J$2:$J$50),1),"")</f>
        <v/>
      </c>
      <c r="AD474" t="str">
        <f>IFERROR(INDEX(diakadat!$V$2:$V$50,MATCH(D474,diakadat!$J$2:$J$50),1),"")</f>
        <v/>
      </c>
      <c r="AE474" t="str">
        <f>IFERROR(INDEX(diakadat!$W$2:$W$50,MATCH(D474,diakadat!$J$2:$J$50),1),"")</f>
        <v/>
      </c>
      <c r="AI474" t="str">
        <f>IFERROR(INDEX(diakadat!$X$2:$X$50,MATCH(D474,diakadat!$J$2:$J$50),1),"")</f>
        <v/>
      </c>
      <c r="AK474">
        <f t="shared" si="7"/>
        <v>329</v>
      </c>
      <c r="AL474" t="str" cm="1">
        <f t="array" ref="AL474">ElsoBetuNagy(R474)</f>
        <v/>
      </c>
      <c r="AO474" t="str" cm="1">
        <f t="array" ref="AO474">DatumSzovegge5(AN474)</f>
        <v>1899.</v>
      </c>
      <c r="AP474" t="str" cm="1">
        <f t="array" ref="AP474">DatumSzovegge3(AN474)</f>
        <v>december</v>
      </c>
      <c r="AQ474" t="str" cm="1">
        <f t="array" ref="AQ474">DatumSzovegge4(AN474)</f>
        <v>30.</v>
      </c>
    </row>
    <row r="475" spans="4:43" x14ac:dyDescent="0.25">
      <c r="D475" t="str" cm="1">
        <f t="array" ref="D475">SzuressNev($B$1,ROW()-1)</f>
        <v/>
      </c>
      <c r="E475">
        <f>COUNTIF($D$2:D475,D475)</f>
        <v>454</v>
      </c>
      <c r="F475" t="str" cm="1">
        <f t="array" ref="F475">ElutasitasEgyOk2(D475,E475)</f>
        <v/>
      </c>
      <c r="G475" t="str">
        <f>IFERROR(INDEX(diakadat!$I$2:$I$50,MATCH(D475,diakadat!$J$2:$J$50,0),1),"")</f>
        <v/>
      </c>
      <c r="H475" t="str">
        <f>IFERROR(INDEX(diakadat!$O$2:$O$50,MATCH(D475,diakadat!$J$2:$J$50,0),1),"")</f>
        <v/>
      </c>
      <c r="I475" t="str">
        <f>IFERROR(INDEX(diakadat!#REF!,MATCH(D475,diakadat!$J$2:$J$50,0),1),"")</f>
        <v/>
      </c>
      <c r="J475" t="str">
        <f>IFERROR(INDEX(diakadat!$K$2:$K$50,MATCH(D475,diakadat!$J$2:$J$50,0),1),"")</f>
        <v/>
      </c>
      <c r="K475" t="str" cm="1">
        <f t="array" ref="K475">IFERROR(DatumSzovegge2(INDEX(diakadat!$L$2:$L$50,MATCH(D475,diakadat!$J$2:$J$50,0),1)),"")</f>
        <v/>
      </c>
      <c r="L475" t="str" cm="1">
        <f t="array" ref="L475">IFERROR(DatumSzovegge5(INDEX(diakadat!$L$2:$L$50,MATCH(D475,diakadat!$J$2:$J$50,0),1)),"")</f>
        <v/>
      </c>
      <c r="M475" t="str" cm="1">
        <f t="array" ref="M475">IFERROR(DatumSzovegge3(INDEX(diakadat!$L$2:$L$50,MATCH(D475,diakadat!$J$2:$J$50,0),1)),"")</f>
        <v/>
      </c>
      <c r="N475" t="str" cm="1">
        <f t="array" ref="N475">IFERROR(DatumSzovegge4(INDEX(diakadat!$L$2:$L$50,MATCH(D475,diakadat!$J$2:$J$50,0),1)),"")</f>
        <v/>
      </c>
      <c r="O475" t="str">
        <f>IFERROR(INDEX(diakadat!$R$2:$R$50,MATCH(D475,diakadat!$J$2:$J$50,0),1),"")</f>
        <v/>
      </c>
      <c r="P475" t="str">
        <f>IFERROR(INDEX(diakadat!$AI$2:$AI$50,MATCH(D475,diakadat!$J$2:$J$50,0),1),"")</f>
        <v/>
      </c>
      <c r="Q475" t="str">
        <f>IFERROR(INDEX('rangsor'!$C$2:$C$343,MATCH(D475,'rangsor'!$A$2:$A$343,0),1),"")</f>
        <v/>
      </c>
      <c r="T475" t="s">
        <v>831</v>
      </c>
      <c r="U475" t="str" cm="1">
        <f t="array" ref="U475">Határozat(D475)</f>
        <v/>
      </c>
      <c r="AC475" t="str">
        <f>IFERROR(INDEX(diakadat!$U$2:$U$50,MATCH(D475,diakadat!$J$2:$J$50),1),"")</f>
        <v/>
      </c>
      <c r="AD475" t="str">
        <f>IFERROR(INDEX(diakadat!$V$2:$V$50,MATCH(D475,diakadat!$J$2:$J$50),1),"")</f>
        <v/>
      </c>
      <c r="AE475" t="str">
        <f>IFERROR(INDEX(diakadat!$W$2:$W$50,MATCH(D475,diakadat!$J$2:$J$50),1),"")</f>
        <v/>
      </c>
      <c r="AI475" t="str">
        <f>IFERROR(INDEX(diakadat!$X$2:$X$50,MATCH(D475,diakadat!$J$2:$J$50),1),"")</f>
        <v/>
      </c>
      <c r="AK475">
        <f t="shared" si="7"/>
        <v>329</v>
      </c>
      <c r="AL475" t="str" cm="1">
        <f t="array" ref="AL475">ElsoBetuNagy(R475)</f>
        <v/>
      </c>
      <c r="AO475" t="str" cm="1">
        <f t="array" ref="AO475">DatumSzovegge5(AN475)</f>
        <v>1899.</v>
      </c>
      <c r="AP475" t="str" cm="1">
        <f t="array" ref="AP475">DatumSzovegge3(AN475)</f>
        <v>december</v>
      </c>
      <c r="AQ475" t="str" cm="1">
        <f t="array" ref="AQ475">DatumSzovegge4(AN475)</f>
        <v>30.</v>
      </c>
    </row>
    <row r="476" spans="4:43" x14ac:dyDescent="0.25">
      <c r="D476" t="str" cm="1">
        <f t="array" ref="D476">SzuressNev($B$1,ROW()-1)</f>
        <v/>
      </c>
      <c r="E476">
        <f>COUNTIF($D$2:D476,D476)</f>
        <v>455</v>
      </c>
      <c r="F476" t="str" cm="1">
        <f t="array" ref="F476">ElutasitasEgyOk2(D476,E476)</f>
        <v/>
      </c>
      <c r="G476" t="str">
        <f>IFERROR(INDEX(diakadat!$I$2:$I$50,MATCH(D476,diakadat!$J$2:$J$50,0),1),"")</f>
        <v/>
      </c>
      <c r="H476" t="str">
        <f>IFERROR(INDEX(diakadat!$O$2:$O$50,MATCH(D476,diakadat!$J$2:$J$50,0),1),"")</f>
        <v/>
      </c>
      <c r="I476" t="str">
        <f>IFERROR(INDEX(diakadat!#REF!,MATCH(D476,diakadat!$J$2:$J$50,0),1),"")</f>
        <v/>
      </c>
      <c r="J476" t="str">
        <f>IFERROR(INDEX(diakadat!$K$2:$K$50,MATCH(D476,diakadat!$J$2:$J$50,0),1),"")</f>
        <v/>
      </c>
      <c r="K476" t="str" cm="1">
        <f t="array" ref="K476">IFERROR(DatumSzovegge2(INDEX(diakadat!$L$2:$L$50,MATCH(D476,diakadat!$J$2:$J$50,0),1)),"")</f>
        <v/>
      </c>
      <c r="L476" t="str" cm="1">
        <f t="array" ref="L476">IFERROR(DatumSzovegge5(INDEX(diakadat!$L$2:$L$50,MATCH(D476,diakadat!$J$2:$J$50,0),1)),"")</f>
        <v/>
      </c>
      <c r="M476" t="str" cm="1">
        <f t="array" ref="M476">IFERROR(DatumSzovegge3(INDEX(diakadat!$L$2:$L$50,MATCH(D476,diakadat!$J$2:$J$50,0),1)),"")</f>
        <v/>
      </c>
      <c r="N476" t="str" cm="1">
        <f t="array" ref="N476">IFERROR(DatumSzovegge4(INDEX(diakadat!$L$2:$L$50,MATCH(D476,diakadat!$J$2:$J$50,0),1)),"")</f>
        <v/>
      </c>
      <c r="O476" t="str">
        <f>IFERROR(INDEX(diakadat!$R$2:$R$50,MATCH(D476,diakadat!$J$2:$J$50,0),1),"")</f>
        <v/>
      </c>
      <c r="P476" t="str">
        <f>IFERROR(INDEX(diakadat!$AI$2:$AI$50,MATCH(D476,diakadat!$J$2:$J$50,0),1),"")</f>
        <v/>
      </c>
      <c r="Q476" t="str">
        <f>IFERROR(INDEX('rangsor'!$C$2:$C$343,MATCH(D476,'rangsor'!$A$2:$A$343,0),1),"")</f>
        <v/>
      </c>
      <c r="T476" t="s">
        <v>831</v>
      </c>
      <c r="U476" t="str" cm="1">
        <f t="array" ref="U476">Határozat(D476)</f>
        <v/>
      </c>
      <c r="AC476" t="str">
        <f>IFERROR(INDEX(diakadat!$U$2:$U$50,MATCH(D476,diakadat!$J$2:$J$50),1),"")</f>
        <v/>
      </c>
      <c r="AD476" t="str">
        <f>IFERROR(INDEX(diakadat!$V$2:$V$50,MATCH(D476,diakadat!$J$2:$J$50),1),"")</f>
        <v/>
      </c>
      <c r="AE476" t="str">
        <f>IFERROR(INDEX(diakadat!$W$2:$W$50,MATCH(D476,diakadat!$J$2:$J$50),1),"")</f>
        <v/>
      </c>
      <c r="AI476" t="str">
        <f>IFERROR(INDEX(diakadat!$X$2:$X$50,MATCH(D476,diakadat!$J$2:$J$50),1),"")</f>
        <v/>
      </c>
      <c r="AK476">
        <f t="shared" si="7"/>
        <v>329</v>
      </c>
      <c r="AL476" t="str" cm="1">
        <f t="array" ref="AL476">ElsoBetuNagy(R476)</f>
        <v/>
      </c>
      <c r="AO476" t="str" cm="1">
        <f t="array" ref="AO476">DatumSzovegge5(AN476)</f>
        <v>1899.</v>
      </c>
      <c r="AP476" t="str" cm="1">
        <f t="array" ref="AP476">DatumSzovegge3(AN476)</f>
        <v>december</v>
      </c>
      <c r="AQ476" t="str" cm="1">
        <f t="array" ref="AQ476">DatumSzovegge4(AN476)</f>
        <v>30.</v>
      </c>
    </row>
    <row r="477" spans="4:43" x14ac:dyDescent="0.25">
      <c r="D477" t="str" cm="1">
        <f t="array" ref="D477">SzuressNev($B$1,ROW()-1)</f>
        <v/>
      </c>
      <c r="E477">
        <f>COUNTIF($D$2:D477,D477)</f>
        <v>456</v>
      </c>
      <c r="F477" t="str" cm="1">
        <f t="array" ref="F477">ElutasitasEgyOk2(D477,E477)</f>
        <v/>
      </c>
      <c r="G477" t="str">
        <f>IFERROR(INDEX(diakadat!$I$2:$I$50,MATCH(D477,diakadat!$J$2:$J$50,0),1),"")</f>
        <v/>
      </c>
      <c r="H477" t="str">
        <f>IFERROR(INDEX(diakadat!$O$2:$O$50,MATCH(D477,diakadat!$J$2:$J$50,0),1),"")</f>
        <v/>
      </c>
      <c r="I477" t="str">
        <f>IFERROR(INDEX(diakadat!#REF!,MATCH(D477,diakadat!$J$2:$J$50,0),1),"")</f>
        <v/>
      </c>
      <c r="J477" t="str">
        <f>IFERROR(INDEX(diakadat!$K$2:$K$50,MATCH(D477,diakadat!$J$2:$J$50,0),1),"")</f>
        <v/>
      </c>
      <c r="K477" t="str" cm="1">
        <f t="array" ref="K477">IFERROR(DatumSzovegge2(INDEX(diakadat!$L$2:$L$50,MATCH(D477,diakadat!$J$2:$J$50,0),1)),"")</f>
        <v/>
      </c>
      <c r="L477" t="str" cm="1">
        <f t="array" ref="L477">IFERROR(DatumSzovegge5(INDEX(diakadat!$L$2:$L$50,MATCH(D477,diakadat!$J$2:$J$50,0),1)),"")</f>
        <v/>
      </c>
      <c r="M477" t="str" cm="1">
        <f t="array" ref="M477">IFERROR(DatumSzovegge3(INDEX(diakadat!$L$2:$L$50,MATCH(D477,diakadat!$J$2:$J$50,0),1)),"")</f>
        <v/>
      </c>
      <c r="N477" t="str" cm="1">
        <f t="array" ref="N477">IFERROR(DatumSzovegge4(INDEX(diakadat!$L$2:$L$50,MATCH(D477,diakadat!$J$2:$J$50,0),1)),"")</f>
        <v/>
      </c>
      <c r="O477" t="str">
        <f>IFERROR(INDEX(diakadat!$R$2:$R$50,MATCH(D477,diakadat!$J$2:$J$50,0),1),"")</f>
        <v/>
      </c>
      <c r="P477" t="str">
        <f>IFERROR(INDEX(diakadat!$AI$2:$AI$50,MATCH(D477,diakadat!$J$2:$J$50,0),1),"")</f>
        <v/>
      </c>
      <c r="Q477" t="str">
        <f>IFERROR(INDEX('rangsor'!$C$2:$C$343,MATCH(D477,'rangsor'!$A$2:$A$343,0),1),"")</f>
        <v/>
      </c>
      <c r="T477" t="s">
        <v>831</v>
      </c>
      <c r="U477" t="str" cm="1">
        <f t="array" ref="U477">Határozat(D477)</f>
        <v/>
      </c>
      <c r="AC477" t="str">
        <f>IFERROR(INDEX(diakadat!$U$2:$U$50,MATCH(D477,diakadat!$J$2:$J$50),1),"")</f>
        <v/>
      </c>
      <c r="AD477" t="str">
        <f>IFERROR(INDEX(diakadat!$V$2:$V$50,MATCH(D477,diakadat!$J$2:$J$50),1),"")</f>
        <v/>
      </c>
      <c r="AE477" t="str">
        <f>IFERROR(INDEX(diakadat!$W$2:$W$50,MATCH(D477,diakadat!$J$2:$J$50),1),"")</f>
        <v/>
      </c>
      <c r="AI477" t="str">
        <f>IFERROR(INDEX(diakadat!$X$2:$X$50,MATCH(D477,diakadat!$J$2:$J$50),1),"")</f>
        <v/>
      </c>
      <c r="AK477">
        <f t="shared" si="7"/>
        <v>329</v>
      </c>
      <c r="AL477" t="str" cm="1">
        <f t="array" ref="AL477">ElsoBetuNagy(R477)</f>
        <v/>
      </c>
      <c r="AO477" t="str" cm="1">
        <f t="array" ref="AO477">DatumSzovegge5(AN477)</f>
        <v>1899.</v>
      </c>
      <c r="AP477" t="str" cm="1">
        <f t="array" ref="AP477">DatumSzovegge3(AN477)</f>
        <v>december</v>
      </c>
      <c r="AQ477" t="str" cm="1">
        <f t="array" ref="AQ477">DatumSzovegge4(AN477)</f>
        <v>30.</v>
      </c>
    </row>
    <row r="478" spans="4:43" x14ac:dyDescent="0.25">
      <c r="D478" t="str" cm="1">
        <f t="array" ref="D478">SzuressNev($B$1,ROW()-1)</f>
        <v/>
      </c>
      <c r="E478">
        <f>COUNTIF($D$2:D478,D478)</f>
        <v>457</v>
      </c>
      <c r="F478" t="str" cm="1">
        <f t="array" ref="F478">ElutasitasEgyOk2(D478,E478)</f>
        <v/>
      </c>
      <c r="G478" t="str">
        <f>IFERROR(INDEX(diakadat!$I$2:$I$50,MATCH(D478,diakadat!$J$2:$J$50,0),1),"")</f>
        <v/>
      </c>
      <c r="H478" t="str">
        <f>IFERROR(INDEX(diakadat!$O$2:$O$50,MATCH(D478,diakadat!$J$2:$J$50,0),1),"")</f>
        <v/>
      </c>
      <c r="I478" t="str">
        <f>IFERROR(INDEX(diakadat!#REF!,MATCH(D478,diakadat!$J$2:$J$50,0),1),"")</f>
        <v/>
      </c>
      <c r="J478" t="str">
        <f>IFERROR(INDEX(diakadat!$K$2:$K$50,MATCH(D478,diakadat!$J$2:$J$50,0),1),"")</f>
        <v/>
      </c>
      <c r="K478" t="str" cm="1">
        <f t="array" ref="K478">IFERROR(DatumSzovegge2(INDEX(diakadat!$L$2:$L$50,MATCH(D478,diakadat!$J$2:$J$50,0),1)),"")</f>
        <v/>
      </c>
      <c r="L478" t="str" cm="1">
        <f t="array" ref="L478">IFERROR(DatumSzovegge5(INDEX(diakadat!$L$2:$L$50,MATCH(D478,diakadat!$J$2:$J$50,0),1)),"")</f>
        <v/>
      </c>
      <c r="M478" t="str" cm="1">
        <f t="array" ref="M478">IFERROR(DatumSzovegge3(INDEX(diakadat!$L$2:$L$50,MATCH(D478,diakadat!$J$2:$J$50,0),1)),"")</f>
        <v/>
      </c>
      <c r="N478" t="str" cm="1">
        <f t="array" ref="N478">IFERROR(DatumSzovegge4(INDEX(diakadat!$L$2:$L$50,MATCH(D478,diakadat!$J$2:$J$50,0),1)),"")</f>
        <v/>
      </c>
      <c r="O478" t="str">
        <f>IFERROR(INDEX(diakadat!$R$2:$R$50,MATCH(D478,diakadat!$J$2:$J$50,0),1),"")</f>
        <v/>
      </c>
      <c r="P478" t="str">
        <f>IFERROR(INDEX(diakadat!$AI$2:$AI$50,MATCH(D478,diakadat!$J$2:$J$50,0),1),"")</f>
        <v/>
      </c>
      <c r="Q478" t="str">
        <f>IFERROR(INDEX('rangsor'!$C$2:$C$343,MATCH(D478,'rangsor'!$A$2:$A$343,0),1),"")</f>
        <v/>
      </c>
      <c r="T478" t="s">
        <v>831</v>
      </c>
      <c r="U478" t="str" cm="1">
        <f t="array" ref="U478">Határozat(D478)</f>
        <v/>
      </c>
      <c r="AC478" t="str">
        <f>IFERROR(INDEX(diakadat!$U$2:$U$50,MATCH(D478,diakadat!$J$2:$J$50),1),"")</f>
        <v/>
      </c>
      <c r="AD478" t="str">
        <f>IFERROR(INDEX(diakadat!$V$2:$V$50,MATCH(D478,diakadat!$J$2:$J$50),1),"")</f>
        <v/>
      </c>
      <c r="AE478" t="str">
        <f>IFERROR(INDEX(diakadat!$W$2:$W$50,MATCH(D478,diakadat!$J$2:$J$50),1),"")</f>
        <v/>
      </c>
      <c r="AI478" t="str">
        <f>IFERROR(INDEX(diakadat!$X$2:$X$50,MATCH(D478,diakadat!$J$2:$J$50),1),"")</f>
        <v/>
      </c>
      <c r="AK478">
        <f t="shared" si="7"/>
        <v>329</v>
      </c>
      <c r="AL478" t="str" cm="1">
        <f t="array" ref="AL478">ElsoBetuNagy(R478)</f>
        <v/>
      </c>
      <c r="AO478" t="str" cm="1">
        <f t="array" ref="AO478">DatumSzovegge5(AN478)</f>
        <v>1899.</v>
      </c>
      <c r="AP478" t="str" cm="1">
        <f t="array" ref="AP478">DatumSzovegge3(AN478)</f>
        <v>december</v>
      </c>
      <c r="AQ478" t="str" cm="1">
        <f t="array" ref="AQ478">DatumSzovegge4(AN478)</f>
        <v>30.</v>
      </c>
    </row>
    <row r="479" spans="4:43" x14ac:dyDescent="0.25">
      <c r="D479" t="str" cm="1">
        <f t="array" ref="D479">SzuressNev($B$1,ROW()-1)</f>
        <v/>
      </c>
      <c r="E479">
        <f>COUNTIF($D$2:D479,D479)</f>
        <v>458</v>
      </c>
      <c r="F479" t="str" cm="1">
        <f t="array" ref="F479">ElutasitasEgyOk2(D479,E479)</f>
        <v/>
      </c>
      <c r="G479" t="str">
        <f>IFERROR(INDEX(diakadat!$I$2:$I$50,MATCH(D479,diakadat!$J$2:$J$50,0),1),"")</f>
        <v/>
      </c>
      <c r="H479" t="str">
        <f>IFERROR(INDEX(diakadat!$O$2:$O$50,MATCH(D479,diakadat!$J$2:$J$50,0),1),"")</f>
        <v/>
      </c>
      <c r="I479" t="str">
        <f>IFERROR(INDEX(diakadat!#REF!,MATCH(D479,diakadat!$J$2:$J$50,0),1),"")</f>
        <v/>
      </c>
      <c r="J479" t="str">
        <f>IFERROR(INDEX(diakadat!$K$2:$K$50,MATCH(D479,diakadat!$J$2:$J$50,0),1),"")</f>
        <v/>
      </c>
      <c r="K479" t="str" cm="1">
        <f t="array" ref="K479">IFERROR(DatumSzovegge2(INDEX(diakadat!$L$2:$L$50,MATCH(D479,diakadat!$J$2:$J$50,0),1)),"")</f>
        <v/>
      </c>
      <c r="L479" t="str" cm="1">
        <f t="array" ref="L479">IFERROR(DatumSzovegge5(INDEX(diakadat!$L$2:$L$50,MATCH(D479,diakadat!$J$2:$J$50,0),1)),"")</f>
        <v/>
      </c>
      <c r="M479" t="str" cm="1">
        <f t="array" ref="M479">IFERROR(DatumSzovegge3(INDEX(diakadat!$L$2:$L$50,MATCH(D479,diakadat!$J$2:$J$50,0),1)),"")</f>
        <v/>
      </c>
      <c r="N479" t="str" cm="1">
        <f t="array" ref="N479">IFERROR(DatumSzovegge4(INDEX(diakadat!$L$2:$L$50,MATCH(D479,diakadat!$J$2:$J$50,0),1)),"")</f>
        <v/>
      </c>
      <c r="O479" t="str">
        <f>IFERROR(INDEX(diakadat!$R$2:$R$50,MATCH(D479,diakadat!$J$2:$J$50,0),1),"")</f>
        <v/>
      </c>
      <c r="P479" t="str">
        <f>IFERROR(INDEX(diakadat!$AI$2:$AI$50,MATCH(D479,diakadat!$J$2:$J$50,0),1),"")</f>
        <v/>
      </c>
      <c r="Q479" t="str">
        <f>IFERROR(INDEX('rangsor'!$C$2:$C$343,MATCH(D479,'rangsor'!$A$2:$A$343,0),1),"")</f>
        <v/>
      </c>
      <c r="T479" t="s">
        <v>831</v>
      </c>
      <c r="U479" t="str" cm="1">
        <f t="array" ref="U479">Határozat(D479)</f>
        <v/>
      </c>
      <c r="AC479" t="str">
        <f>IFERROR(INDEX(diakadat!$U$2:$U$50,MATCH(D479,diakadat!$J$2:$J$50),1),"")</f>
        <v/>
      </c>
      <c r="AD479" t="str">
        <f>IFERROR(INDEX(diakadat!$V$2:$V$50,MATCH(D479,diakadat!$J$2:$J$50),1),"")</f>
        <v/>
      </c>
      <c r="AE479" t="str">
        <f>IFERROR(INDEX(diakadat!$W$2:$W$50,MATCH(D479,diakadat!$J$2:$J$50),1),"")</f>
        <v/>
      </c>
      <c r="AI479" t="str">
        <f>IFERROR(INDEX(diakadat!$X$2:$X$50,MATCH(D479,diakadat!$J$2:$J$50),1),"")</f>
        <v/>
      </c>
      <c r="AK479">
        <f t="shared" si="7"/>
        <v>329</v>
      </c>
      <c r="AL479" t="str" cm="1">
        <f t="array" ref="AL479">ElsoBetuNagy(R479)</f>
        <v/>
      </c>
      <c r="AO479" t="str" cm="1">
        <f t="array" ref="AO479">DatumSzovegge5(AN479)</f>
        <v>1899.</v>
      </c>
      <c r="AP479" t="str" cm="1">
        <f t="array" ref="AP479">DatumSzovegge3(AN479)</f>
        <v>december</v>
      </c>
      <c r="AQ479" t="str" cm="1">
        <f t="array" ref="AQ479">DatumSzovegge4(AN479)</f>
        <v>30.</v>
      </c>
    </row>
    <row r="480" spans="4:43" x14ac:dyDescent="0.25">
      <c r="D480" t="str" cm="1">
        <f t="array" ref="D480">SzuressNev($B$1,ROW()-1)</f>
        <v/>
      </c>
      <c r="E480">
        <f>COUNTIF($D$2:D593,D480)</f>
        <v>572</v>
      </c>
      <c r="F480" t="str" cm="1">
        <f t="array" ref="F480">ElutasitasEgyOk2(D480,E480)</f>
        <v/>
      </c>
      <c r="G480" t="str">
        <f>IFERROR(INDEX(diakadat!$I$2:$I$50,MATCH(D480,diakadat!$J$2:$J$50,0),1),"")</f>
        <v/>
      </c>
      <c r="H480" t="str">
        <f>IFERROR(INDEX(diakadat!$O$2:$O$50,MATCH(D480,diakadat!$J$2:$J$50,0),1),"")</f>
        <v/>
      </c>
      <c r="I480" t="str">
        <f>IFERROR(INDEX(diakadat!#REF!,MATCH(D480,diakadat!$J$2:$J$50,0),1),"")</f>
        <v/>
      </c>
      <c r="J480" t="str">
        <f>IFERROR(INDEX(diakadat!$K$2:$K$50,MATCH(D480,diakadat!$J$2:$J$50,0),1),"")</f>
        <v/>
      </c>
      <c r="K480" t="str" cm="1">
        <f t="array" ref="K480">IFERROR(DatumSzovegge2(INDEX(diakadat!$L$2:$L$50,MATCH(D480,diakadat!$J$2:$J$50,0),1)),"")</f>
        <v/>
      </c>
      <c r="L480" t="str" cm="1">
        <f t="array" ref="L480">IFERROR(DatumSzovegge5(INDEX(diakadat!$L$2:$L$50,MATCH(D480,diakadat!$J$2:$J$50,0),1)),"")</f>
        <v/>
      </c>
      <c r="M480" t="str" cm="1">
        <f t="array" ref="M480">IFERROR(DatumSzovegge3(INDEX(diakadat!$L$2:$L$50,MATCH(D480,diakadat!$J$2:$J$50,0),1)),"")</f>
        <v/>
      </c>
      <c r="N480" t="str" cm="1">
        <f t="array" ref="N480">IFERROR(DatumSzovegge4(INDEX(diakadat!$L$2:$L$50,MATCH(D480,diakadat!$J$2:$J$50,0),1)),"")</f>
        <v/>
      </c>
      <c r="O480" t="str">
        <f>IFERROR(INDEX(diakadat!$R$2:$R$50,MATCH(D480,diakadat!$J$2:$J$50,0),1),"")</f>
        <v/>
      </c>
      <c r="P480" t="str">
        <f>IFERROR(INDEX(diakadat!$AI$2:$AI$50,MATCH(D480,diakadat!$J$2:$J$50,0),1),"")</f>
        <v/>
      </c>
      <c r="Q480" t="str">
        <f>IFERROR(INDEX('rangsor'!$C$2:$C$343,MATCH(D480,'rangsor'!$A$2:$A$343,0),1),"")</f>
        <v/>
      </c>
      <c r="T480" t="s">
        <v>831</v>
      </c>
      <c r="U480" t="str" cm="1">
        <f t="array" ref="U480">Határozat(D480)</f>
        <v/>
      </c>
      <c r="AC480" t="str">
        <f>IFERROR(INDEX(diakadat!$U$2:$U$50,MATCH(D480,diakadat!$J$2:$J$50),1),"")</f>
        <v/>
      </c>
      <c r="AD480" t="str">
        <f>IFERROR(INDEX(diakadat!$V$2:$V$50,MATCH(D480,diakadat!$J$2:$J$50),1),"")</f>
        <v/>
      </c>
      <c r="AE480" t="str">
        <f>IFERROR(INDEX(diakadat!$W$2:$W$50,MATCH(D480,diakadat!$J$2:$J$50),1),"")</f>
        <v/>
      </c>
      <c r="AI480" t="str">
        <f>IFERROR(INDEX(diakadat!$X$2:$X$50,MATCH(D480,diakadat!$J$2:$J$50),1),"")</f>
        <v/>
      </c>
      <c r="AK480">
        <f t="shared" si="7"/>
        <v>329</v>
      </c>
      <c r="AL480" t="str" cm="1">
        <f t="array" ref="AL480">ElsoBetuNagy(R480)</f>
        <v/>
      </c>
      <c r="AO480" t="str" cm="1">
        <f t="array" ref="AO480">DatumSzovegge5(AN480)</f>
        <v>1899.</v>
      </c>
      <c r="AP480" t="str" cm="1">
        <f t="array" ref="AP480">DatumSzovegge3(AN480)</f>
        <v>december</v>
      </c>
      <c r="AQ480" t="str" cm="1">
        <f t="array" ref="AQ480">DatumSzovegge4(AN480)</f>
        <v>30.</v>
      </c>
    </row>
    <row r="481" spans="4:43" x14ac:dyDescent="0.25">
      <c r="D481" t="str" cm="1">
        <f t="array" ref="D481">SzuressNev($B$1,ROW()-1)</f>
        <v/>
      </c>
      <c r="E481">
        <f>COUNTIF($D$2:D481,D481)</f>
        <v>460</v>
      </c>
      <c r="F481" t="str" cm="1">
        <f t="array" ref="F481">ElutasitasEgyOk2(D481,E481)</f>
        <v/>
      </c>
      <c r="G481" t="str">
        <f>IFERROR(INDEX(diakadat!$I$2:$I$50,MATCH(D481,diakadat!$J$2:$J$50,0),1),"")</f>
        <v/>
      </c>
      <c r="H481" t="str">
        <f>IFERROR(INDEX(diakadat!$O$2:$O$50,MATCH(D481,diakadat!$J$2:$J$50,0),1),"")</f>
        <v/>
      </c>
      <c r="I481" t="str">
        <f>IFERROR(INDEX(diakadat!#REF!,MATCH(D481,diakadat!$J$2:$J$50,0),1),"")</f>
        <v/>
      </c>
      <c r="J481" t="str">
        <f>IFERROR(INDEX(diakadat!$K$2:$K$50,MATCH(D481,diakadat!$J$2:$J$50,0),1),"")</f>
        <v/>
      </c>
      <c r="K481" t="str" cm="1">
        <f t="array" ref="K481">IFERROR(DatumSzovegge2(INDEX(diakadat!$L$2:$L$50,MATCH(D481,diakadat!$J$2:$J$50,0),1)),"")</f>
        <v/>
      </c>
      <c r="L481" t="str" cm="1">
        <f t="array" ref="L481">IFERROR(DatumSzovegge5(INDEX(diakadat!$L$2:$L$50,MATCH(D481,diakadat!$J$2:$J$50,0),1)),"")</f>
        <v/>
      </c>
      <c r="M481" t="str" cm="1">
        <f t="array" ref="M481">IFERROR(DatumSzovegge3(INDEX(diakadat!$L$2:$L$50,MATCH(D481,diakadat!$J$2:$J$50,0),1)),"")</f>
        <v/>
      </c>
      <c r="N481" t="str" cm="1">
        <f t="array" ref="N481">IFERROR(DatumSzovegge4(INDEX(diakadat!$L$2:$L$50,MATCH(D481,diakadat!$J$2:$J$50,0),1)),"")</f>
        <v/>
      </c>
      <c r="O481" t="str">
        <f>IFERROR(INDEX(diakadat!$R$2:$R$50,MATCH(D481,diakadat!$J$2:$J$50,0),1),"")</f>
        <v/>
      </c>
      <c r="P481" t="str">
        <f>IFERROR(INDEX(diakadat!$AI$2:$AI$50,MATCH(D481,diakadat!$J$2:$J$50,0),1),"")</f>
        <v/>
      </c>
      <c r="Q481" t="str">
        <f>IFERROR(INDEX('rangsor'!$C$2:$C$343,MATCH(D481,'rangsor'!$A$2:$A$343,0),1),"")</f>
        <v/>
      </c>
      <c r="T481" t="s">
        <v>831</v>
      </c>
      <c r="U481" t="str" cm="1">
        <f t="array" ref="U481">Határozat(D481)</f>
        <v/>
      </c>
      <c r="AC481" t="str">
        <f>IFERROR(INDEX(diakadat!$U$2:$U$50,MATCH(D481,diakadat!$J$2:$J$50),1),"")</f>
        <v/>
      </c>
      <c r="AD481" t="str">
        <f>IFERROR(INDEX(diakadat!$V$2:$V$50,MATCH(D481,diakadat!$J$2:$J$50),1),"")</f>
        <v/>
      </c>
      <c r="AE481" t="str">
        <f>IFERROR(INDEX(diakadat!$W$2:$W$50,MATCH(D481,diakadat!$J$2:$J$50),1),"")</f>
        <v/>
      </c>
      <c r="AI481" t="str">
        <f>IFERROR(INDEX(diakadat!$X$2:$X$50,MATCH(D481,diakadat!$J$2:$J$50),1),"")</f>
        <v/>
      </c>
      <c r="AK481">
        <f t="shared" si="7"/>
        <v>329</v>
      </c>
      <c r="AL481" t="str" cm="1">
        <f t="array" ref="AL481">ElsoBetuNagy(R481)</f>
        <v/>
      </c>
      <c r="AO481" t="str" cm="1">
        <f t="array" ref="AO481">DatumSzovegge5(AN481)</f>
        <v>1899.</v>
      </c>
      <c r="AP481" t="str" cm="1">
        <f t="array" ref="AP481">DatumSzovegge3(AN481)</f>
        <v>december</v>
      </c>
      <c r="AQ481" t="str" cm="1">
        <f t="array" ref="AQ481">DatumSzovegge4(AN481)</f>
        <v>30.</v>
      </c>
    </row>
    <row r="482" spans="4:43" x14ac:dyDescent="0.25">
      <c r="D482" t="str" cm="1">
        <f t="array" ref="D482">SzuressNev($B$1,ROW()-1)</f>
        <v/>
      </c>
      <c r="E482">
        <f>COUNTIF($D$2:D482,D482)</f>
        <v>461</v>
      </c>
      <c r="F482" t="str" cm="1">
        <f t="array" ref="F482">ElutasitasEgyOk2(D482,E482)</f>
        <v/>
      </c>
      <c r="G482" t="str">
        <f>IFERROR(INDEX(diakadat!$I$2:$I$50,MATCH(D482,diakadat!$J$2:$J$50,0),1),"")</f>
        <v/>
      </c>
      <c r="H482" t="str">
        <f>IFERROR(INDEX(diakadat!$O$2:$O$50,MATCH(D482,diakadat!$J$2:$J$50,0),1),"")</f>
        <v/>
      </c>
      <c r="I482" t="str">
        <f>IFERROR(INDEX(diakadat!#REF!,MATCH(D482,diakadat!$J$2:$J$50,0),1),"")</f>
        <v/>
      </c>
      <c r="J482" t="str">
        <f>IFERROR(INDEX(diakadat!$K$2:$K$50,MATCH(D482,diakadat!$J$2:$J$50,0),1),"")</f>
        <v/>
      </c>
      <c r="K482" t="str" cm="1">
        <f t="array" ref="K482">IFERROR(DatumSzovegge2(INDEX(diakadat!$L$2:$L$50,MATCH(D482,diakadat!$J$2:$J$50,0),1)),"")</f>
        <v/>
      </c>
      <c r="L482" t="str" cm="1">
        <f t="array" ref="L482">IFERROR(DatumSzovegge5(INDEX(diakadat!$L$2:$L$50,MATCH(D482,diakadat!$J$2:$J$50,0),1)),"")</f>
        <v/>
      </c>
      <c r="M482" t="str" cm="1">
        <f t="array" ref="M482">IFERROR(DatumSzovegge3(INDEX(diakadat!$L$2:$L$50,MATCH(D482,diakadat!$J$2:$J$50,0),1)),"")</f>
        <v/>
      </c>
      <c r="N482" t="str" cm="1">
        <f t="array" ref="N482">IFERROR(DatumSzovegge4(INDEX(diakadat!$L$2:$L$50,MATCH(D482,diakadat!$J$2:$J$50,0),1)),"")</f>
        <v/>
      </c>
      <c r="O482" t="str">
        <f>IFERROR(INDEX(diakadat!$R$2:$R$50,MATCH(D482,diakadat!$J$2:$J$50,0),1),"")</f>
        <v/>
      </c>
      <c r="P482" t="str">
        <f>IFERROR(INDEX(diakadat!$AI$2:$AI$50,MATCH(D482,diakadat!$J$2:$J$50,0),1),"")</f>
        <v/>
      </c>
      <c r="Q482" t="str">
        <f>IFERROR(INDEX('rangsor'!$C$2:$C$343,MATCH(D482,'rangsor'!$A$2:$A$343,0),1),"")</f>
        <v/>
      </c>
      <c r="T482" t="s">
        <v>831</v>
      </c>
      <c r="U482" t="str" cm="1">
        <f t="array" ref="U482">Határozat(D482)</f>
        <v/>
      </c>
      <c r="AC482" t="str">
        <f>IFERROR(INDEX(diakadat!$U$2:$U$50,MATCH(D482,diakadat!$J$2:$J$50),1),"")</f>
        <v/>
      </c>
      <c r="AD482" t="str">
        <f>IFERROR(INDEX(diakadat!$V$2:$V$50,MATCH(D482,diakadat!$J$2:$J$50),1),"")</f>
        <v/>
      </c>
      <c r="AE482" t="str">
        <f>IFERROR(INDEX(diakadat!$W$2:$W$50,MATCH(D482,diakadat!$J$2:$J$50),1),"")</f>
        <v/>
      </c>
      <c r="AI482" t="str">
        <f>IFERROR(INDEX(diakadat!$X$2:$X$50,MATCH(D482,diakadat!$J$2:$J$50),1),"")</f>
        <v/>
      </c>
      <c r="AK482">
        <f t="shared" si="7"/>
        <v>329</v>
      </c>
      <c r="AL482" t="str" cm="1">
        <f t="array" ref="AL482">ElsoBetuNagy(R482)</f>
        <v/>
      </c>
      <c r="AO482" t="str" cm="1">
        <f t="array" ref="AO482">DatumSzovegge5(AN482)</f>
        <v>1899.</v>
      </c>
      <c r="AP482" t="str" cm="1">
        <f t="array" ref="AP482">DatumSzovegge3(AN482)</f>
        <v>december</v>
      </c>
      <c r="AQ482" t="str" cm="1">
        <f t="array" ref="AQ482">DatumSzovegge4(AN482)</f>
        <v>30.</v>
      </c>
    </row>
    <row r="483" spans="4:43" x14ac:dyDescent="0.25">
      <c r="D483" t="str" cm="1">
        <f t="array" ref="D483">SzuressNev($B$1,ROW()-1)</f>
        <v/>
      </c>
      <c r="E483">
        <f>COUNTIF($D$2:D483,D483)</f>
        <v>462</v>
      </c>
      <c r="F483" t="str" cm="1">
        <f t="array" ref="F483">ElutasitasEgyOk2(D483,E483)</f>
        <v/>
      </c>
      <c r="G483" t="str">
        <f>IFERROR(INDEX(diakadat!$I$2:$I$50,MATCH(D483,diakadat!$J$2:$J$50,0),1),"")</f>
        <v/>
      </c>
      <c r="H483" t="str">
        <f>IFERROR(INDEX(diakadat!$O$2:$O$50,MATCH(D483,diakadat!$J$2:$J$50,0),1),"")</f>
        <v/>
      </c>
      <c r="I483" t="str">
        <f>IFERROR(INDEX(diakadat!#REF!,MATCH(D483,diakadat!$J$2:$J$50,0),1),"")</f>
        <v/>
      </c>
      <c r="J483" t="str">
        <f>IFERROR(INDEX(diakadat!$K$2:$K$50,MATCH(D483,diakadat!$J$2:$J$50,0),1),"")</f>
        <v/>
      </c>
      <c r="K483" t="str" cm="1">
        <f t="array" ref="K483">IFERROR(DatumSzovegge2(INDEX(diakadat!$L$2:$L$50,MATCH(D483,diakadat!$J$2:$J$50,0),1)),"")</f>
        <v/>
      </c>
      <c r="L483" t="str" cm="1">
        <f t="array" ref="L483">IFERROR(DatumSzovegge5(INDEX(diakadat!$L$2:$L$50,MATCH(D483,diakadat!$J$2:$J$50,0),1)),"")</f>
        <v/>
      </c>
      <c r="M483" t="str" cm="1">
        <f t="array" ref="M483">IFERROR(DatumSzovegge3(INDEX(diakadat!$L$2:$L$50,MATCH(D483,diakadat!$J$2:$J$50,0),1)),"")</f>
        <v/>
      </c>
      <c r="N483" t="str" cm="1">
        <f t="array" ref="N483">IFERROR(DatumSzovegge4(INDEX(diakadat!$L$2:$L$50,MATCH(D483,diakadat!$J$2:$J$50,0),1)),"")</f>
        <v/>
      </c>
      <c r="O483" t="str">
        <f>IFERROR(INDEX(diakadat!$R$2:$R$50,MATCH(D483,diakadat!$J$2:$J$50,0),1),"")</f>
        <v/>
      </c>
      <c r="P483" t="str">
        <f>IFERROR(INDEX(diakadat!$AI$2:$AI$50,MATCH(D483,diakadat!$J$2:$J$50,0),1),"")</f>
        <v/>
      </c>
      <c r="Q483" t="str">
        <f>IFERROR(INDEX('rangsor'!$C$2:$C$343,MATCH(D483,'rangsor'!$A$2:$A$343,0),1),"")</f>
        <v/>
      </c>
      <c r="T483" t="s">
        <v>831</v>
      </c>
      <c r="U483" t="str" cm="1">
        <f t="array" ref="U483">Határozat(D483)</f>
        <v/>
      </c>
      <c r="AC483" t="str">
        <f>IFERROR(INDEX(diakadat!$U$2:$U$50,MATCH(D483,diakadat!$J$2:$J$50),1),"")</f>
        <v/>
      </c>
      <c r="AD483" t="str">
        <f>IFERROR(INDEX(diakadat!$V$2:$V$50,MATCH(D483,diakadat!$J$2:$J$50),1),"")</f>
        <v/>
      </c>
      <c r="AE483" t="str">
        <f>IFERROR(INDEX(diakadat!$W$2:$W$50,MATCH(D483,diakadat!$J$2:$J$50),1),"")</f>
        <v/>
      </c>
      <c r="AI483" t="str">
        <f>IFERROR(INDEX(diakadat!$X$2:$X$50,MATCH(D483,diakadat!$J$2:$J$50),1),"")</f>
        <v/>
      </c>
      <c r="AK483">
        <f t="shared" si="7"/>
        <v>329</v>
      </c>
      <c r="AL483" t="str" cm="1">
        <f t="array" ref="AL483">ElsoBetuNagy(R483)</f>
        <v/>
      </c>
      <c r="AO483" t="str" cm="1">
        <f t="array" ref="AO483">DatumSzovegge5(AN483)</f>
        <v>1899.</v>
      </c>
      <c r="AP483" t="str" cm="1">
        <f t="array" ref="AP483">DatumSzovegge3(AN483)</f>
        <v>december</v>
      </c>
      <c r="AQ483" t="str" cm="1">
        <f t="array" ref="AQ483">DatumSzovegge4(AN483)</f>
        <v>30.</v>
      </c>
    </row>
    <row r="484" spans="4:43" x14ac:dyDescent="0.25">
      <c r="D484" t="str" cm="1">
        <f t="array" ref="D484">SzuressNev($B$1,ROW()-1)</f>
        <v/>
      </c>
      <c r="E484">
        <f>COUNTIF($D$2:D484,D484)</f>
        <v>463</v>
      </c>
      <c r="F484" t="str" cm="1">
        <f t="array" ref="F484">ElutasitasEgyOk2(D484,E484)</f>
        <v/>
      </c>
      <c r="G484" t="str">
        <f>IFERROR(INDEX(diakadat!$I$2:$I$50,MATCH(D484,diakadat!$J$2:$J$50,0),1),"")</f>
        <v/>
      </c>
      <c r="H484" t="str">
        <f>IFERROR(INDEX(diakadat!$O$2:$O$50,MATCH(D484,diakadat!$J$2:$J$50,0),1),"")</f>
        <v/>
      </c>
      <c r="I484" t="str">
        <f>IFERROR(INDEX(diakadat!#REF!,MATCH(D484,diakadat!$J$2:$J$50,0),1),"")</f>
        <v/>
      </c>
      <c r="J484" t="str">
        <f>IFERROR(INDEX(diakadat!$K$2:$K$50,MATCH(D484,diakadat!$J$2:$J$50,0),1),"")</f>
        <v/>
      </c>
      <c r="K484" t="str" cm="1">
        <f t="array" ref="K484">IFERROR(DatumSzovegge2(INDEX(diakadat!$L$2:$L$50,MATCH(D484,diakadat!$J$2:$J$50,0),1)),"")</f>
        <v/>
      </c>
      <c r="L484" t="str" cm="1">
        <f t="array" ref="L484">IFERROR(DatumSzovegge5(INDEX(diakadat!$L$2:$L$50,MATCH(D484,diakadat!$J$2:$J$50,0),1)),"")</f>
        <v/>
      </c>
      <c r="M484" t="str" cm="1">
        <f t="array" ref="M484">IFERROR(DatumSzovegge3(INDEX(diakadat!$L$2:$L$50,MATCH(D484,diakadat!$J$2:$J$50,0),1)),"")</f>
        <v/>
      </c>
      <c r="N484" t="str" cm="1">
        <f t="array" ref="N484">IFERROR(DatumSzovegge4(INDEX(diakadat!$L$2:$L$50,MATCH(D484,diakadat!$J$2:$J$50,0),1)),"")</f>
        <v/>
      </c>
      <c r="O484" t="str">
        <f>IFERROR(INDEX(diakadat!$R$2:$R$50,MATCH(D484,diakadat!$J$2:$J$50,0),1),"")</f>
        <v/>
      </c>
      <c r="P484" t="str">
        <f>IFERROR(INDEX(diakadat!$AI$2:$AI$50,MATCH(D484,diakadat!$J$2:$J$50,0),1),"")</f>
        <v/>
      </c>
      <c r="Q484" t="str">
        <f>IFERROR(INDEX('rangsor'!$C$2:$C$343,MATCH(D484,'rangsor'!$A$2:$A$343,0),1),"")</f>
        <v/>
      </c>
      <c r="T484" t="s">
        <v>831</v>
      </c>
      <c r="U484" t="str" cm="1">
        <f t="array" ref="U484">Határozat(D484)</f>
        <v/>
      </c>
      <c r="AC484" t="str">
        <f>IFERROR(INDEX(diakadat!$U$2:$U$50,MATCH(D484,diakadat!$J$2:$J$50),1),"")</f>
        <v/>
      </c>
      <c r="AD484" t="str">
        <f>IFERROR(INDEX(diakadat!$V$2:$V$50,MATCH(D484,diakadat!$J$2:$J$50),1),"")</f>
        <v/>
      </c>
      <c r="AE484" t="str">
        <f>IFERROR(INDEX(diakadat!$W$2:$W$50,MATCH(D484,diakadat!$J$2:$J$50),1),"")</f>
        <v/>
      </c>
      <c r="AI484" t="str">
        <f>IFERROR(INDEX(diakadat!$X$2:$X$50,MATCH(D484,diakadat!$J$2:$J$50),1),"")</f>
        <v/>
      </c>
      <c r="AK484">
        <f t="shared" si="7"/>
        <v>329</v>
      </c>
      <c r="AL484" t="str" cm="1">
        <f t="array" ref="AL484">ElsoBetuNagy(R484)</f>
        <v/>
      </c>
      <c r="AO484" t="str" cm="1">
        <f t="array" ref="AO484">DatumSzovegge5(AN484)</f>
        <v>1899.</v>
      </c>
      <c r="AP484" t="str" cm="1">
        <f t="array" ref="AP484">DatumSzovegge3(AN484)</f>
        <v>december</v>
      </c>
      <c r="AQ484" t="str" cm="1">
        <f t="array" ref="AQ484">DatumSzovegge4(AN484)</f>
        <v>30.</v>
      </c>
    </row>
    <row r="485" spans="4:43" x14ac:dyDescent="0.25">
      <c r="D485" t="str" cm="1">
        <f t="array" ref="D485">SzuressNev($B$1,ROW()-1)</f>
        <v/>
      </c>
      <c r="E485">
        <f>COUNTIF($D$2:D485,D485)</f>
        <v>464</v>
      </c>
      <c r="F485" t="str" cm="1">
        <f t="array" ref="F485">ElutasitasEgyOk2(D485,E485)</f>
        <v/>
      </c>
      <c r="G485" t="str">
        <f>IFERROR(INDEX(diakadat!$I$2:$I$50,MATCH(D485,diakadat!$J$2:$J$50,0),1),"")</f>
        <v/>
      </c>
      <c r="H485" t="str">
        <f>IFERROR(INDEX(diakadat!$O$2:$O$50,MATCH(D485,diakadat!$J$2:$J$50,0),1),"")</f>
        <v/>
      </c>
      <c r="I485" t="str">
        <f>IFERROR(INDEX(diakadat!#REF!,MATCH(D485,diakadat!$J$2:$J$50,0),1),"")</f>
        <v/>
      </c>
      <c r="J485" t="str">
        <f>IFERROR(INDEX(diakadat!$K$2:$K$50,MATCH(D485,diakadat!$J$2:$J$50,0),1),"")</f>
        <v/>
      </c>
      <c r="K485" t="str" cm="1">
        <f t="array" ref="K485">IFERROR(DatumSzovegge2(INDEX(diakadat!$L$2:$L$50,MATCH(D485,diakadat!$J$2:$J$50,0),1)),"")</f>
        <v/>
      </c>
      <c r="L485" t="str" cm="1">
        <f t="array" ref="L485">IFERROR(DatumSzovegge5(INDEX(diakadat!$L$2:$L$50,MATCH(D485,diakadat!$J$2:$J$50,0),1)),"")</f>
        <v/>
      </c>
      <c r="M485" t="str" cm="1">
        <f t="array" ref="M485">IFERROR(DatumSzovegge3(INDEX(diakadat!$L$2:$L$50,MATCH(D485,diakadat!$J$2:$J$50,0),1)),"")</f>
        <v/>
      </c>
      <c r="N485" t="str" cm="1">
        <f t="array" ref="N485">IFERROR(DatumSzovegge4(INDEX(diakadat!$L$2:$L$50,MATCH(D485,diakadat!$J$2:$J$50,0),1)),"")</f>
        <v/>
      </c>
      <c r="O485" t="str">
        <f>IFERROR(INDEX(diakadat!$R$2:$R$50,MATCH(D485,diakadat!$J$2:$J$50,0),1),"")</f>
        <v/>
      </c>
      <c r="P485" t="str">
        <f>IFERROR(INDEX(diakadat!$AI$2:$AI$50,MATCH(D485,diakadat!$J$2:$J$50,0),1),"")</f>
        <v/>
      </c>
      <c r="Q485" t="str">
        <f>IFERROR(INDEX('rangsor'!$C$2:$C$343,MATCH(D485,'rangsor'!$A$2:$A$343,0),1),"")</f>
        <v/>
      </c>
      <c r="T485" t="s">
        <v>831</v>
      </c>
      <c r="U485" t="str" cm="1">
        <f t="array" ref="U485">Határozat(D485)</f>
        <v/>
      </c>
      <c r="AC485" t="str">
        <f>IFERROR(INDEX(diakadat!$U$2:$U$50,MATCH(D485,diakadat!$J$2:$J$50),1),"")</f>
        <v/>
      </c>
      <c r="AD485" t="str">
        <f>IFERROR(INDEX(diakadat!$V$2:$V$50,MATCH(D485,diakadat!$J$2:$J$50),1),"")</f>
        <v/>
      </c>
      <c r="AE485" t="str">
        <f>IFERROR(INDEX(diakadat!$W$2:$W$50,MATCH(D485,diakadat!$J$2:$J$50),1),"")</f>
        <v/>
      </c>
      <c r="AI485" t="str">
        <f>IFERROR(INDEX(diakadat!$X$2:$X$50,MATCH(D485,diakadat!$J$2:$J$50),1),"")</f>
        <v/>
      </c>
      <c r="AK485">
        <f t="shared" si="7"/>
        <v>329</v>
      </c>
      <c r="AL485" t="str" cm="1">
        <f t="array" ref="AL485">ElsoBetuNagy(R485)</f>
        <v/>
      </c>
      <c r="AO485" t="str" cm="1">
        <f t="array" ref="AO485">DatumSzovegge5(AN485)</f>
        <v>1899.</v>
      </c>
      <c r="AP485" t="str" cm="1">
        <f t="array" ref="AP485">DatumSzovegge3(AN485)</f>
        <v>december</v>
      </c>
      <c r="AQ485" t="str" cm="1">
        <f t="array" ref="AQ485">DatumSzovegge4(AN485)</f>
        <v>30.</v>
      </c>
    </row>
    <row r="486" spans="4:43" x14ac:dyDescent="0.25">
      <c r="D486" t="str" cm="1">
        <f t="array" ref="D486">SzuressNev($B$1,ROW()-1)</f>
        <v/>
      </c>
      <c r="E486">
        <f>COUNTIF($D$2:D486,D486)</f>
        <v>465</v>
      </c>
      <c r="F486" t="str" cm="1">
        <f t="array" ref="F486">ElutasitasEgyOk2(D486,E486)</f>
        <v/>
      </c>
      <c r="G486" t="str">
        <f>IFERROR(INDEX(diakadat!$I$2:$I$50,MATCH(D486,diakadat!$J$2:$J$50,0),1),"")</f>
        <v/>
      </c>
      <c r="H486" t="str">
        <f>IFERROR(INDEX(diakadat!$O$2:$O$50,MATCH(D486,diakadat!$J$2:$J$50,0),1),"")</f>
        <v/>
      </c>
      <c r="I486" t="str">
        <f>IFERROR(INDEX(diakadat!#REF!,MATCH(D486,diakadat!$J$2:$J$50,0),1),"")</f>
        <v/>
      </c>
      <c r="J486" t="str">
        <f>IFERROR(INDEX(diakadat!$K$2:$K$50,MATCH(D486,diakadat!$J$2:$J$50,0),1),"")</f>
        <v/>
      </c>
      <c r="K486" t="str" cm="1">
        <f t="array" ref="K486">IFERROR(DatumSzovegge2(INDEX(diakadat!$L$2:$L$50,MATCH(D486,diakadat!$J$2:$J$50,0),1)),"")</f>
        <v/>
      </c>
      <c r="L486" t="str" cm="1">
        <f t="array" ref="L486">IFERROR(DatumSzovegge5(INDEX(diakadat!$L$2:$L$50,MATCH(D486,diakadat!$J$2:$J$50,0),1)),"")</f>
        <v/>
      </c>
      <c r="M486" t="str" cm="1">
        <f t="array" ref="M486">IFERROR(DatumSzovegge3(INDEX(diakadat!$L$2:$L$50,MATCH(D486,diakadat!$J$2:$J$50,0),1)),"")</f>
        <v/>
      </c>
      <c r="N486" t="str" cm="1">
        <f t="array" ref="N486">IFERROR(DatumSzovegge4(INDEX(diakadat!$L$2:$L$50,MATCH(D486,diakadat!$J$2:$J$50,0),1)),"")</f>
        <v/>
      </c>
      <c r="O486" t="str">
        <f>IFERROR(INDEX(diakadat!$R$2:$R$50,MATCH(D486,diakadat!$J$2:$J$50,0),1),"")</f>
        <v/>
      </c>
      <c r="P486" t="str">
        <f>IFERROR(INDEX(diakadat!$AI$2:$AI$50,MATCH(D486,diakadat!$J$2:$J$50,0),1),"")</f>
        <v/>
      </c>
      <c r="Q486" t="str">
        <f>IFERROR(INDEX('rangsor'!$C$2:$C$343,MATCH(D486,'rangsor'!$A$2:$A$343,0),1),"")</f>
        <v/>
      </c>
      <c r="T486" t="s">
        <v>831</v>
      </c>
      <c r="U486" t="str" cm="1">
        <f t="array" ref="U486">Határozat(D486)</f>
        <v/>
      </c>
      <c r="AC486" t="str">
        <f>IFERROR(INDEX(diakadat!$U$2:$U$50,MATCH(D486,diakadat!$J$2:$J$50),1),"")</f>
        <v/>
      </c>
      <c r="AD486" t="str">
        <f>IFERROR(INDEX(diakadat!$V$2:$V$50,MATCH(D486,diakadat!$J$2:$J$50),1),"")</f>
        <v/>
      </c>
      <c r="AE486" t="str">
        <f>IFERROR(INDEX(diakadat!$W$2:$W$50,MATCH(D486,diakadat!$J$2:$J$50),1),"")</f>
        <v/>
      </c>
      <c r="AI486" t="str">
        <f>IFERROR(INDEX(diakadat!$X$2:$X$50,MATCH(D486,diakadat!$J$2:$J$50),1),"")</f>
        <v/>
      </c>
      <c r="AK486">
        <f t="shared" si="7"/>
        <v>329</v>
      </c>
      <c r="AL486" t="str" cm="1">
        <f t="array" ref="AL486">ElsoBetuNagy(R486)</f>
        <v/>
      </c>
      <c r="AO486" t="str" cm="1">
        <f t="array" ref="AO486">DatumSzovegge5(AN486)</f>
        <v>1899.</v>
      </c>
      <c r="AP486" t="str" cm="1">
        <f t="array" ref="AP486">DatumSzovegge3(AN486)</f>
        <v>december</v>
      </c>
      <c r="AQ486" t="str" cm="1">
        <f t="array" ref="AQ486">DatumSzovegge4(AN486)</f>
        <v>30.</v>
      </c>
    </row>
    <row r="487" spans="4:43" x14ac:dyDescent="0.25">
      <c r="D487" t="str" cm="1">
        <f t="array" ref="D487">SzuressNev($B$1,ROW()-1)</f>
        <v/>
      </c>
      <c r="E487">
        <f>COUNTIF($D$2:D487,D487)</f>
        <v>466</v>
      </c>
      <c r="F487" t="str" cm="1">
        <f t="array" ref="F487">ElutasitasEgyOk2(D487,E487)</f>
        <v/>
      </c>
      <c r="G487" t="str">
        <f>IFERROR(INDEX(diakadat!$I$2:$I$50,MATCH(D487,diakadat!$J$2:$J$50,0),1),"")</f>
        <v/>
      </c>
      <c r="H487" t="str">
        <f>IFERROR(INDEX(diakadat!$O$2:$O$50,MATCH(D487,diakadat!$J$2:$J$50,0),1),"")</f>
        <v/>
      </c>
      <c r="I487" t="str">
        <f>IFERROR(INDEX(diakadat!#REF!,MATCH(D487,diakadat!$J$2:$J$50,0),1),"")</f>
        <v/>
      </c>
      <c r="J487" t="str">
        <f>IFERROR(INDEX(diakadat!$K$2:$K$50,MATCH(D487,diakadat!$J$2:$J$50,0),1),"")</f>
        <v/>
      </c>
      <c r="K487" t="str" cm="1">
        <f t="array" ref="K487">IFERROR(DatumSzovegge2(INDEX(diakadat!$L$2:$L$50,MATCH(D487,diakadat!$J$2:$J$50,0),1)),"")</f>
        <v/>
      </c>
      <c r="L487" t="str" cm="1">
        <f t="array" ref="L487">IFERROR(DatumSzovegge5(INDEX(diakadat!$L$2:$L$50,MATCH(D487,diakadat!$J$2:$J$50,0),1)),"")</f>
        <v/>
      </c>
      <c r="M487" t="str" cm="1">
        <f t="array" ref="M487">IFERROR(DatumSzovegge3(INDEX(diakadat!$L$2:$L$50,MATCH(D487,diakadat!$J$2:$J$50,0),1)),"")</f>
        <v/>
      </c>
      <c r="N487" t="str" cm="1">
        <f t="array" ref="N487">IFERROR(DatumSzovegge4(INDEX(diakadat!$L$2:$L$50,MATCH(D487,diakadat!$J$2:$J$50,0),1)),"")</f>
        <v/>
      </c>
      <c r="O487" t="str">
        <f>IFERROR(INDEX(diakadat!$R$2:$R$50,MATCH(D487,diakadat!$J$2:$J$50,0),1),"")</f>
        <v/>
      </c>
      <c r="P487" t="str">
        <f>IFERROR(INDEX(diakadat!$AI$2:$AI$50,MATCH(D487,diakadat!$J$2:$J$50,0),1),"")</f>
        <v/>
      </c>
      <c r="Q487" t="str">
        <f>IFERROR(INDEX('rangsor'!$C$2:$C$343,MATCH(D487,'rangsor'!$A$2:$A$343,0),1),"")</f>
        <v/>
      </c>
      <c r="T487" t="s">
        <v>831</v>
      </c>
      <c r="U487" t="str" cm="1">
        <f t="array" ref="U487">Határozat(D487)</f>
        <v/>
      </c>
      <c r="AC487" t="str">
        <f>IFERROR(INDEX(diakadat!$U$2:$U$50,MATCH(D487,diakadat!$J$2:$J$50),1),"")</f>
        <v/>
      </c>
      <c r="AD487" t="str">
        <f>IFERROR(INDEX(diakadat!$V$2:$V$50,MATCH(D487,diakadat!$J$2:$J$50),1),"")</f>
        <v/>
      </c>
      <c r="AE487" t="str">
        <f>IFERROR(INDEX(diakadat!$W$2:$W$50,MATCH(D487,diakadat!$J$2:$J$50),1),"")</f>
        <v/>
      </c>
      <c r="AI487" t="str">
        <f>IFERROR(INDEX(diakadat!$X$2:$X$50,MATCH(D487,diakadat!$J$2:$J$50),1),"")</f>
        <v/>
      </c>
      <c r="AK487">
        <f t="shared" si="7"/>
        <v>329</v>
      </c>
      <c r="AL487" t="str" cm="1">
        <f t="array" ref="AL487">ElsoBetuNagy(R487)</f>
        <v/>
      </c>
      <c r="AO487" t="str" cm="1">
        <f t="array" ref="AO487">DatumSzovegge5(AN487)</f>
        <v>1899.</v>
      </c>
      <c r="AP487" t="str" cm="1">
        <f t="array" ref="AP487">DatumSzovegge3(AN487)</f>
        <v>december</v>
      </c>
      <c r="AQ487" t="str" cm="1">
        <f t="array" ref="AQ487">DatumSzovegge4(AN487)</f>
        <v>30.</v>
      </c>
    </row>
    <row r="488" spans="4:43" x14ac:dyDescent="0.25">
      <c r="D488" t="str" cm="1">
        <f t="array" ref="D488">SzuressNev($B$1,ROW()-1)</f>
        <v/>
      </c>
      <c r="E488">
        <f>COUNTIF($D$2:D488,D488)</f>
        <v>467</v>
      </c>
      <c r="F488" t="str" cm="1">
        <f t="array" ref="F488">ElutasitasEgyOk2(D488,E488)</f>
        <v/>
      </c>
      <c r="G488" t="str">
        <f>IFERROR(INDEX(diakadat!$I$2:$I$50,MATCH(D488,diakadat!$J$2:$J$50,0),1),"")</f>
        <v/>
      </c>
      <c r="H488" t="str">
        <f>IFERROR(INDEX(diakadat!$O$2:$O$50,MATCH(D488,diakadat!$J$2:$J$50,0),1),"")</f>
        <v/>
      </c>
      <c r="I488" t="str">
        <f>IFERROR(INDEX(diakadat!#REF!,MATCH(D488,diakadat!$J$2:$J$50,0),1),"")</f>
        <v/>
      </c>
      <c r="J488" t="str">
        <f>IFERROR(INDEX(diakadat!$K$2:$K$50,MATCH(D488,diakadat!$J$2:$J$50,0),1),"")</f>
        <v/>
      </c>
      <c r="K488" t="str" cm="1">
        <f t="array" ref="K488">IFERROR(DatumSzovegge2(INDEX(diakadat!$L$2:$L$50,MATCH(D488,diakadat!$J$2:$J$50,0),1)),"")</f>
        <v/>
      </c>
      <c r="L488" t="str" cm="1">
        <f t="array" ref="L488">IFERROR(DatumSzovegge5(INDEX(diakadat!$L$2:$L$50,MATCH(D488,diakadat!$J$2:$J$50,0),1)),"")</f>
        <v/>
      </c>
      <c r="M488" t="str" cm="1">
        <f t="array" ref="M488">IFERROR(DatumSzovegge3(INDEX(diakadat!$L$2:$L$50,MATCH(D488,diakadat!$J$2:$J$50,0),1)),"")</f>
        <v/>
      </c>
      <c r="N488" t="str" cm="1">
        <f t="array" ref="N488">IFERROR(DatumSzovegge4(INDEX(diakadat!$L$2:$L$50,MATCH(D488,diakadat!$J$2:$J$50,0),1)),"")</f>
        <v/>
      </c>
      <c r="O488" t="str">
        <f>IFERROR(INDEX(diakadat!$R$2:$R$50,MATCH(D488,diakadat!$J$2:$J$50,0),1),"")</f>
        <v/>
      </c>
      <c r="P488" t="str">
        <f>IFERROR(INDEX(diakadat!$AI$2:$AI$50,MATCH(D488,diakadat!$J$2:$J$50,0),1),"")</f>
        <v/>
      </c>
      <c r="Q488" t="str">
        <f>IFERROR(INDEX('rangsor'!$C$2:$C$343,MATCH(D488,'rangsor'!$A$2:$A$343,0),1),"")</f>
        <v/>
      </c>
      <c r="T488" t="s">
        <v>831</v>
      </c>
      <c r="U488" t="str" cm="1">
        <f t="array" ref="U488">Határozat(D488)</f>
        <v/>
      </c>
      <c r="AC488" t="str">
        <f>IFERROR(INDEX(diakadat!$U$2:$U$50,MATCH(D488,diakadat!$J$2:$J$50),1),"")</f>
        <v/>
      </c>
      <c r="AD488" t="str">
        <f>IFERROR(INDEX(diakadat!$V$2:$V$50,MATCH(D488,diakadat!$J$2:$J$50),1),"")</f>
        <v/>
      </c>
      <c r="AE488" t="str">
        <f>IFERROR(INDEX(diakadat!$W$2:$W$50,MATCH(D488,diakadat!$J$2:$J$50),1),"")</f>
        <v/>
      </c>
      <c r="AI488" t="str">
        <f>IFERROR(INDEX(diakadat!$X$2:$X$50,MATCH(D488,diakadat!$J$2:$J$50),1),"")</f>
        <v/>
      </c>
      <c r="AK488">
        <f t="shared" si="7"/>
        <v>329</v>
      </c>
      <c r="AL488" t="str" cm="1">
        <f t="array" ref="AL488">ElsoBetuNagy(R488)</f>
        <v/>
      </c>
      <c r="AO488" t="str" cm="1">
        <f t="array" ref="AO488">DatumSzovegge5(AN488)</f>
        <v>1899.</v>
      </c>
      <c r="AP488" t="str" cm="1">
        <f t="array" ref="AP488">DatumSzovegge3(AN488)</f>
        <v>december</v>
      </c>
      <c r="AQ488" t="str" cm="1">
        <f t="array" ref="AQ488">DatumSzovegge4(AN488)</f>
        <v>30.</v>
      </c>
    </row>
    <row r="489" spans="4:43" x14ac:dyDescent="0.25">
      <c r="D489" t="str" cm="1">
        <f t="array" ref="D489">SzuressNev($B$1,ROW()-1)</f>
        <v/>
      </c>
      <c r="E489">
        <f>COUNTIF($D$2:D489,D489)</f>
        <v>468</v>
      </c>
      <c r="F489" t="str" cm="1">
        <f t="array" ref="F489">ElutasitasEgyOk2(D489,E489)</f>
        <v/>
      </c>
      <c r="G489" t="str">
        <f>IFERROR(INDEX(diakadat!$I$2:$I$50,MATCH(D489,diakadat!$J$2:$J$50,0),1),"")</f>
        <v/>
      </c>
      <c r="H489" t="str">
        <f>IFERROR(INDEX(diakadat!$O$2:$O$50,MATCH(D489,diakadat!$J$2:$J$50,0),1),"")</f>
        <v/>
      </c>
      <c r="I489" t="str">
        <f>IFERROR(INDEX(diakadat!#REF!,MATCH(D489,diakadat!$J$2:$J$50,0),1),"")</f>
        <v/>
      </c>
      <c r="J489" t="str">
        <f>IFERROR(INDEX(diakadat!$K$2:$K$50,MATCH(D489,diakadat!$J$2:$J$50,0),1),"")</f>
        <v/>
      </c>
      <c r="K489" t="str" cm="1">
        <f t="array" ref="K489">IFERROR(DatumSzovegge2(INDEX(diakadat!$L$2:$L$50,MATCH(D489,diakadat!$J$2:$J$50,0),1)),"")</f>
        <v/>
      </c>
      <c r="L489" t="str" cm="1">
        <f t="array" ref="L489">IFERROR(DatumSzovegge5(INDEX(diakadat!$L$2:$L$50,MATCH(D489,diakadat!$J$2:$J$50,0),1)),"")</f>
        <v/>
      </c>
      <c r="M489" t="str" cm="1">
        <f t="array" ref="M489">IFERROR(DatumSzovegge3(INDEX(diakadat!$L$2:$L$50,MATCH(D489,diakadat!$J$2:$J$50,0),1)),"")</f>
        <v/>
      </c>
      <c r="N489" t="str" cm="1">
        <f t="array" ref="N489">IFERROR(DatumSzovegge4(INDEX(diakadat!$L$2:$L$50,MATCH(D489,diakadat!$J$2:$J$50,0),1)),"")</f>
        <v/>
      </c>
      <c r="O489" t="str">
        <f>IFERROR(INDEX(diakadat!$R$2:$R$50,MATCH(D489,diakadat!$J$2:$J$50,0),1),"")</f>
        <v/>
      </c>
      <c r="P489" t="str">
        <f>IFERROR(INDEX(diakadat!$AI$2:$AI$50,MATCH(D489,diakadat!$J$2:$J$50,0),1),"")</f>
        <v/>
      </c>
      <c r="Q489" t="str">
        <f>IFERROR(INDEX('rangsor'!$C$2:$C$343,MATCH(D489,'rangsor'!$A$2:$A$343,0),1),"")</f>
        <v/>
      </c>
      <c r="T489" t="s">
        <v>831</v>
      </c>
      <c r="U489" t="str" cm="1">
        <f t="array" ref="U489">Határozat(D489)</f>
        <v/>
      </c>
      <c r="AC489" t="str">
        <f>IFERROR(INDEX(diakadat!$U$2:$U$50,MATCH(D489,diakadat!$J$2:$J$50),1),"")</f>
        <v/>
      </c>
      <c r="AD489" t="str">
        <f>IFERROR(INDEX(diakadat!$V$2:$V$50,MATCH(D489,diakadat!$J$2:$J$50),1),"")</f>
        <v/>
      </c>
      <c r="AE489" t="str">
        <f>IFERROR(INDEX(diakadat!$W$2:$W$50,MATCH(D489,diakadat!$J$2:$J$50),1),"")</f>
        <v/>
      </c>
      <c r="AI489" t="str">
        <f>IFERROR(INDEX(diakadat!$X$2:$X$50,MATCH(D489,diakadat!$J$2:$J$50),1),"")</f>
        <v/>
      </c>
      <c r="AK489">
        <f t="shared" si="7"/>
        <v>329</v>
      </c>
      <c r="AL489" t="str" cm="1">
        <f t="array" ref="AL489">ElsoBetuNagy(R489)</f>
        <v/>
      </c>
      <c r="AO489" t="str" cm="1">
        <f t="array" ref="AO489">DatumSzovegge5(AN489)</f>
        <v>1899.</v>
      </c>
      <c r="AP489" t="str" cm="1">
        <f t="array" ref="AP489">DatumSzovegge3(AN489)</f>
        <v>december</v>
      </c>
      <c r="AQ489" t="str" cm="1">
        <f t="array" ref="AQ489">DatumSzovegge4(AN489)</f>
        <v>30.</v>
      </c>
    </row>
    <row r="490" spans="4:43" x14ac:dyDescent="0.25">
      <c r="D490" t="str" cm="1">
        <f t="array" ref="D490">SzuressNev($B$1,ROW()-1)</f>
        <v/>
      </c>
      <c r="E490">
        <f>COUNTIF($D$2:D490,D490)</f>
        <v>469</v>
      </c>
      <c r="F490" t="str" cm="1">
        <f t="array" ref="F490">ElutasitasEgyOk2(D490,E490)</f>
        <v/>
      </c>
      <c r="G490" t="str">
        <f>IFERROR(INDEX(diakadat!$I$2:$I$50,MATCH(D490,diakadat!$J$2:$J$50,0),1),"")</f>
        <v/>
      </c>
      <c r="H490" t="str">
        <f>IFERROR(INDEX(diakadat!$O$2:$O$50,MATCH(D490,diakadat!$J$2:$J$50,0),1),"")</f>
        <v/>
      </c>
      <c r="I490" t="str">
        <f>IFERROR(INDEX(diakadat!#REF!,MATCH(D490,diakadat!$J$2:$J$50,0),1),"")</f>
        <v/>
      </c>
      <c r="J490" t="str">
        <f>IFERROR(INDEX(diakadat!$K$2:$K$50,MATCH(D490,diakadat!$J$2:$J$50,0),1),"")</f>
        <v/>
      </c>
      <c r="K490" t="str" cm="1">
        <f t="array" ref="K490">IFERROR(DatumSzovegge2(INDEX(diakadat!$L$2:$L$50,MATCH(D490,diakadat!$J$2:$J$50,0),1)),"")</f>
        <v/>
      </c>
      <c r="L490" t="str" cm="1">
        <f t="array" ref="L490">IFERROR(DatumSzovegge5(INDEX(diakadat!$L$2:$L$50,MATCH(D490,diakadat!$J$2:$J$50,0),1)),"")</f>
        <v/>
      </c>
      <c r="M490" t="str" cm="1">
        <f t="array" ref="M490">IFERROR(DatumSzovegge3(INDEX(diakadat!$L$2:$L$50,MATCH(D490,diakadat!$J$2:$J$50,0),1)),"")</f>
        <v/>
      </c>
      <c r="N490" t="str" cm="1">
        <f t="array" ref="N490">IFERROR(DatumSzovegge4(INDEX(diakadat!$L$2:$L$50,MATCH(D490,diakadat!$J$2:$J$50,0),1)),"")</f>
        <v/>
      </c>
      <c r="O490" t="str">
        <f>IFERROR(INDEX(diakadat!$R$2:$R$50,MATCH(D490,diakadat!$J$2:$J$50,0),1),"")</f>
        <v/>
      </c>
      <c r="P490" t="str">
        <f>IFERROR(INDEX(diakadat!$AI$2:$AI$50,MATCH(D490,diakadat!$J$2:$J$50,0),1),"")</f>
        <v/>
      </c>
      <c r="Q490" t="str">
        <f>IFERROR(INDEX('rangsor'!$C$2:$C$343,MATCH(D490,'rangsor'!$A$2:$A$343,0),1),"")</f>
        <v/>
      </c>
      <c r="T490" t="s">
        <v>831</v>
      </c>
      <c r="U490" t="str" cm="1">
        <f t="array" ref="U490">Határozat(D490)</f>
        <v/>
      </c>
      <c r="AC490" t="str">
        <f>IFERROR(INDEX(diakadat!$U$2:$U$50,MATCH(D490,diakadat!$J$2:$J$50),1),"")</f>
        <v/>
      </c>
      <c r="AD490" t="str">
        <f>IFERROR(INDEX(diakadat!$V$2:$V$50,MATCH(D490,diakadat!$J$2:$J$50),1),"")</f>
        <v/>
      </c>
      <c r="AE490" t="str">
        <f>IFERROR(INDEX(diakadat!$W$2:$W$50,MATCH(D490,diakadat!$J$2:$J$50),1),"")</f>
        <v/>
      </c>
      <c r="AI490" t="str">
        <f>IFERROR(INDEX(diakadat!$X$2:$X$50,MATCH(D490,diakadat!$J$2:$J$50),1),"")</f>
        <v/>
      </c>
      <c r="AK490">
        <f t="shared" si="7"/>
        <v>329</v>
      </c>
      <c r="AL490" t="str" cm="1">
        <f t="array" ref="AL490">ElsoBetuNagy(R490)</f>
        <v/>
      </c>
      <c r="AO490" t="str" cm="1">
        <f t="array" ref="AO490">DatumSzovegge5(AN490)</f>
        <v>1899.</v>
      </c>
      <c r="AP490" t="str" cm="1">
        <f t="array" ref="AP490">DatumSzovegge3(AN490)</f>
        <v>december</v>
      </c>
      <c r="AQ490" t="str" cm="1">
        <f t="array" ref="AQ490">DatumSzovegge4(AN490)</f>
        <v>30.</v>
      </c>
    </row>
    <row r="491" spans="4:43" x14ac:dyDescent="0.25">
      <c r="D491" t="str" cm="1">
        <f t="array" ref="D491">SzuressNev($B$1,ROW()-1)</f>
        <v/>
      </c>
      <c r="E491">
        <f>COUNTIF($D$2:D491,D491)</f>
        <v>470</v>
      </c>
      <c r="F491" t="str" cm="1">
        <f t="array" ref="F491">ElutasitasEgyOk2(D491,E491)</f>
        <v/>
      </c>
      <c r="G491" t="str">
        <f>IFERROR(INDEX(diakadat!$I$2:$I$50,MATCH(D491,diakadat!$J$2:$J$50,0),1),"")</f>
        <v/>
      </c>
      <c r="H491" t="str">
        <f>IFERROR(INDEX(diakadat!$O$2:$O$50,MATCH(D491,diakadat!$J$2:$J$50,0),1),"")</f>
        <v/>
      </c>
      <c r="I491" t="str">
        <f>IFERROR(INDEX(diakadat!#REF!,MATCH(D491,diakadat!$J$2:$J$50,0),1),"")</f>
        <v/>
      </c>
      <c r="J491" t="str">
        <f>IFERROR(INDEX(diakadat!$K$2:$K$50,MATCH(D491,diakadat!$J$2:$J$50,0),1),"")</f>
        <v/>
      </c>
      <c r="K491" t="str" cm="1">
        <f t="array" ref="K491">IFERROR(DatumSzovegge2(INDEX(diakadat!$L$2:$L$50,MATCH(D491,diakadat!$J$2:$J$50,0),1)),"")</f>
        <v/>
      </c>
      <c r="L491" t="str" cm="1">
        <f t="array" ref="L491">IFERROR(DatumSzovegge5(INDEX(diakadat!$L$2:$L$50,MATCH(D491,diakadat!$J$2:$J$50,0),1)),"")</f>
        <v/>
      </c>
      <c r="M491" t="str" cm="1">
        <f t="array" ref="M491">IFERROR(DatumSzovegge3(INDEX(diakadat!$L$2:$L$50,MATCH(D491,diakadat!$J$2:$J$50,0),1)),"")</f>
        <v/>
      </c>
      <c r="N491" t="str" cm="1">
        <f t="array" ref="N491">IFERROR(DatumSzovegge4(INDEX(diakadat!$L$2:$L$50,MATCH(D491,diakadat!$J$2:$J$50,0),1)),"")</f>
        <v/>
      </c>
      <c r="O491" t="str">
        <f>IFERROR(INDEX(diakadat!$R$2:$R$50,MATCH(D491,diakadat!$J$2:$J$50,0),1),"")</f>
        <v/>
      </c>
      <c r="P491" t="str">
        <f>IFERROR(INDEX(diakadat!$AI$2:$AI$50,MATCH(D491,diakadat!$J$2:$J$50,0),1),"")</f>
        <v/>
      </c>
      <c r="Q491" t="str">
        <f>IFERROR(INDEX('rangsor'!$C$2:$C$343,MATCH(D491,'rangsor'!$A$2:$A$343,0),1),"")</f>
        <v/>
      </c>
      <c r="T491" t="s">
        <v>831</v>
      </c>
      <c r="U491" t="str" cm="1">
        <f t="array" ref="U491">Határozat(D491)</f>
        <v/>
      </c>
      <c r="AC491" t="str">
        <f>IFERROR(INDEX(diakadat!$U$2:$U$50,MATCH(D491,diakadat!$J$2:$J$50),1),"")</f>
        <v/>
      </c>
      <c r="AD491" t="str">
        <f>IFERROR(INDEX(diakadat!$V$2:$V$50,MATCH(D491,diakadat!$J$2:$J$50),1),"")</f>
        <v/>
      </c>
      <c r="AE491" t="str">
        <f>IFERROR(INDEX(diakadat!$W$2:$W$50,MATCH(D491,diakadat!$J$2:$J$50),1),"")</f>
        <v/>
      </c>
      <c r="AI491" t="str">
        <f>IFERROR(INDEX(diakadat!$X$2:$X$50,MATCH(D491,diakadat!$J$2:$J$50),1),"")</f>
        <v/>
      </c>
      <c r="AK491">
        <f t="shared" si="7"/>
        <v>329</v>
      </c>
      <c r="AL491" t="str" cm="1">
        <f t="array" ref="AL491">ElsoBetuNagy(R491)</f>
        <v/>
      </c>
      <c r="AO491" t="str" cm="1">
        <f t="array" ref="AO491">DatumSzovegge5(AN491)</f>
        <v>1899.</v>
      </c>
      <c r="AP491" t="str" cm="1">
        <f t="array" ref="AP491">DatumSzovegge3(AN491)</f>
        <v>december</v>
      </c>
      <c r="AQ491" t="str" cm="1">
        <f t="array" ref="AQ491">DatumSzovegge4(AN491)</f>
        <v>30.</v>
      </c>
    </row>
    <row r="492" spans="4:43" x14ac:dyDescent="0.25">
      <c r="D492" t="str" cm="1">
        <f t="array" ref="D492">SzuressNev($B$1,ROW()-1)</f>
        <v/>
      </c>
      <c r="E492">
        <f>COUNTIF($D$2:D492,D492)</f>
        <v>471</v>
      </c>
      <c r="F492" t="str" cm="1">
        <f t="array" ref="F492">ElutasitasEgyOk2(D492,E492)</f>
        <v/>
      </c>
      <c r="G492" t="str">
        <f>IFERROR(INDEX(diakadat!$I$2:$I$50,MATCH(D492,diakadat!$J$2:$J$50,0),1),"")</f>
        <v/>
      </c>
      <c r="H492" t="str">
        <f>IFERROR(INDEX(diakadat!$O$2:$O$50,MATCH(D492,diakadat!$J$2:$J$50,0),1),"")</f>
        <v/>
      </c>
      <c r="I492" t="str">
        <f>IFERROR(INDEX(diakadat!#REF!,MATCH(D492,diakadat!$J$2:$J$50,0),1),"")</f>
        <v/>
      </c>
      <c r="J492" t="str">
        <f>IFERROR(INDEX(diakadat!$K$2:$K$50,MATCH(D492,diakadat!$J$2:$J$50,0),1),"")</f>
        <v/>
      </c>
      <c r="K492" t="str" cm="1">
        <f t="array" ref="K492">IFERROR(DatumSzovegge2(INDEX(diakadat!$L$2:$L$50,MATCH(D492,diakadat!$J$2:$J$50,0),1)),"")</f>
        <v/>
      </c>
      <c r="L492" t="str" cm="1">
        <f t="array" ref="L492">IFERROR(DatumSzovegge5(INDEX(diakadat!$L$2:$L$50,MATCH(D492,diakadat!$J$2:$J$50,0),1)),"")</f>
        <v/>
      </c>
      <c r="M492" t="str" cm="1">
        <f t="array" ref="M492">IFERROR(DatumSzovegge3(INDEX(diakadat!$L$2:$L$50,MATCH(D492,diakadat!$J$2:$J$50,0),1)),"")</f>
        <v/>
      </c>
      <c r="N492" t="str" cm="1">
        <f t="array" ref="N492">IFERROR(DatumSzovegge4(INDEX(diakadat!$L$2:$L$50,MATCH(D492,diakadat!$J$2:$J$50,0),1)),"")</f>
        <v/>
      </c>
      <c r="O492" t="str">
        <f>IFERROR(INDEX(diakadat!$R$2:$R$50,MATCH(D492,diakadat!$J$2:$J$50,0),1),"")</f>
        <v/>
      </c>
      <c r="P492" t="str">
        <f>IFERROR(INDEX(diakadat!$AI$2:$AI$50,MATCH(D492,diakadat!$J$2:$J$50,0),1),"")</f>
        <v/>
      </c>
      <c r="Q492" t="str">
        <f>IFERROR(INDEX('rangsor'!$C$2:$C$343,MATCH(D492,'rangsor'!$A$2:$A$343,0),1),"")</f>
        <v/>
      </c>
      <c r="T492" t="s">
        <v>831</v>
      </c>
      <c r="U492" t="str" cm="1">
        <f t="array" ref="U492">Határozat(D492)</f>
        <v/>
      </c>
      <c r="AC492" t="str">
        <f>IFERROR(INDEX(diakadat!$U$2:$U$50,MATCH(D492,diakadat!$J$2:$J$50),1),"")</f>
        <v/>
      </c>
      <c r="AD492" t="str">
        <f>IFERROR(INDEX(diakadat!$V$2:$V$50,MATCH(D492,diakadat!$J$2:$J$50),1),"")</f>
        <v/>
      </c>
      <c r="AE492" t="str">
        <f>IFERROR(INDEX(diakadat!$W$2:$W$50,MATCH(D492,diakadat!$J$2:$J$50),1),"")</f>
        <v/>
      </c>
      <c r="AI492" t="str">
        <f>IFERROR(INDEX(diakadat!$X$2:$X$50,MATCH(D492,diakadat!$J$2:$J$50),1),"")</f>
        <v/>
      </c>
      <c r="AK492">
        <f t="shared" si="7"/>
        <v>329</v>
      </c>
      <c r="AL492" t="str" cm="1">
        <f t="array" ref="AL492">ElsoBetuNagy(R492)</f>
        <v/>
      </c>
      <c r="AO492" t="str" cm="1">
        <f t="array" ref="AO492">DatumSzovegge5(AN492)</f>
        <v>1899.</v>
      </c>
      <c r="AP492" t="str" cm="1">
        <f t="array" ref="AP492">DatumSzovegge3(AN492)</f>
        <v>december</v>
      </c>
      <c r="AQ492" t="str" cm="1">
        <f t="array" ref="AQ492">DatumSzovegge4(AN492)</f>
        <v>30.</v>
      </c>
    </row>
    <row r="493" spans="4:43" x14ac:dyDescent="0.25">
      <c r="D493" t="str" cm="1">
        <f t="array" ref="D493">SzuressNev($B$1,ROW()-1)</f>
        <v/>
      </c>
      <c r="E493">
        <f>COUNTIF($D$2:D493,D493)</f>
        <v>472</v>
      </c>
      <c r="F493" t="str" cm="1">
        <f t="array" ref="F493">ElutasitasEgyOk2(D493,E493)</f>
        <v/>
      </c>
      <c r="G493" t="str">
        <f>IFERROR(INDEX(diakadat!$I$2:$I$50,MATCH(D493,diakadat!$J$2:$J$50,0),1),"")</f>
        <v/>
      </c>
      <c r="H493" t="str">
        <f>IFERROR(INDEX(diakadat!$O$2:$O$50,MATCH(D493,diakadat!$J$2:$J$50,0),1),"")</f>
        <v/>
      </c>
      <c r="I493" t="str">
        <f>IFERROR(INDEX(diakadat!#REF!,MATCH(D493,diakadat!$J$2:$J$50,0),1),"")</f>
        <v/>
      </c>
      <c r="J493" t="str">
        <f>IFERROR(INDEX(diakadat!$K$2:$K$50,MATCH(D493,diakadat!$J$2:$J$50,0),1),"")</f>
        <v/>
      </c>
      <c r="K493" t="str" cm="1">
        <f t="array" ref="K493">IFERROR(DatumSzovegge2(INDEX(diakadat!$L$2:$L$50,MATCH(D493,diakadat!$J$2:$J$50,0),1)),"")</f>
        <v/>
      </c>
      <c r="L493" t="str" cm="1">
        <f t="array" ref="L493">IFERROR(DatumSzovegge5(INDEX(diakadat!$L$2:$L$50,MATCH(D493,diakadat!$J$2:$J$50,0),1)),"")</f>
        <v/>
      </c>
      <c r="M493" t="str" cm="1">
        <f t="array" ref="M493">IFERROR(DatumSzovegge3(INDEX(diakadat!$L$2:$L$50,MATCH(D493,diakadat!$J$2:$J$50,0),1)),"")</f>
        <v/>
      </c>
      <c r="N493" t="str" cm="1">
        <f t="array" ref="N493">IFERROR(DatumSzovegge4(INDEX(diakadat!$L$2:$L$50,MATCH(D493,diakadat!$J$2:$J$50,0),1)),"")</f>
        <v/>
      </c>
      <c r="O493" t="str">
        <f>IFERROR(INDEX(diakadat!$R$2:$R$50,MATCH(D493,diakadat!$J$2:$J$50,0),1),"")</f>
        <v/>
      </c>
      <c r="P493" t="str">
        <f>IFERROR(INDEX(diakadat!$AI$2:$AI$50,MATCH(D493,diakadat!$J$2:$J$50,0),1),"")</f>
        <v/>
      </c>
      <c r="Q493" t="str">
        <f>IFERROR(INDEX('rangsor'!$C$2:$C$343,MATCH(D493,'rangsor'!$A$2:$A$343,0),1),"")</f>
        <v/>
      </c>
      <c r="T493" t="s">
        <v>831</v>
      </c>
      <c r="U493" t="str" cm="1">
        <f t="array" ref="U493">Határozat(D493)</f>
        <v/>
      </c>
      <c r="AC493" t="str">
        <f>IFERROR(INDEX(diakadat!$U$2:$U$50,MATCH(D493,diakadat!$J$2:$J$50),1),"")</f>
        <v/>
      </c>
      <c r="AD493" t="str">
        <f>IFERROR(INDEX(diakadat!$V$2:$V$50,MATCH(D493,diakadat!$J$2:$J$50),1),"")</f>
        <v/>
      </c>
      <c r="AE493" t="str">
        <f>IFERROR(INDEX(diakadat!$W$2:$W$50,MATCH(D493,diakadat!$J$2:$J$50),1),"")</f>
        <v/>
      </c>
      <c r="AI493" t="str">
        <f>IFERROR(INDEX(diakadat!$X$2:$X$50,MATCH(D493,diakadat!$J$2:$J$50),1),"")</f>
        <v/>
      </c>
      <c r="AK493">
        <f t="shared" si="7"/>
        <v>329</v>
      </c>
      <c r="AL493" t="str" cm="1">
        <f t="array" ref="AL493">ElsoBetuNagy(R493)</f>
        <v/>
      </c>
      <c r="AO493" t="str" cm="1">
        <f t="array" ref="AO493">DatumSzovegge5(AN493)</f>
        <v>1899.</v>
      </c>
      <c r="AP493" t="str" cm="1">
        <f t="array" ref="AP493">DatumSzovegge3(AN493)</f>
        <v>december</v>
      </c>
      <c r="AQ493" t="str" cm="1">
        <f t="array" ref="AQ493">DatumSzovegge4(AN493)</f>
        <v>30.</v>
      </c>
    </row>
    <row r="494" spans="4:43" x14ac:dyDescent="0.25">
      <c r="D494" t="str" cm="1">
        <f t="array" ref="D494">SzuressNev($B$1,ROW()-1)</f>
        <v/>
      </c>
      <c r="E494">
        <f>COUNTIF($D$2:D494,D494)</f>
        <v>473</v>
      </c>
      <c r="F494" t="str" cm="1">
        <f t="array" ref="F494">ElutasitasEgyOk2(D494,E494)</f>
        <v/>
      </c>
      <c r="G494" t="str">
        <f>IFERROR(INDEX(diakadat!$I$2:$I$50,MATCH(D494,diakadat!$J$2:$J$50,0),1),"")</f>
        <v/>
      </c>
      <c r="H494" t="str">
        <f>IFERROR(INDEX(diakadat!$O$2:$O$50,MATCH(D494,diakadat!$J$2:$J$50,0),1),"")</f>
        <v/>
      </c>
      <c r="I494" t="str">
        <f>IFERROR(INDEX(diakadat!#REF!,MATCH(D494,diakadat!$J$2:$J$50,0),1),"")</f>
        <v/>
      </c>
      <c r="J494" t="str">
        <f>IFERROR(INDEX(diakadat!$K$2:$K$50,MATCH(D494,diakadat!$J$2:$J$50,0),1),"")</f>
        <v/>
      </c>
      <c r="K494" t="str" cm="1">
        <f t="array" ref="K494">IFERROR(DatumSzovegge2(INDEX(diakadat!$L$2:$L$50,MATCH(D494,diakadat!$J$2:$J$50,0),1)),"")</f>
        <v/>
      </c>
      <c r="L494" t="str" cm="1">
        <f t="array" ref="L494">IFERROR(DatumSzovegge5(INDEX(diakadat!$L$2:$L$50,MATCH(D494,diakadat!$J$2:$J$50,0),1)),"")</f>
        <v/>
      </c>
      <c r="M494" t="str" cm="1">
        <f t="array" ref="M494">IFERROR(DatumSzovegge3(INDEX(diakadat!$L$2:$L$50,MATCH(D494,diakadat!$J$2:$J$50,0),1)),"")</f>
        <v/>
      </c>
      <c r="N494" t="str" cm="1">
        <f t="array" ref="N494">IFERROR(DatumSzovegge4(INDEX(diakadat!$L$2:$L$50,MATCH(D494,diakadat!$J$2:$J$50,0),1)),"")</f>
        <v/>
      </c>
      <c r="O494" t="str">
        <f>IFERROR(INDEX(diakadat!$R$2:$R$50,MATCH(D494,diakadat!$J$2:$J$50,0),1),"")</f>
        <v/>
      </c>
      <c r="P494" t="str">
        <f>IFERROR(INDEX(diakadat!$AI$2:$AI$50,MATCH(D494,diakadat!$J$2:$J$50,0),1),"")</f>
        <v/>
      </c>
      <c r="Q494" t="str">
        <f>IFERROR(INDEX('rangsor'!$C$2:$C$343,MATCH(D494,'rangsor'!$A$2:$A$343,0),1),"")</f>
        <v/>
      </c>
      <c r="T494" t="s">
        <v>831</v>
      </c>
      <c r="U494" t="str" cm="1">
        <f t="array" ref="U494">Határozat(D494)</f>
        <v/>
      </c>
      <c r="AC494" t="str">
        <f>IFERROR(INDEX(diakadat!$U$2:$U$50,MATCH(D494,diakadat!$J$2:$J$50),1),"")</f>
        <v/>
      </c>
      <c r="AD494" t="str">
        <f>IFERROR(INDEX(diakadat!$V$2:$V$50,MATCH(D494,diakadat!$J$2:$J$50),1),"")</f>
        <v/>
      </c>
      <c r="AE494" t="str">
        <f>IFERROR(INDEX(diakadat!$W$2:$W$50,MATCH(D494,diakadat!$J$2:$J$50),1),"")</f>
        <v/>
      </c>
      <c r="AI494" t="str">
        <f>IFERROR(INDEX(diakadat!$X$2:$X$50,MATCH(D494,diakadat!$J$2:$J$50),1),"")</f>
        <v/>
      </c>
      <c r="AK494">
        <f t="shared" si="7"/>
        <v>329</v>
      </c>
      <c r="AL494" t="str" cm="1">
        <f t="array" ref="AL494">ElsoBetuNagy(R494)</f>
        <v/>
      </c>
      <c r="AO494" t="str" cm="1">
        <f t="array" ref="AO494">DatumSzovegge5(AN494)</f>
        <v>1899.</v>
      </c>
      <c r="AP494" t="str" cm="1">
        <f t="array" ref="AP494">DatumSzovegge3(AN494)</f>
        <v>december</v>
      </c>
      <c r="AQ494" t="str" cm="1">
        <f t="array" ref="AQ494">DatumSzovegge4(AN494)</f>
        <v>30.</v>
      </c>
    </row>
    <row r="495" spans="4:43" x14ac:dyDescent="0.25">
      <c r="D495" t="str" cm="1">
        <f t="array" ref="D495">SzuressNev($B$1,ROW()-1)</f>
        <v/>
      </c>
      <c r="E495">
        <f>COUNTIF($D$2:D495,D495)</f>
        <v>474</v>
      </c>
      <c r="F495" t="str" cm="1">
        <f t="array" ref="F495">ElutasitasEgyOk2(D495,E495)</f>
        <v/>
      </c>
      <c r="G495" t="str">
        <f>IFERROR(INDEX(diakadat!$I$2:$I$50,MATCH(D495,diakadat!$J$2:$J$50,0),1),"")</f>
        <v/>
      </c>
      <c r="H495" t="str">
        <f>IFERROR(INDEX(diakadat!$O$2:$O$50,MATCH(D495,diakadat!$J$2:$J$50,0),1),"")</f>
        <v/>
      </c>
      <c r="I495" t="str">
        <f>IFERROR(INDEX(diakadat!#REF!,MATCH(D495,diakadat!$J$2:$J$50,0),1),"")</f>
        <v/>
      </c>
      <c r="J495" t="str">
        <f>IFERROR(INDEX(diakadat!$K$2:$K$50,MATCH(D495,diakadat!$J$2:$J$50,0),1),"")</f>
        <v/>
      </c>
      <c r="K495" t="str" cm="1">
        <f t="array" ref="K495">IFERROR(DatumSzovegge2(INDEX(diakadat!$L$2:$L$50,MATCH(D495,diakadat!$J$2:$J$50,0),1)),"")</f>
        <v/>
      </c>
      <c r="L495" t="str" cm="1">
        <f t="array" ref="L495">IFERROR(DatumSzovegge5(INDEX(diakadat!$L$2:$L$50,MATCH(D495,diakadat!$J$2:$J$50,0),1)),"")</f>
        <v/>
      </c>
      <c r="M495" t="str" cm="1">
        <f t="array" ref="M495">IFERROR(DatumSzovegge3(INDEX(diakadat!$L$2:$L$50,MATCH(D495,diakadat!$J$2:$J$50,0),1)),"")</f>
        <v/>
      </c>
      <c r="N495" t="str" cm="1">
        <f t="array" ref="N495">IFERROR(DatumSzovegge4(INDEX(diakadat!$L$2:$L$50,MATCH(D495,diakadat!$J$2:$J$50,0),1)),"")</f>
        <v/>
      </c>
      <c r="O495" t="str">
        <f>IFERROR(INDEX(diakadat!$R$2:$R$50,MATCH(D495,diakadat!$J$2:$J$50,0),1),"")</f>
        <v/>
      </c>
      <c r="P495" t="str">
        <f>IFERROR(INDEX(diakadat!$AI$2:$AI$50,MATCH(D495,diakadat!$J$2:$J$50,0),1),"")</f>
        <v/>
      </c>
      <c r="Q495" t="str">
        <f>IFERROR(INDEX('rangsor'!$C$2:$C$343,MATCH(D495,'rangsor'!$A$2:$A$343,0),1),"")</f>
        <v/>
      </c>
      <c r="T495" t="s">
        <v>831</v>
      </c>
      <c r="U495" t="str" cm="1">
        <f t="array" ref="U495">Határozat(D495)</f>
        <v/>
      </c>
      <c r="AC495" t="str">
        <f>IFERROR(INDEX(diakadat!$U$2:$U$50,MATCH(D495,diakadat!$J$2:$J$50),1),"")</f>
        <v/>
      </c>
      <c r="AD495" t="str">
        <f>IFERROR(INDEX(diakadat!$V$2:$V$50,MATCH(D495,diakadat!$J$2:$J$50),1),"")</f>
        <v/>
      </c>
      <c r="AE495" t="str">
        <f>IFERROR(INDEX(diakadat!$W$2:$W$50,MATCH(D495,diakadat!$J$2:$J$50),1),"")</f>
        <v/>
      </c>
      <c r="AI495" t="str">
        <f>IFERROR(INDEX(diakadat!$X$2:$X$50,MATCH(D495,diakadat!$J$2:$J$50),1),"")</f>
        <v/>
      </c>
      <c r="AK495">
        <f t="shared" si="7"/>
        <v>329</v>
      </c>
      <c r="AL495" t="str" cm="1">
        <f t="array" ref="AL495">ElsoBetuNagy(R495)</f>
        <v/>
      </c>
      <c r="AO495" t="str" cm="1">
        <f t="array" ref="AO495">DatumSzovegge5(AN495)</f>
        <v>1899.</v>
      </c>
      <c r="AP495" t="str" cm="1">
        <f t="array" ref="AP495">DatumSzovegge3(AN495)</f>
        <v>december</v>
      </c>
      <c r="AQ495" t="str" cm="1">
        <f t="array" ref="AQ495">DatumSzovegge4(AN495)</f>
        <v>30.</v>
      </c>
    </row>
    <row r="496" spans="4:43" x14ac:dyDescent="0.25">
      <c r="D496" t="str" cm="1">
        <f t="array" ref="D496">SzuressNev($B$1,ROW()-1)</f>
        <v/>
      </c>
      <c r="E496">
        <f>COUNTIF($D$2:D496,D496)</f>
        <v>475</v>
      </c>
      <c r="F496" t="str" cm="1">
        <f t="array" ref="F496">ElutasitasEgyOk2(D496,E496)</f>
        <v/>
      </c>
      <c r="G496" t="str">
        <f>IFERROR(INDEX(diakadat!$I$2:$I$50,MATCH(D496,diakadat!$J$2:$J$50,0),1),"")</f>
        <v/>
      </c>
      <c r="H496" t="str">
        <f>IFERROR(INDEX(diakadat!$O$2:$O$50,MATCH(D496,diakadat!$J$2:$J$50,0),1),"")</f>
        <v/>
      </c>
      <c r="I496" t="str">
        <f>IFERROR(INDEX(diakadat!#REF!,MATCH(D496,diakadat!$J$2:$J$50,0),1),"")</f>
        <v/>
      </c>
      <c r="J496" t="str">
        <f>IFERROR(INDEX(diakadat!$K$2:$K$50,MATCH(D496,diakadat!$J$2:$J$50,0),1),"")</f>
        <v/>
      </c>
      <c r="K496" t="str" cm="1">
        <f t="array" ref="K496">IFERROR(DatumSzovegge2(INDEX(diakadat!$L$2:$L$50,MATCH(D496,diakadat!$J$2:$J$50,0),1)),"")</f>
        <v/>
      </c>
      <c r="L496" t="str" cm="1">
        <f t="array" ref="L496">IFERROR(DatumSzovegge5(INDEX(diakadat!$L$2:$L$50,MATCH(D496,diakadat!$J$2:$J$50,0),1)),"")</f>
        <v/>
      </c>
      <c r="M496" t="str" cm="1">
        <f t="array" ref="M496">IFERROR(DatumSzovegge3(INDEX(diakadat!$L$2:$L$50,MATCH(D496,diakadat!$J$2:$J$50,0),1)),"")</f>
        <v/>
      </c>
      <c r="N496" t="str" cm="1">
        <f t="array" ref="N496">IFERROR(DatumSzovegge4(INDEX(diakadat!$L$2:$L$50,MATCH(D496,diakadat!$J$2:$J$50,0),1)),"")</f>
        <v/>
      </c>
      <c r="O496" t="str">
        <f>IFERROR(INDEX(diakadat!$R$2:$R$50,MATCH(D496,diakadat!$J$2:$J$50,0),1),"")</f>
        <v/>
      </c>
      <c r="P496" t="str">
        <f>IFERROR(INDEX(diakadat!$AI$2:$AI$50,MATCH(D496,diakadat!$J$2:$J$50,0),1),"")</f>
        <v/>
      </c>
      <c r="Q496" t="str">
        <f>IFERROR(INDEX('rangsor'!$C$2:$C$343,MATCH(D496,'rangsor'!$A$2:$A$343,0),1),"")</f>
        <v/>
      </c>
      <c r="T496" t="s">
        <v>831</v>
      </c>
      <c r="U496" t="str" cm="1">
        <f t="array" ref="U496">Határozat(D496)</f>
        <v/>
      </c>
      <c r="AC496" t="str">
        <f>IFERROR(INDEX(diakadat!$U$2:$U$50,MATCH(D496,diakadat!$J$2:$J$50),1),"")</f>
        <v/>
      </c>
      <c r="AD496" t="str">
        <f>IFERROR(INDEX(diakadat!$V$2:$V$50,MATCH(D496,diakadat!$J$2:$J$50),1),"")</f>
        <v/>
      </c>
      <c r="AE496" t="str">
        <f>IFERROR(INDEX(diakadat!$W$2:$W$50,MATCH(D496,diakadat!$J$2:$J$50),1),"")</f>
        <v/>
      </c>
      <c r="AI496" t="str">
        <f>IFERROR(INDEX(diakadat!$X$2:$X$50,MATCH(D496,diakadat!$J$2:$J$50),1),"")</f>
        <v/>
      </c>
      <c r="AK496">
        <f t="shared" si="7"/>
        <v>329</v>
      </c>
      <c r="AL496" t="str" cm="1">
        <f t="array" ref="AL496">ElsoBetuNagy(R496)</f>
        <v/>
      </c>
      <c r="AO496" t="str" cm="1">
        <f t="array" ref="AO496">DatumSzovegge5(AN496)</f>
        <v>1899.</v>
      </c>
      <c r="AP496" t="str" cm="1">
        <f t="array" ref="AP496">DatumSzovegge3(AN496)</f>
        <v>december</v>
      </c>
      <c r="AQ496" t="str" cm="1">
        <f t="array" ref="AQ496">DatumSzovegge4(AN496)</f>
        <v>30.</v>
      </c>
    </row>
    <row r="497" spans="4:43" x14ac:dyDescent="0.25">
      <c r="D497" t="str" cm="1">
        <f t="array" ref="D497">SzuressNev($B$1,ROW()-1)</f>
        <v/>
      </c>
      <c r="E497">
        <f>COUNTIF($D$2:D593,D497)</f>
        <v>572</v>
      </c>
      <c r="F497" t="str" cm="1">
        <f t="array" ref="F497">ElutasitasEgyOk2(D497,E497)</f>
        <v/>
      </c>
      <c r="G497" t="str">
        <f>IFERROR(INDEX(diakadat!$I$2:$I$50,MATCH(D497,diakadat!$J$2:$J$50,0),1),"")</f>
        <v/>
      </c>
      <c r="H497" t="str">
        <f>IFERROR(INDEX(diakadat!$O$2:$O$50,MATCH(D497,diakadat!$J$2:$J$50,0),1),"")</f>
        <v/>
      </c>
      <c r="I497" t="str">
        <f>IFERROR(INDEX(diakadat!#REF!,MATCH(D497,diakadat!$J$2:$J$50,0),1),"")</f>
        <v/>
      </c>
      <c r="J497" t="str">
        <f>IFERROR(INDEX(diakadat!$K$2:$K$50,MATCH(D497,diakadat!$J$2:$J$50,0),1),"")</f>
        <v/>
      </c>
      <c r="K497" t="str" cm="1">
        <f t="array" ref="K497">IFERROR(DatumSzovegge2(INDEX(diakadat!$L$2:$L$50,MATCH(D497,diakadat!$J$2:$J$50,0),1)),"")</f>
        <v/>
      </c>
      <c r="L497" t="str" cm="1">
        <f t="array" ref="L497">IFERROR(DatumSzovegge5(INDEX(diakadat!$L$2:$L$50,MATCH(D497,diakadat!$J$2:$J$50,0),1)),"")</f>
        <v/>
      </c>
      <c r="M497" t="str" cm="1">
        <f t="array" ref="M497">IFERROR(DatumSzovegge3(INDEX(diakadat!$L$2:$L$50,MATCH(D497,diakadat!$J$2:$J$50,0),1)),"")</f>
        <v/>
      </c>
      <c r="N497" t="str" cm="1">
        <f t="array" ref="N497">IFERROR(DatumSzovegge4(INDEX(diakadat!$L$2:$L$50,MATCH(D497,diakadat!$J$2:$J$50,0),1)),"")</f>
        <v/>
      </c>
      <c r="O497" t="str">
        <f>IFERROR(INDEX(diakadat!$R$2:$R$50,MATCH(D497,diakadat!$J$2:$J$50,0),1),"")</f>
        <v/>
      </c>
      <c r="P497" t="str">
        <f>IFERROR(INDEX(diakadat!$AI$2:$AI$50,MATCH(D497,diakadat!$J$2:$J$50,0),1),"")</f>
        <v/>
      </c>
      <c r="Q497" t="str">
        <f>IFERROR(INDEX('rangsor'!$C$2:$C$343,MATCH(D497,'rangsor'!$A$2:$A$343,0),1),"")</f>
        <v/>
      </c>
      <c r="T497" t="s">
        <v>831</v>
      </c>
      <c r="U497" t="str" cm="1">
        <f t="array" ref="U497">Határozat(D497)</f>
        <v/>
      </c>
      <c r="AC497" t="str">
        <f>IFERROR(INDEX(diakadat!$U$2:$U$50,MATCH(D497,diakadat!$J$2:$J$50),1),"")</f>
        <v/>
      </c>
      <c r="AD497" t="str">
        <f>IFERROR(INDEX(diakadat!$V$2:$V$50,MATCH(D497,diakadat!$J$2:$J$50),1),"")</f>
        <v/>
      </c>
      <c r="AE497" t="str">
        <f>IFERROR(INDEX(diakadat!$W$2:$W$50,MATCH(D497,diakadat!$J$2:$J$50),1),"")</f>
        <v/>
      </c>
      <c r="AI497" t="str">
        <f>IFERROR(INDEX(diakadat!$X$2:$X$50,MATCH(D497,diakadat!$J$2:$J$50),1),"")</f>
        <v/>
      </c>
      <c r="AK497">
        <f t="shared" si="7"/>
        <v>329</v>
      </c>
      <c r="AL497" t="str" cm="1">
        <f t="array" ref="AL497">ElsoBetuNagy(R497)</f>
        <v/>
      </c>
      <c r="AO497" t="str" cm="1">
        <f t="array" ref="AO497">DatumSzovegge5(AN497)</f>
        <v>1899.</v>
      </c>
      <c r="AP497" t="str" cm="1">
        <f t="array" ref="AP497">DatumSzovegge3(AN497)</f>
        <v>december</v>
      </c>
      <c r="AQ497" t="str" cm="1">
        <f t="array" ref="AQ497">DatumSzovegge4(AN497)</f>
        <v>30.</v>
      </c>
    </row>
    <row r="498" spans="4:43" x14ac:dyDescent="0.25">
      <c r="D498" t="str" cm="1">
        <f t="array" ref="D498">SzuressNev($B$1,ROW()-1)</f>
        <v/>
      </c>
      <c r="E498">
        <f>COUNTIF($D$2:D498,D498)</f>
        <v>477</v>
      </c>
      <c r="F498" t="str" cm="1">
        <f t="array" ref="F498">ElutasitasEgyOk2(D498,E498)</f>
        <v/>
      </c>
      <c r="G498" t="str">
        <f>IFERROR(INDEX(diakadat!$I$2:$I$50,MATCH(D498,diakadat!$J$2:$J$50,0),1),"")</f>
        <v/>
      </c>
      <c r="H498" t="str">
        <f>IFERROR(INDEX(diakadat!$O$2:$O$50,MATCH(D498,diakadat!$J$2:$J$50,0),1),"")</f>
        <v/>
      </c>
      <c r="I498" t="str">
        <f>IFERROR(INDEX(diakadat!#REF!,MATCH(D498,diakadat!$J$2:$J$50,0),1),"")</f>
        <v/>
      </c>
      <c r="J498" t="str">
        <f>IFERROR(INDEX(diakadat!$K$2:$K$50,MATCH(D498,diakadat!$J$2:$J$50,0),1),"")</f>
        <v/>
      </c>
      <c r="K498" t="str" cm="1">
        <f t="array" ref="K498">IFERROR(DatumSzovegge2(INDEX(diakadat!$L$2:$L$50,MATCH(D498,diakadat!$J$2:$J$50,0),1)),"")</f>
        <v/>
      </c>
      <c r="L498" t="str" cm="1">
        <f t="array" ref="L498">IFERROR(DatumSzovegge5(INDEX(diakadat!$L$2:$L$50,MATCH(D498,diakadat!$J$2:$J$50,0),1)),"")</f>
        <v/>
      </c>
      <c r="M498" t="str" cm="1">
        <f t="array" ref="M498">IFERROR(DatumSzovegge3(INDEX(diakadat!$L$2:$L$50,MATCH(D498,diakadat!$J$2:$J$50,0),1)),"")</f>
        <v/>
      </c>
      <c r="N498" t="str" cm="1">
        <f t="array" ref="N498">IFERROR(DatumSzovegge4(INDEX(diakadat!$L$2:$L$50,MATCH(D498,diakadat!$J$2:$J$50,0),1)),"")</f>
        <v/>
      </c>
      <c r="O498" t="str">
        <f>IFERROR(INDEX(diakadat!$R$2:$R$50,MATCH(D498,diakadat!$J$2:$J$50,0),1),"")</f>
        <v/>
      </c>
      <c r="P498" t="str">
        <f>IFERROR(INDEX(diakadat!$AI$2:$AI$50,MATCH(D498,diakadat!$J$2:$J$50,0),1),"")</f>
        <v/>
      </c>
      <c r="Q498" t="str">
        <f>IFERROR(INDEX('rangsor'!$C$2:$C$343,MATCH(D498,'rangsor'!$A$2:$A$343,0),1),"")</f>
        <v/>
      </c>
      <c r="T498" t="s">
        <v>831</v>
      </c>
      <c r="U498" t="str" cm="1">
        <f t="array" ref="U498">Határozat(D498)</f>
        <v/>
      </c>
      <c r="AC498" t="str">
        <f>IFERROR(INDEX(diakadat!$U$2:$U$50,MATCH(D498,diakadat!$J$2:$J$50),1),"")</f>
        <v/>
      </c>
      <c r="AD498" t="str">
        <f>IFERROR(INDEX(diakadat!$V$2:$V$50,MATCH(D498,diakadat!$J$2:$J$50),1),"")</f>
        <v/>
      </c>
      <c r="AE498" t="str">
        <f>IFERROR(INDEX(diakadat!$W$2:$W$50,MATCH(D498,diakadat!$J$2:$J$50),1),"")</f>
        <v/>
      </c>
      <c r="AI498" t="str">
        <f>IFERROR(INDEX(diakadat!$X$2:$X$50,MATCH(D498,diakadat!$J$2:$J$50),1),"")</f>
        <v/>
      </c>
      <c r="AK498">
        <f t="shared" si="7"/>
        <v>329</v>
      </c>
      <c r="AL498" t="str" cm="1">
        <f t="array" ref="AL498">ElsoBetuNagy(R498)</f>
        <v/>
      </c>
      <c r="AO498" t="str" cm="1">
        <f t="array" ref="AO498">DatumSzovegge5(AN498)</f>
        <v>1899.</v>
      </c>
      <c r="AP498" t="str" cm="1">
        <f t="array" ref="AP498">DatumSzovegge3(AN498)</f>
        <v>december</v>
      </c>
      <c r="AQ498" t="str" cm="1">
        <f t="array" ref="AQ498">DatumSzovegge4(AN498)</f>
        <v>30.</v>
      </c>
    </row>
    <row r="499" spans="4:43" x14ac:dyDescent="0.25">
      <c r="D499" t="str" cm="1">
        <f t="array" ref="D499">SzuressNev($B$1,ROW()-1)</f>
        <v/>
      </c>
      <c r="E499">
        <f>COUNTIF($D$2:D499,D499)</f>
        <v>478</v>
      </c>
      <c r="F499" t="str" cm="1">
        <f t="array" ref="F499">ElutasitasEgyOk2(D499,E499)</f>
        <v/>
      </c>
      <c r="G499" t="str">
        <f>IFERROR(INDEX(diakadat!$I$2:$I$50,MATCH(D499,diakadat!$J$2:$J$50,0),1),"")</f>
        <v/>
      </c>
      <c r="H499" t="str">
        <f>IFERROR(INDEX(diakadat!$O$2:$O$50,MATCH(D499,diakadat!$J$2:$J$50,0),1),"")</f>
        <v/>
      </c>
      <c r="I499" t="str">
        <f>IFERROR(INDEX(diakadat!#REF!,MATCH(D499,diakadat!$J$2:$J$50,0),1),"")</f>
        <v/>
      </c>
      <c r="J499" t="str">
        <f>IFERROR(INDEX(diakadat!$K$2:$K$50,MATCH(D499,diakadat!$J$2:$J$50,0),1),"")</f>
        <v/>
      </c>
      <c r="K499" t="str" cm="1">
        <f t="array" ref="K499">IFERROR(DatumSzovegge2(INDEX(diakadat!$L$2:$L$50,MATCH(D499,diakadat!$J$2:$J$50,0),1)),"")</f>
        <v/>
      </c>
      <c r="L499" t="str" cm="1">
        <f t="array" ref="L499">IFERROR(DatumSzovegge5(INDEX(diakadat!$L$2:$L$50,MATCH(D499,diakadat!$J$2:$J$50,0),1)),"")</f>
        <v/>
      </c>
      <c r="M499" t="str" cm="1">
        <f t="array" ref="M499">IFERROR(DatumSzovegge3(INDEX(diakadat!$L$2:$L$50,MATCH(D499,diakadat!$J$2:$J$50,0),1)),"")</f>
        <v/>
      </c>
      <c r="N499" t="str" cm="1">
        <f t="array" ref="N499">IFERROR(DatumSzovegge4(INDEX(diakadat!$L$2:$L$50,MATCH(D499,diakadat!$J$2:$J$50,0),1)),"")</f>
        <v/>
      </c>
      <c r="O499" t="str">
        <f>IFERROR(INDEX(diakadat!$R$2:$R$50,MATCH(D499,diakadat!$J$2:$J$50,0),1),"")</f>
        <v/>
      </c>
      <c r="P499" t="str">
        <f>IFERROR(INDEX(diakadat!$AI$2:$AI$50,MATCH(D499,diakadat!$J$2:$J$50,0),1),"")</f>
        <v/>
      </c>
      <c r="Q499" t="str">
        <f>IFERROR(INDEX('rangsor'!$C$2:$C$343,MATCH(D499,'rangsor'!$A$2:$A$343,0),1),"")</f>
        <v/>
      </c>
      <c r="T499" t="s">
        <v>831</v>
      </c>
      <c r="U499" t="str" cm="1">
        <f t="array" ref="U499">Határozat(D499)</f>
        <v/>
      </c>
      <c r="AC499" t="str">
        <f>IFERROR(INDEX(diakadat!$U$2:$U$50,MATCH(D499,diakadat!$J$2:$J$50),1),"")</f>
        <v/>
      </c>
      <c r="AD499" t="str">
        <f>IFERROR(INDEX(diakadat!$V$2:$V$50,MATCH(D499,diakadat!$J$2:$J$50),1),"")</f>
        <v/>
      </c>
      <c r="AE499" t="str">
        <f>IFERROR(INDEX(diakadat!$W$2:$W$50,MATCH(D499,diakadat!$J$2:$J$50),1),"")</f>
        <v/>
      </c>
      <c r="AI499" t="str">
        <f>IFERROR(INDEX(diakadat!$X$2:$X$50,MATCH(D499,diakadat!$J$2:$J$50),1),"")</f>
        <v/>
      </c>
      <c r="AK499">
        <f t="shared" si="7"/>
        <v>329</v>
      </c>
      <c r="AL499" t="str" cm="1">
        <f t="array" ref="AL499">ElsoBetuNagy(R499)</f>
        <v/>
      </c>
      <c r="AO499" t="str" cm="1">
        <f t="array" ref="AO499">DatumSzovegge5(AN499)</f>
        <v>1899.</v>
      </c>
      <c r="AP499" t="str" cm="1">
        <f t="array" ref="AP499">DatumSzovegge3(AN499)</f>
        <v>december</v>
      </c>
      <c r="AQ499" t="str" cm="1">
        <f t="array" ref="AQ499">DatumSzovegge4(AN499)</f>
        <v>30.</v>
      </c>
    </row>
    <row r="500" spans="4:43" x14ac:dyDescent="0.25">
      <c r="D500" t="str" cm="1">
        <f t="array" ref="D500">SzuressNev($B$1,ROW()-1)</f>
        <v/>
      </c>
      <c r="E500">
        <f>COUNTIF($D$2:D500,D500)</f>
        <v>479</v>
      </c>
      <c r="F500" t="str" cm="1">
        <f t="array" ref="F500">ElutasitasEgyOk2(D500,E500)</f>
        <v/>
      </c>
      <c r="G500" t="str">
        <f>IFERROR(INDEX(diakadat!$I$2:$I$50,MATCH(D500,diakadat!$J$2:$J$50,0),1),"")</f>
        <v/>
      </c>
      <c r="H500" t="str">
        <f>IFERROR(INDEX(diakadat!$O$2:$O$50,MATCH(D500,diakadat!$J$2:$J$50,0),1),"")</f>
        <v/>
      </c>
      <c r="I500" t="str">
        <f>IFERROR(INDEX(diakadat!#REF!,MATCH(D500,diakadat!$J$2:$J$50,0),1),"")</f>
        <v/>
      </c>
      <c r="J500" t="str">
        <f>IFERROR(INDEX(diakadat!$K$2:$K$50,MATCH(D500,diakadat!$J$2:$J$50,0),1),"")</f>
        <v/>
      </c>
      <c r="K500" t="str" cm="1">
        <f t="array" ref="K500">IFERROR(DatumSzovegge2(INDEX(diakadat!$L$2:$L$50,MATCH(D500,diakadat!$J$2:$J$50,0),1)),"")</f>
        <v/>
      </c>
      <c r="L500" t="str" cm="1">
        <f t="array" ref="L500">IFERROR(DatumSzovegge5(INDEX(diakadat!$L$2:$L$50,MATCH(D500,diakadat!$J$2:$J$50,0),1)),"")</f>
        <v/>
      </c>
      <c r="M500" t="str" cm="1">
        <f t="array" ref="M500">IFERROR(DatumSzovegge3(INDEX(diakadat!$L$2:$L$50,MATCH(D500,diakadat!$J$2:$J$50,0),1)),"")</f>
        <v/>
      </c>
      <c r="N500" t="str" cm="1">
        <f t="array" ref="N500">IFERROR(DatumSzovegge4(INDEX(diakadat!$L$2:$L$50,MATCH(D500,diakadat!$J$2:$J$50,0),1)),"")</f>
        <v/>
      </c>
      <c r="O500" t="str">
        <f>IFERROR(INDEX(diakadat!$R$2:$R$50,MATCH(D500,diakadat!$J$2:$J$50,0),1),"")</f>
        <v/>
      </c>
      <c r="P500" t="str">
        <f>IFERROR(INDEX(diakadat!$AI$2:$AI$50,MATCH(D500,diakadat!$J$2:$J$50,0),1),"")</f>
        <v/>
      </c>
      <c r="Q500" t="str">
        <f>IFERROR(INDEX('rangsor'!$C$2:$C$343,MATCH(D500,'rangsor'!$A$2:$A$343,0),1),"")</f>
        <v/>
      </c>
      <c r="T500" t="s">
        <v>831</v>
      </c>
      <c r="U500" t="str" cm="1">
        <f t="array" ref="U500">Határozat(D500)</f>
        <v/>
      </c>
      <c r="AC500" t="str">
        <f>IFERROR(INDEX(diakadat!$U$2:$U$50,MATCH(D500,diakadat!$J$2:$J$50),1),"")</f>
        <v/>
      </c>
      <c r="AD500" t="str">
        <f>IFERROR(INDEX(diakadat!$V$2:$V$50,MATCH(D500,diakadat!$J$2:$J$50),1),"")</f>
        <v/>
      </c>
      <c r="AE500" t="str">
        <f>IFERROR(INDEX(diakadat!$W$2:$W$50,MATCH(D500,diakadat!$J$2:$J$50),1),"")</f>
        <v/>
      </c>
      <c r="AI500" t="str">
        <f>IFERROR(INDEX(diakadat!$X$2:$X$50,MATCH(D500,diakadat!$J$2:$J$50),1),"")</f>
        <v/>
      </c>
      <c r="AK500">
        <f t="shared" si="7"/>
        <v>329</v>
      </c>
      <c r="AL500" t="str" cm="1">
        <f t="array" ref="AL500">ElsoBetuNagy(R500)</f>
        <v/>
      </c>
      <c r="AO500" t="str" cm="1">
        <f t="array" ref="AO500">DatumSzovegge5(AN500)</f>
        <v>1899.</v>
      </c>
      <c r="AP500" t="str" cm="1">
        <f t="array" ref="AP500">DatumSzovegge3(AN500)</f>
        <v>december</v>
      </c>
      <c r="AQ500" t="str" cm="1">
        <f t="array" ref="AQ500">DatumSzovegge4(AN500)</f>
        <v>30.</v>
      </c>
    </row>
    <row r="501" spans="4:43" x14ac:dyDescent="0.25">
      <c r="D501" t="str" cm="1">
        <f t="array" ref="D501">SzuressNev($B$1,ROW()-1)</f>
        <v/>
      </c>
      <c r="E501">
        <f>COUNTIF($D$2:D501,D501)</f>
        <v>480</v>
      </c>
      <c r="F501" t="str" cm="1">
        <f t="array" ref="F501">ElutasitasEgyOk2(D501,E501)</f>
        <v/>
      </c>
      <c r="G501" t="str">
        <f>IFERROR(INDEX(diakadat!$I$2:$I$50,MATCH(D501,diakadat!$J$2:$J$50,0),1),"")</f>
        <v/>
      </c>
      <c r="H501" t="str">
        <f>IFERROR(INDEX(diakadat!$O$2:$O$50,MATCH(D501,diakadat!$J$2:$J$50,0),1),"")</f>
        <v/>
      </c>
      <c r="I501" t="str">
        <f>IFERROR(INDEX(diakadat!#REF!,MATCH(D501,diakadat!$J$2:$J$50,0),1),"")</f>
        <v/>
      </c>
      <c r="J501" t="str">
        <f>IFERROR(INDEX(diakadat!$K$2:$K$50,MATCH(D501,diakadat!$J$2:$J$50,0),1),"")</f>
        <v/>
      </c>
      <c r="K501" t="str" cm="1">
        <f t="array" ref="K501">IFERROR(DatumSzovegge2(INDEX(diakadat!$L$2:$L$50,MATCH(D501,diakadat!$J$2:$J$50,0),1)),"")</f>
        <v/>
      </c>
      <c r="L501" t="str" cm="1">
        <f t="array" ref="L501">IFERROR(DatumSzovegge5(INDEX(diakadat!$L$2:$L$50,MATCH(D501,diakadat!$J$2:$J$50,0),1)),"")</f>
        <v/>
      </c>
      <c r="M501" t="str" cm="1">
        <f t="array" ref="M501">IFERROR(DatumSzovegge3(INDEX(diakadat!$L$2:$L$50,MATCH(D501,diakadat!$J$2:$J$50,0),1)),"")</f>
        <v/>
      </c>
      <c r="N501" t="str" cm="1">
        <f t="array" ref="N501">IFERROR(DatumSzovegge4(INDEX(diakadat!$L$2:$L$50,MATCH(D501,diakadat!$J$2:$J$50,0),1)),"")</f>
        <v/>
      </c>
      <c r="O501" t="str">
        <f>IFERROR(INDEX(diakadat!$R$2:$R$50,MATCH(D501,diakadat!$J$2:$J$50,0),1),"")</f>
        <v/>
      </c>
      <c r="P501" t="str">
        <f>IFERROR(INDEX(diakadat!$AI$2:$AI$50,MATCH(D501,diakadat!$J$2:$J$50,0),1),"")</f>
        <v/>
      </c>
      <c r="Q501" t="str">
        <f>IFERROR(INDEX('rangsor'!$C$2:$C$343,MATCH(D501,'rangsor'!$A$2:$A$343,0),1),"")</f>
        <v/>
      </c>
      <c r="T501" t="s">
        <v>831</v>
      </c>
      <c r="U501" t="str" cm="1">
        <f t="array" ref="U501">Határozat(D501)</f>
        <v/>
      </c>
      <c r="AC501" t="str">
        <f>IFERROR(INDEX(diakadat!$U$2:$U$50,MATCH(D501,diakadat!$J$2:$J$50),1),"")</f>
        <v/>
      </c>
      <c r="AD501" t="str">
        <f>IFERROR(INDEX(diakadat!$V$2:$V$50,MATCH(D501,diakadat!$J$2:$J$50),1),"")</f>
        <v/>
      </c>
      <c r="AE501" t="str">
        <f>IFERROR(INDEX(diakadat!$W$2:$W$50,MATCH(D501,diakadat!$J$2:$J$50),1),"")</f>
        <v/>
      </c>
      <c r="AI501" t="str">
        <f>IFERROR(INDEX(diakadat!$X$2:$X$50,MATCH(D501,diakadat!$J$2:$J$50),1),"")</f>
        <v/>
      </c>
      <c r="AK501">
        <f t="shared" si="7"/>
        <v>329</v>
      </c>
      <c r="AL501" t="str" cm="1">
        <f t="array" ref="AL501">ElsoBetuNagy(R501)</f>
        <v/>
      </c>
      <c r="AO501" t="str" cm="1">
        <f t="array" ref="AO501">DatumSzovegge5(AN501)</f>
        <v>1899.</v>
      </c>
      <c r="AP501" t="str" cm="1">
        <f t="array" ref="AP501">DatumSzovegge3(AN501)</f>
        <v>december</v>
      </c>
      <c r="AQ501" t="str" cm="1">
        <f t="array" ref="AQ501">DatumSzovegge4(AN501)</f>
        <v>30.</v>
      </c>
    </row>
    <row r="502" spans="4:43" x14ac:dyDescent="0.25">
      <c r="D502" t="str" cm="1">
        <f t="array" ref="D502">SzuressNev($B$1,ROW()-1)</f>
        <v/>
      </c>
      <c r="E502">
        <f>COUNTIF($D$2:D502,D502)</f>
        <v>481</v>
      </c>
      <c r="F502" t="str" cm="1">
        <f t="array" ref="F502">ElutasitasEgyOk2(D502,E502)</f>
        <v/>
      </c>
      <c r="G502" t="str">
        <f>IFERROR(INDEX(diakadat!$I$2:$I$50,MATCH(D502,diakadat!$J$2:$J$50,0),1),"")</f>
        <v/>
      </c>
      <c r="H502" t="str">
        <f>IFERROR(INDEX(diakadat!$O$2:$O$50,MATCH(D502,diakadat!$J$2:$J$50,0),1),"")</f>
        <v/>
      </c>
      <c r="I502" t="str">
        <f>IFERROR(INDEX(diakadat!#REF!,MATCH(D502,diakadat!$J$2:$J$50,0),1),"")</f>
        <v/>
      </c>
      <c r="J502" t="str">
        <f>IFERROR(INDEX(diakadat!$K$2:$K$50,MATCH(D502,diakadat!$J$2:$J$50,0),1),"")</f>
        <v/>
      </c>
      <c r="K502" t="str" cm="1">
        <f t="array" ref="K502">IFERROR(DatumSzovegge2(INDEX(diakadat!$L$2:$L$50,MATCH(D502,diakadat!$J$2:$J$50,0),1)),"")</f>
        <v/>
      </c>
      <c r="L502" t="str" cm="1">
        <f t="array" ref="L502">IFERROR(DatumSzovegge5(INDEX(diakadat!$L$2:$L$50,MATCH(D502,diakadat!$J$2:$J$50,0),1)),"")</f>
        <v/>
      </c>
      <c r="M502" t="str" cm="1">
        <f t="array" ref="M502">IFERROR(DatumSzovegge3(INDEX(diakadat!$L$2:$L$50,MATCH(D502,diakadat!$J$2:$J$50,0),1)),"")</f>
        <v/>
      </c>
      <c r="N502" t="str" cm="1">
        <f t="array" ref="N502">IFERROR(DatumSzovegge4(INDEX(diakadat!$L$2:$L$50,MATCH(D502,diakadat!$J$2:$J$50,0),1)),"")</f>
        <v/>
      </c>
      <c r="O502" t="str">
        <f>IFERROR(INDEX(diakadat!$R$2:$R$50,MATCH(D502,diakadat!$J$2:$J$50,0),1),"")</f>
        <v/>
      </c>
      <c r="P502" t="str">
        <f>IFERROR(INDEX(diakadat!$AI$2:$AI$50,MATCH(D502,diakadat!$J$2:$J$50,0),1),"")</f>
        <v/>
      </c>
      <c r="Q502" t="str">
        <f>IFERROR(INDEX('rangsor'!$C$2:$C$343,MATCH(D502,'rangsor'!$A$2:$A$343,0),1),"")</f>
        <v/>
      </c>
      <c r="T502" t="s">
        <v>831</v>
      </c>
      <c r="U502" t="str" cm="1">
        <f t="array" ref="U502">Határozat(D502)</f>
        <v/>
      </c>
      <c r="AC502" t="str">
        <f>IFERROR(INDEX(diakadat!$U$2:$U$50,MATCH(D502,diakadat!$J$2:$J$50),1),"")</f>
        <v/>
      </c>
      <c r="AD502" t="str">
        <f>IFERROR(INDEX(diakadat!$V$2:$V$50,MATCH(D502,diakadat!$J$2:$J$50),1),"")</f>
        <v/>
      </c>
      <c r="AE502" t="str">
        <f>IFERROR(INDEX(diakadat!$W$2:$W$50,MATCH(D502,diakadat!$J$2:$J$50),1),"")</f>
        <v/>
      </c>
      <c r="AI502" t="str">
        <f>IFERROR(INDEX(diakadat!$X$2:$X$50,MATCH(D502,diakadat!$J$2:$J$50),1),"")</f>
        <v/>
      </c>
      <c r="AK502">
        <f t="shared" si="7"/>
        <v>329</v>
      </c>
      <c r="AL502" t="str" cm="1">
        <f t="array" ref="AL502">ElsoBetuNagy(R502)</f>
        <v/>
      </c>
      <c r="AO502" t="str" cm="1">
        <f t="array" ref="AO502">DatumSzovegge5(AN502)</f>
        <v>1899.</v>
      </c>
      <c r="AP502" t="str" cm="1">
        <f t="array" ref="AP502">DatumSzovegge3(AN502)</f>
        <v>december</v>
      </c>
      <c r="AQ502" t="str" cm="1">
        <f t="array" ref="AQ502">DatumSzovegge4(AN502)</f>
        <v>30.</v>
      </c>
    </row>
    <row r="503" spans="4:43" x14ac:dyDescent="0.25">
      <c r="D503" t="str" cm="1">
        <f t="array" ref="D503">SzuressNev($B$1,ROW()-1)</f>
        <v/>
      </c>
      <c r="E503">
        <f>COUNTIF($D$2:D503,D503)</f>
        <v>482</v>
      </c>
      <c r="F503" t="str" cm="1">
        <f t="array" ref="F503">ElutasitasEgyOk2(D503,E503)</f>
        <v/>
      </c>
      <c r="G503" t="str">
        <f>IFERROR(INDEX(diakadat!$I$2:$I$50,MATCH(D503,diakadat!$J$2:$J$50,0),1),"")</f>
        <v/>
      </c>
      <c r="H503" t="str">
        <f>IFERROR(INDEX(diakadat!$O$2:$O$50,MATCH(D503,diakadat!$J$2:$J$50,0),1),"")</f>
        <v/>
      </c>
      <c r="I503" t="str">
        <f>IFERROR(INDEX(diakadat!#REF!,MATCH(D503,diakadat!$J$2:$J$50,0),1),"")</f>
        <v/>
      </c>
      <c r="J503" t="str">
        <f>IFERROR(INDEX(diakadat!$K$2:$K$50,MATCH(D503,diakadat!$J$2:$J$50,0),1),"")</f>
        <v/>
      </c>
      <c r="K503" t="str" cm="1">
        <f t="array" ref="K503">IFERROR(DatumSzovegge2(INDEX(diakadat!$L$2:$L$50,MATCH(D503,diakadat!$J$2:$J$50,0),1)),"")</f>
        <v/>
      </c>
      <c r="L503" t="str" cm="1">
        <f t="array" ref="L503">IFERROR(DatumSzovegge5(INDEX(diakadat!$L$2:$L$50,MATCH(D503,diakadat!$J$2:$J$50,0),1)),"")</f>
        <v/>
      </c>
      <c r="M503" t="str" cm="1">
        <f t="array" ref="M503">IFERROR(DatumSzovegge3(INDEX(diakadat!$L$2:$L$50,MATCH(D503,diakadat!$J$2:$J$50,0),1)),"")</f>
        <v/>
      </c>
      <c r="N503" t="str" cm="1">
        <f t="array" ref="N503">IFERROR(DatumSzovegge4(INDEX(diakadat!$L$2:$L$50,MATCH(D503,diakadat!$J$2:$J$50,0),1)),"")</f>
        <v/>
      </c>
      <c r="O503" t="str">
        <f>IFERROR(INDEX(diakadat!$R$2:$R$50,MATCH(D503,diakadat!$J$2:$J$50,0),1),"")</f>
        <v/>
      </c>
      <c r="P503" t="str">
        <f>IFERROR(INDEX(diakadat!$AI$2:$AI$50,MATCH(D503,diakadat!$J$2:$J$50,0),1),"")</f>
        <v/>
      </c>
      <c r="Q503" t="str">
        <f>IFERROR(INDEX('rangsor'!$C$2:$C$343,MATCH(D503,'rangsor'!$A$2:$A$343,0),1),"")</f>
        <v/>
      </c>
      <c r="T503" t="s">
        <v>831</v>
      </c>
      <c r="U503" t="str" cm="1">
        <f t="array" ref="U503">Határozat(D503)</f>
        <v/>
      </c>
      <c r="AC503" t="str">
        <f>IFERROR(INDEX(diakadat!$U$2:$U$50,MATCH(D503,diakadat!$J$2:$J$50),1),"")</f>
        <v/>
      </c>
      <c r="AD503" t="str">
        <f>IFERROR(INDEX(diakadat!$V$2:$V$50,MATCH(D503,diakadat!$J$2:$J$50),1),"")</f>
        <v/>
      </c>
      <c r="AE503" t="str">
        <f>IFERROR(INDEX(diakadat!$W$2:$W$50,MATCH(D503,diakadat!$J$2:$J$50),1),"")</f>
        <v/>
      </c>
      <c r="AI503" t="str">
        <f>IFERROR(INDEX(diakadat!$X$2:$X$50,MATCH(D503,diakadat!$J$2:$J$50),1),"")</f>
        <v/>
      </c>
      <c r="AK503">
        <f t="shared" si="7"/>
        <v>329</v>
      </c>
      <c r="AL503" t="str" cm="1">
        <f t="array" ref="AL503">ElsoBetuNagy(R503)</f>
        <v/>
      </c>
      <c r="AO503" t="str" cm="1">
        <f t="array" ref="AO503">DatumSzovegge5(AN503)</f>
        <v>1899.</v>
      </c>
      <c r="AP503" t="str" cm="1">
        <f t="array" ref="AP503">DatumSzovegge3(AN503)</f>
        <v>december</v>
      </c>
      <c r="AQ503" t="str" cm="1">
        <f t="array" ref="AQ503">DatumSzovegge4(AN503)</f>
        <v>30.</v>
      </c>
    </row>
    <row r="504" spans="4:43" x14ac:dyDescent="0.25">
      <c r="D504" t="str" cm="1">
        <f t="array" ref="D504">SzuressNev($B$1,ROW()-1)</f>
        <v/>
      </c>
      <c r="E504">
        <f>COUNTIF($D$2:D504,D504)</f>
        <v>483</v>
      </c>
      <c r="F504" t="str" cm="1">
        <f t="array" ref="F504">ElutasitasEgyOk2(D504,E504)</f>
        <v/>
      </c>
      <c r="G504" t="str">
        <f>IFERROR(INDEX(diakadat!$I$2:$I$50,MATCH(D504,diakadat!$J$2:$J$50,0),1),"")</f>
        <v/>
      </c>
      <c r="H504" t="str">
        <f>IFERROR(INDEX(diakadat!$O$2:$O$50,MATCH(D504,diakadat!$J$2:$J$50,0),1),"")</f>
        <v/>
      </c>
      <c r="I504" t="str">
        <f>IFERROR(INDEX(diakadat!#REF!,MATCH(D504,diakadat!$J$2:$J$50,0),1),"")</f>
        <v/>
      </c>
      <c r="J504" t="str">
        <f>IFERROR(INDEX(diakadat!$K$2:$K$50,MATCH(D504,diakadat!$J$2:$J$50,0),1),"")</f>
        <v/>
      </c>
      <c r="K504" t="str" cm="1">
        <f t="array" ref="K504">IFERROR(DatumSzovegge2(INDEX(diakadat!$L$2:$L$50,MATCH(D504,diakadat!$J$2:$J$50,0),1)),"")</f>
        <v/>
      </c>
      <c r="L504" t="str" cm="1">
        <f t="array" ref="L504">IFERROR(DatumSzovegge5(INDEX(diakadat!$L$2:$L$50,MATCH(D504,diakadat!$J$2:$J$50,0),1)),"")</f>
        <v/>
      </c>
      <c r="M504" t="str" cm="1">
        <f t="array" ref="M504">IFERROR(DatumSzovegge3(INDEX(diakadat!$L$2:$L$50,MATCH(D504,diakadat!$J$2:$J$50,0),1)),"")</f>
        <v/>
      </c>
      <c r="N504" t="str" cm="1">
        <f t="array" ref="N504">IFERROR(DatumSzovegge4(INDEX(diakadat!$L$2:$L$50,MATCH(D504,diakadat!$J$2:$J$50,0),1)),"")</f>
        <v/>
      </c>
      <c r="O504" t="str">
        <f>IFERROR(INDEX(diakadat!$R$2:$R$50,MATCH(D504,diakadat!$J$2:$J$50,0),1),"")</f>
        <v/>
      </c>
      <c r="P504" t="str">
        <f>IFERROR(INDEX(diakadat!$AI$2:$AI$50,MATCH(D504,diakadat!$J$2:$J$50,0),1),"")</f>
        <v/>
      </c>
      <c r="Q504" t="str">
        <f>IFERROR(INDEX('rangsor'!$C$2:$C$343,MATCH(D504,'rangsor'!$A$2:$A$343,0),1),"")</f>
        <v/>
      </c>
      <c r="T504" t="s">
        <v>831</v>
      </c>
      <c r="U504" t="str" cm="1">
        <f t="array" ref="U504">Határozat(D504)</f>
        <v/>
      </c>
      <c r="AC504" t="str">
        <f>IFERROR(INDEX(diakadat!$U$2:$U$50,MATCH(D504,diakadat!$J$2:$J$50),1),"")</f>
        <v/>
      </c>
      <c r="AD504" t="str">
        <f>IFERROR(INDEX(diakadat!$V$2:$V$50,MATCH(D504,diakadat!$J$2:$J$50),1),"")</f>
        <v/>
      </c>
      <c r="AE504" t="str">
        <f>IFERROR(INDEX(diakadat!$W$2:$W$50,MATCH(D504,diakadat!$J$2:$J$50),1),"")</f>
        <v/>
      </c>
      <c r="AI504" t="str">
        <f>IFERROR(INDEX(diakadat!$X$2:$X$50,MATCH(D504,diakadat!$J$2:$J$50),1),"")</f>
        <v/>
      </c>
      <c r="AK504">
        <f t="shared" si="7"/>
        <v>329</v>
      </c>
      <c r="AL504" t="str" cm="1">
        <f t="array" ref="AL504">ElsoBetuNagy(R504)</f>
        <v/>
      </c>
      <c r="AO504" t="str" cm="1">
        <f t="array" ref="AO504">DatumSzovegge5(AN504)</f>
        <v>1899.</v>
      </c>
      <c r="AP504" t="str" cm="1">
        <f t="array" ref="AP504">DatumSzovegge3(AN504)</f>
        <v>december</v>
      </c>
      <c r="AQ504" t="str" cm="1">
        <f t="array" ref="AQ504">DatumSzovegge4(AN504)</f>
        <v>30.</v>
      </c>
    </row>
    <row r="505" spans="4:43" x14ac:dyDescent="0.25">
      <c r="D505" t="str" cm="1">
        <f t="array" ref="D505">SzuressNev($B$1,ROW()-1)</f>
        <v/>
      </c>
      <c r="E505">
        <f>COUNTIF($D$2:D505,D505)</f>
        <v>484</v>
      </c>
      <c r="F505" t="str" cm="1">
        <f t="array" ref="F505">ElutasitasEgyOk2(D505,E505)</f>
        <v/>
      </c>
      <c r="G505" t="str">
        <f>IFERROR(INDEX(diakadat!$I$2:$I$50,MATCH(D505,diakadat!$J$2:$J$50,0),1),"")</f>
        <v/>
      </c>
      <c r="H505" t="str">
        <f>IFERROR(INDEX(diakadat!$O$2:$O$50,MATCH(D505,diakadat!$J$2:$J$50,0),1),"")</f>
        <v/>
      </c>
      <c r="I505" t="str">
        <f>IFERROR(INDEX(diakadat!#REF!,MATCH(D505,diakadat!$J$2:$J$50,0),1),"")</f>
        <v/>
      </c>
      <c r="J505" t="str">
        <f>IFERROR(INDEX(diakadat!$K$2:$K$50,MATCH(D505,diakadat!$J$2:$J$50,0),1),"")</f>
        <v/>
      </c>
      <c r="K505" t="str" cm="1">
        <f t="array" ref="K505">IFERROR(DatumSzovegge2(INDEX(diakadat!$L$2:$L$50,MATCH(D505,diakadat!$J$2:$J$50,0),1)),"")</f>
        <v/>
      </c>
      <c r="L505" t="str" cm="1">
        <f t="array" ref="L505">IFERROR(DatumSzovegge5(INDEX(diakadat!$L$2:$L$50,MATCH(D505,diakadat!$J$2:$J$50,0),1)),"")</f>
        <v/>
      </c>
      <c r="M505" t="str" cm="1">
        <f t="array" ref="M505">IFERROR(DatumSzovegge3(INDEX(diakadat!$L$2:$L$50,MATCH(D505,diakadat!$J$2:$J$50,0),1)),"")</f>
        <v/>
      </c>
      <c r="N505" t="str" cm="1">
        <f t="array" ref="N505">IFERROR(DatumSzovegge4(INDEX(diakadat!$L$2:$L$50,MATCH(D505,diakadat!$J$2:$J$50,0),1)),"")</f>
        <v/>
      </c>
      <c r="O505" t="str">
        <f>IFERROR(INDEX(diakadat!$R$2:$R$50,MATCH(D505,diakadat!$J$2:$J$50,0),1),"")</f>
        <v/>
      </c>
      <c r="P505" t="str">
        <f>IFERROR(INDEX(diakadat!$AI$2:$AI$50,MATCH(D505,diakadat!$J$2:$J$50,0),1),"")</f>
        <v/>
      </c>
      <c r="Q505" t="str">
        <f>IFERROR(INDEX('rangsor'!$C$2:$C$343,MATCH(D505,'rangsor'!$A$2:$A$343,0),1),"")</f>
        <v/>
      </c>
      <c r="T505" t="s">
        <v>831</v>
      </c>
      <c r="U505" t="str" cm="1">
        <f t="array" ref="U505">Határozat(D505)</f>
        <v/>
      </c>
      <c r="AC505" t="str">
        <f>IFERROR(INDEX(diakadat!$U$2:$U$50,MATCH(D505,diakadat!$J$2:$J$50),1),"")</f>
        <v/>
      </c>
      <c r="AD505" t="str">
        <f>IFERROR(INDEX(diakadat!$V$2:$V$50,MATCH(D505,diakadat!$J$2:$J$50),1),"")</f>
        <v/>
      </c>
      <c r="AE505" t="str">
        <f>IFERROR(INDEX(diakadat!$W$2:$W$50,MATCH(D505,diakadat!$J$2:$J$50),1),"")</f>
        <v/>
      </c>
      <c r="AI505" t="str">
        <f>IFERROR(INDEX(diakadat!$X$2:$X$50,MATCH(D505,diakadat!$J$2:$J$50),1),"")</f>
        <v/>
      </c>
      <c r="AK505">
        <f t="shared" si="7"/>
        <v>329</v>
      </c>
      <c r="AL505" t="str" cm="1">
        <f t="array" ref="AL505">ElsoBetuNagy(R505)</f>
        <v/>
      </c>
      <c r="AO505" t="str" cm="1">
        <f t="array" ref="AO505">DatumSzovegge5(AN505)</f>
        <v>1899.</v>
      </c>
      <c r="AP505" t="str" cm="1">
        <f t="array" ref="AP505">DatumSzovegge3(AN505)</f>
        <v>december</v>
      </c>
      <c r="AQ505" t="str" cm="1">
        <f t="array" ref="AQ505">DatumSzovegge4(AN505)</f>
        <v>30.</v>
      </c>
    </row>
    <row r="506" spans="4:43" x14ac:dyDescent="0.25">
      <c r="D506" t="str" cm="1">
        <f t="array" ref="D506">SzuressNev($B$1,ROW()-1)</f>
        <v/>
      </c>
      <c r="E506">
        <f>COUNTIF($D$2:D506,D506)</f>
        <v>485</v>
      </c>
      <c r="F506" t="str" cm="1">
        <f t="array" ref="F506">ElutasitasEgyOk2(D506,E506)</f>
        <v/>
      </c>
      <c r="G506" t="str">
        <f>IFERROR(INDEX(diakadat!$I$2:$I$50,MATCH(D506,diakadat!$J$2:$J$50,0),1),"")</f>
        <v/>
      </c>
      <c r="H506" t="str">
        <f>IFERROR(INDEX(diakadat!$O$2:$O$50,MATCH(D506,diakadat!$J$2:$J$50,0),1),"")</f>
        <v/>
      </c>
      <c r="I506" t="str">
        <f>IFERROR(INDEX(diakadat!#REF!,MATCH(D506,diakadat!$J$2:$J$50,0),1),"")</f>
        <v/>
      </c>
      <c r="J506" t="str">
        <f>IFERROR(INDEX(diakadat!$K$2:$K$50,MATCH(D506,diakadat!$J$2:$J$50,0),1),"")</f>
        <v/>
      </c>
      <c r="K506" t="str" cm="1">
        <f t="array" ref="K506">IFERROR(DatumSzovegge2(INDEX(diakadat!$L$2:$L$50,MATCH(D506,diakadat!$J$2:$J$50,0),1)),"")</f>
        <v/>
      </c>
      <c r="L506" t="str" cm="1">
        <f t="array" ref="L506">IFERROR(DatumSzovegge5(INDEX(diakadat!$L$2:$L$50,MATCH(D506,diakadat!$J$2:$J$50,0),1)),"")</f>
        <v/>
      </c>
      <c r="M506" t="str" cm="1">
        <f t="array" ref="M506">IFERROR(DatumSzovegge3(INDEX(diakadat!$L$2:$L$50,MATCH(D506,diakadat!$J$2:$J$50,0),1)),"")</f>
        <v/>
      </c>
      <c r="N506" t="str" cm="1">
        <f t="array" ref="N506">IFERROR(DatumSzovegge4(INDEX(diakadat!$L$2:$L$50,MATCH(D506,diakadat!$J$2:$J$50,0),1)),"")</f>
        <v/>
      </c>
      <c r="O506" t="str">
        <f>IFERROR(INDEX(diakadat!$R$2:$R$50,MATCH(D506,diakadat!$J$2:$J$50,0),1),"")</f>
        <v/>
      </c>
      <c r="P506" t="str">
        <f>IFERROR(INDEX(diakadat!$AI$2:$AI$50,MATCH(D506,diakadat!$J$2:$J$50,0),1),"")</f>
        <v/>
      </c>
      <c r="Q506" t="str">
        <f>IFERROR(INDEX('rangsor'!$C$2:$C$343,MATCH(D506,'rangsor'!$A$2:$A$343,0),1),"")</f>
        <v/>
      </c>
      <c r="T506" t="s">
        <v>831</v>
      </c>
      <c r="U506" t="str" cm="1">
        <f t="array" ref="U506">Határozat(D506)</f>
        <v/>
      </c>
      <c r="AC506" t="str">
        <f>IFERROR(INDEX(diakadat!$U$2:$U$50,MATCH(D506,diakadat!$J$2:$J$50),1),"")</f>
        <v/>
      </c>
      <c r="AD506" t="str">
        <f>IFERROR(INDEX(diakadat!$V$2:$V$50,MATCH(D506,diakadat!$J$2:$J$50),1),"")</f>
        <v/>
      </c>
      <c r="AE506" t="str">
        <f>IFERROR(INDEX(diakadat!$W$2:$W$50,MATCH(D506,diakadat!$J$2:$J$50),1),"")</f>
        <v/>
      </c>
      <c r="AI506" t="str">
        <f>IFERROR(INDEX(diakadat!$X$2:$X$50,MATCH(D506,diakadat!$J$2:$J$50),1),"")</f>
        <v/>
      </c>
      <c r="AK506">
        <f t="shared" si="7"/>
        <v>329</v>
      </c>
      <c r="AL506" t="str" cm="1">
        <f t="array" ref="AL506">ElsoBetuNagy(R506)</f>
        <v/>
      </c>
      <c r="AO506" t="str" cm="1">
        <f t="array" ref="AO506">DatumSzovegge5(AN506)</f>
        <v>1899.</v>
      </c>
      <c r="AP506" t="str" cm="1">
        <f t="array" ref="AP506">DatumSzovegge3(AN506)</f>
        <v>december</v>
      </c>
      <c r="AQ506" t="str" cm="1">
        <f t="array" ref="AQ506">DatumSzovegge4(AN506)</f>
        <v>30.</v>
      </c>
    </row>
    <row r="507" spans="4:43" x14ac:dyDescent="0.25">
      <c r="D507" t="str" cm="1">
        <f t="array" ref="D507">SzuressNev($B$1,ROW()-1)</f>
        <v/>
      </c>
      <c r="E507">
        <f>COUNTIF($D$2:D507,D507)</f>
        <v>486</v>
      </c>
      <c r="F507" t="str" cm="1">
        <f t="array" ref="F507">ElutasitasEgyOk2(D507,E507)</f>
        <v/>
      </c>
      <c r="G507" t="str">
        <f>IFERROR(INDEX(diakadat!$I$2:$I$50,MATCH(D507,diakadat!$J$2:$J$50,0),1),"")</f>
        <v/>
      </c>
      <c r="H507" t="str">
        <f>IFERROR(INDEX(diakadat!$O$2:$O$50,MATCH(D507,diakadat!$J$2:$J$50,0),1),"")</f>
        <v/>
      </c>
      <c r="I507" t="str">
        <f>IFERROR(INDEX(diakadat!#REF!,MATCH(D507,diakadat!$J$2:$J$50,0),1),"")</f>
        <v/>
      </c>
      <c r="J507" t="str">
        <f>IFERROR(INDEX(diakadat!$K$2:$K$50,MATCH(D507,diakadat!$J$2:$J$50,0),1),"")</f>
        <v/>
      </c>
      <c r="K507" t="str" cm="1">
        <f t="array" ref="K507">IFERROR(DatumSzovegge2(INDEX(diakadat!$L$2:$L$50,MATCH(D507,diakadat!$J$2:$J$50,0),1)),"")</f>
        <v/>
      </c>
      <c r="L507" t="str" cm="1">
        <f t="array" ref="L507">IFERROR(DatumSzovegge5(INDEX(diakadat!$L$2:$L$50,MATCH(D507,diakadat!$J$2:$J$50,0),1)),"")</f>
        <v/>
      </c>
      <c r="M507" t="str" cm="1">
        <f t="array" ref="M507">IFERROR(DatumSzovegge3(INDEX(diakadat!$L$2:$L$50,MATCH(D507,diakadat!$J$2:$J$50,0),1)),"")</f>
        <v/>
      </c>
      <c r="N507" t="str" cm="1">
        <f t="array" ref="N507">IFERROR(DatumSzovegge4(INDEX(diakadat!$L$2:$L$50,MATCH(D507,diakadat!$J$2:$J$50,0),1)),"")</f>
        <v/>
      </c>
      <c r="O507" t="str">
        <f>IFERROR(INDEX(diakadat!$R$2:$R$50,MATCH(D507,diakadat!$J$2:$J$50,0),1),"")</f>
        <v/>
      </c>
      <c r="P507" t="str">
        <f>IFERROR(INDEX(diakadat!$AI$2:$AI$50,MATCH(D507,diakadat!$J$2:$J$50,0),1),"")</f>
        <v/>
      </c>
      <c r="Q507" t="str">
        <f>IFERROR(INDEX('rangsor'!$C$2:$C$343,MATCH(D507,'rangsor'!$A$2:$A$343,0),1),"")</f>
        <v/>
      </c>
      <c r="T507" t="s">
        <v>831</v>
      </c>
      <c r="U507" t="str" cm="1">
        <f t="array" ref="U507">Határozat(D507)</f>
        <v/>
      </c>
      <c r="AC507" t="str">
        <f>IFERROR(INDEX(diakadat!$U$2:$U$50,MATCH(D507,diakadat!$J$2:$J$50),1),"")</f>
        <v/>
      </c>
      <c r="AD507" t="str">
        <f>IFERROR(INDEX(diakadat!$V$2:$V$50,MATCH(D507,diakadat!$J$2:$J$50),1),"")</f>
        <v/>
      </c>
      <c r="AE507" t="str">
        <f>IFERROR(INDEX(diakadat!$W$2:$W$50,MATCH(D507,diakadat!$J$2:$J$50),1),"")</f>
        <v/>
      </c>
      <c r="AI507" t="str">
        <f>IFERROR(INDEX(diakadat!$X$2:$X$50,MATCH(D507,diakadat!$J$2:$J$50),1),"")</f>
        <v/>
      </c>
      <c r="AK507">
        <f t="shared" si="7"/>
        <v>329</v>
      </c>
      <c r="AL507" t="str" cm="1">
        <f t="array" ref="AL507">ElsoBetuNagy(R507)</f>
        <v/>
      </c>
      <c r="AO507" t="str" cm="1">
        <f t="array" ref="AO507">DatumSzovegge5(AN507)</f>
        <v>1899.</v>
      </c>
      <c r="AP507" t="str" cm="1">
        <f t="array" ref="AP507">DatumSzovegge3(AN507)</f>
        <v>december</v>
      </c>
      <c r="AQ507" t="str" cm="1">
        <f t="array" ref="AQ507">DatumSzovegge4(AN507)</f>
        <v>30.</v>
      </c>
    </row>
    <row r="508" spans="4:43" x14ac:dyDescent="0.25">
      <c r="D508" t="str" cm="1">
        <f t="array" ref="D508">SzuressNev($B$1,ROW()-1)</f>
        <v/>
      </c>
      <c r="E508">
        <f>COUNTIF($D$2:D508,D508)</f>
        <v>487</v>
      </c>
      <c r="F508" t="str" cm="1">
        <f t="array" ref="F508">ElutasitasEgyOk2(D508,E508)</f>
        <v/>
      </c>
      <c r="G508" t="str">
        <f>IFERROR(INDEX(diakadat!$I$2:$I$50,MATCH(D508,diakadat!$J$2:$J$50,0),1),"")</f>
        <v/>
      </c>
      <c r="H508" t="str">
        <f>IFERROR(INDEX(diakadat!$O$2:$O$50,MATCH(D508,diakadat!$J$2:$J$50,0),1),"")</f>
        <v/>
      </c>
      <c r="I508" t="str">
        <f>IFERROR(INDEX(diakadat!#REF!,MATCH(D508,diakadat!$J$2:$J$50,0),1),"")</f>
        <v/>
      </c>
      <c r="J508" t="str">
        <f>IFERROR(INDEX(diakadat!$K$2:$K$50,MATCH(D508,diakadat!$J$2:$J$50,0),1),"")</f>
        <v/>
      </c>
      <c r="K508" t="str" cm="1">
        <f t="array" ref="K508">IFERROR(DatumSzovegge2(INDEX(diakadat!$L$2:$L$50,MATCH(D508,diakadat!$J$2:$J$50,0),1)),"")</f>
        <v/>
      </c>
      <c r="L508" t="str" cm="1">
        <f t="array" ref="L508">IFERROR(DatumSzovegge5(INDEX(diakadat!$L$2:$L$50,MATCH(D508,diakadat!$J$2:$J$50,0),1)),"")</f>
        <v/>
      </c>
      <c r="M508" t="str" cm="1">
        <f t="array" ref="M508">IFERROR(DatumSzovegge3(INDEX(diakadat!$L$2:$L$50,MATCH(D508,diakadat!$J$2:$J$50,0),1)),"")</f>
        <v/>
      </c>
      <c r="N508" t="str" cm="1">
        <f t="array" ref="N508">IFERROR(DatumSzovegge4(INDEX(diakadat!$L$2:$L$50,MATCH(D508,diakadat!$J$2:$J$50,0),1)),"")</f>
        <v/>
      </c>
      <c r="O508" t="str">
        <f>IFERROR(INDEX(diakadat!$R$2:$R$50,MATCH(D508,diakadat!$J$2:$J$50,0),1),"")</f>
        <v/>
      </c>
      <c r="P508" t="str">
        <f>IFERROR(INDEX(diakadat!$AI$2:$AI$50,MATCH(D508,diakadat!$J$2:$J$50,0),1),"")</f>
        <v/>
      </c>
      <c r="Q508" t="str">
        <f>IFERROR(INDEX('rangsor'!$C$2:$C$343,MATCH(D508,'rangsor'!$A$2:$A$343,0),1),"")</f>
        <v/>
      </c>
      <c r="T508" t="s">
        <v>831</v>
      </c>
      <c r="U508" t="str" cm="1">
        <f t="array" ref="U508">Határozat(D508)</f>
        <v/>
      </c>
      <c r="AC508" t="str">
        <f>IFERROR(INDEX(diakadat!$U$2:$U$50,MATCH(D508,diakadat!$J$2:$J$50),1),"")</f>
        <v/>
      </c>
      <c r="AD508" t="str">
        <f>IFERROR(INDEX(diakadat!$V$2:$V$50,MATCH(D508,diakadat!$J$2:$J$50),1),"")</f>
        <v/>
      </c>
      <c r="AE508" t="str">
        <f>IFERROR(INDEX(diakadat!$W$2:$W$50,MATCH(D508,diakadat!$J$2:$J$50),1),"")</f>
        <v/>
      </c>
      <c r="AI508" t="str">
        <f>IFERROR(INDEX(diakadat!$X$2:$X$50,MATCH(D508,diakadat!$J$2:$J$50),1),"")</f>
        <v/>
      </c>
      <c r="AK508">
        <f t="shared" si="7"/>
        <v>329</v>
      </c>
      <c r="AL508" t="str" cm="1">
        <f t="array" ref="AL508">ElsoBetuNagy(R508)</f>
        <v/>
      </c>
      <c r="AO508" t="str" cm="1">
        <f t="array" ref="AO508">DatumSzovegge5(AN508)</f>
        <v>1899.</v>
      </c>
      <c r="AP508" t="str" cm="1">
        <f t="array" ref="AP508">DatumSzovegge3(AN508)</f>
        <v>december</v>
      </c>
      <c r="AQ508" t="str" cm="1">
        <f t="array" ref="AQ508">DatumSzovegge4(AN508)</f>
        <v>30.</v>
      </c>
    </row>
    <row r="509" spans="4:43" x14ac:dyDescent="0.25">
      <c r="D509" t="str" cm="1">
        <f t="array" ref="D509">SzuressNev($B$1,ROW()-1)</f>
        <v/>
      </c>
      <c r="E509">
        <f>COUNTIF($D$2:D509,D509)</f>
        <v>488</v>
      </c>
      <c r="F509" t="str" cm="1">
        <f t="array" ref="F509">ElutasitasEgyOk2(D509,E509)</f>
        <v/>
      </c>
      <c r="G509" t="str">
        <f>IFERROR(INDEX(diakadat!$I$2:$I$50,MATCH(D509,diakadat!$J$2:$J$50,0),1),"")</f>
        <v/>
      </c>
      <c r="H509" t="str">
        <f>IFERROR(INDEX(diakadat!$O$2:$O$50,MATCH(D509,diakadat!$J$2:$J$50,0),1),"")</f>
        <v/>
      </c>
      <c r="I509" t="str">
        <f>IFERROR(INDEX(diakadat!#REF!,MATCH(D509,diakadat!$J$2:$J$50,0),1),"")</f>
        <v/>
      </c>
      <c r="J509" t="str">
        <f>IFERROR(INDEX(diakadat!$K$2:$K$50,MATCH(D509,diakadat!$J$2:$J$50,0),1),"")</f>
        <v/>
      </c>
      <c r="K509" t="str" cm="1">
        <f t="array" ref="K509">IFERROR(DatumSzovegge2(INDEX(diakadat!$L$2:$L$50,MATCH(D509,diakadat!$J$2:$J$50,0),1)),"")</f>
        <v/>
      </c>
      <c r="L509" t="str" cm="1">
        <f t="array" ref="L509">IFERROR(DatumSzovegge5(INDEX(diakadat!$L$2:$L$50,MATCH(D509,diakadat!$J$2:$J$50,0),1)),"")</f>
        <v/>
      </c>
      <c r="M509" t="str" cm="1">
        <f t="array" ref="M509">IFERROR(DatumSzovegge3(INDEX(diakadat!$L$2:$L$50,MATCH(D509,diakadat!$J$2:$J$50,0),1)),"")</f>
        <v/>
      </c>
      <c r="N509" t="str" cm="1">
        <f t="array" ref="N509">IFERROR(DatumSzovegge4(INDEX(diakadat!$L$2:$L$50,MATCH(D509,diakadat!$J$2:$J$50,0),1)),"")</f>
        <v/>
      </c>
      <c r="O509" t="str">
        <f>IFERROR(INDEX(diakadat!$R$2:$R$50,MATCH(D509,diakadat!$J$2:$J$50,0),1),"")</f>
        <v/>
      </c>
      <c r="P509" t="str">
        <f>IFERROR(INDEX(diakadat!$AI$2:$AI$50,MATCH(D509,diakadat!$J$2:$J$50,0),1),"")</f>
        <v/>
      </c>
      <c r="Q509" t="str">
        <f>IFERROR(INDEX('rangsor'!$C$2:$C$343,MATCH(D509,'rangsor'!$A$2:$A$343,0),1),"")</f>
        <v/>
      </c>
      <c r="T509" t="s">
        <v>831</v>
      </c>
      <c r="U509" t="str" cm="1">
        <f t="array" ref="U509">Határozat(D509)</f>
        <v/>
      </c>
      <c r="AC509" t="str">
        <f>IFERROR(INDEX(diakadat!$U$2:$U$50,MATCH(D509,diakadat!$J$2:$J$50),1),"")</f>
        <v/>
      </c>
      <c r="AD509" t="str">
        <f>IFERROR(INDEX(diakadat!$V$2:$V$50,MATCH(D509,diakadat!$J$2:$J$50),1),"")</f>
        <v/>
      </c>
      <c r="AE509" t="str">
        <f>IFERROR(INDEX(diakadat!$W$2:$W$50,MATCH(D509,diakadat!$J$2:$J$50),1),"")</f>
        <v/>
      </c>
      <c r="AI509" t="str">
        <f>IFERROR(INDEX(diakadat!$X$2:$X$50,MATCH(D509,diakadat!$J$2:$J$50),1),"")</f>
        <v/>
      </c>
      <c r="AK509">
        <f t="shared" si="7"/>
        <v>329</v>
      </c>
      <c r="AL509" t="str" cm="1">
        <f t="array" ref="AL509">ElsoBetuNagy(R509)</f>
        <v/>
      </c>
      <c r="AO509" t="str" cm="1">
        <f t="array" ref="AO509">DatumSzovegge5(AN509)</f>
        <v>1899.</v>
      </c>
      <c r="AP509" t="str" cm="1">
        <f t="array" ref="AP509">DatumSzovegge3(AN509)</f>
        <v>december</v>
      </c>
      <c r="AQ509" t="str" cm="1">
        <f t="array" ref="AQ509">DatumSzovegge4(AN509)</f>
        <v>30.</v>
      </c>
    </row>
    <row r="510" spans="4:43" x14ac:dyDescent="0.25">
      <c r="D510" t="str" cm="1">
        <f t="array" ref="D510">SzuressNev($B$1,ROW()-1)</f>
        <v/>
      </c>
      <c r="E510">
        <f>COUNTIF($D$2:D510,D510)</f>
        <v>489</v>
      </c>
      <c r="F510" t="str" cm="1">
        <f t="array" ref="F510">ElutasitasEgyOk2(D510,E510)</f>
        <v/>
      </c>
      <c r="G510" t="str">
        <f>IFERROR(INDEX(diakadat!$I$2:$I$50,MATCH(D510,diakadat!$J$2:$J$50,0),1),"")</f>
        <v/>
      </c>
      <c r="H510" t="str">
        <f>IFERROR(INDEX(diakadat!$O$2:$O$50,MATCH(D510,diakadat!$J$2:$J$50,0),1),"")</f>
        <v/>
      </c>
      <c r="I510" t="str">
        <f>IFERROR(INDEX(diakadat!#REF!,MATCH(D510,diakadat!$J$2:$J$50,0),1),"")</f>
        <v/>
      </c>
      <c r="J510" t="str">
        <f>IFERROR(INDEX(diakadat!$K$2:$K$50,MATCH(D510,diakadat!$J$2:$J$50,0),1),"")</f>
        <v/>
      </c>
      <c r="K510" t="str" cm="1">
        <f t="array" ref="K510">IFERROR(DatumSzovegge2(INDEX(diakadat!$L$2:$L$50,MATCH(D510,diakadat!$J$2:$J$50,0),1)),"")</f>
        <v/>
      </c>
      <c r="L510" t="str" cm="1">
        <f t="array" ref="L510">IFERROR(DatumSzovegge5(INDEX(diakadat!$L$2:$L$50,MATCH(D510,diakadat!$J$2:$J$50,0),1)),"")</f>
        <v/>
      </c>
      <c r="M510" t="str" cm="1">
        <f t="array" ref="M510">IFERROR(DatumSzovegge3(INDEX(diakadat!$L$2:$L$50,MATCH(D510,diakadat!$J$2:$J$50,0),1)),"")</f>
        <v/>
      </c>
      <c r="N510" t="str" cm="1">
        <f t="array" ref="N510">IFERROR(DatumSzovegge4(INDEX(diakadat!$L$2:$L$50,MATCH(D510,diakadat!$J$2:$J$50,0),1)),"")</f>
        <v/>
      </c>
      <c r="O510" t="str">
        <f>IFERROR(INDEX(diakadat!$R$2:$R$50,MATCH(D510,diakadat!$J$2:$J$50,0),1),"")</f>
        <v/>
      </c>
      <c r="P510" t="str">
        <f>IFERROR(INDEX(diakadat!$AI$2:$AI$50,MATCH(D510,diakadat!$J$2:$J$50,0),1),"")</f>
        <v/>
      </c>
      <c r="Q510" t="str">
        <f>IFERROR(INDEX('rangsor'!$C$2:$C$343,MATCH(D510,'rangsor'!$A$2:$A$343,0),1),"")</f>
        <v/>
      </c>
      <c r="T510" t="s">
        <v>831</v>
      </c>
      <c r="U510" t="str" cm="1">
        <f t="array" ref="U510">Határozat(D510)</f>
        <v/>
      </c>
      <c r="AC510" t="str">
        <f>IFERROR(INDEX(diakadat!$U$2:$U$50,MATCH(D510,diakadat!$J$2:$J$50),1),"")</f>
        <v/>
      </c>
      <c r="AD510" t="str">
        <f>IFERROR(INDEX(diakadat!$V$2:$V$50,MATCH(D510,diakadat!$J$2:$J$50),1),"")</f>
        <v/>
      </c>
      <c r="AE510" t="str">
        <f>IFERROR(INDEX(diakadat!$W$2:$W$50,MATCH(D510,diakadat!$J$2:$J$50),1),"")</f>
        <v/>
      </c>
      <c r="AI510" t="str">
        <f>IFERROR(INDEX(diakadat!$X$2:$X$50,MATCH(D510,diakadat!$J$2:$J$50),1),"")</f>
        <v/>
      </c>
      <c r="AK510">
        <f t="shared" si="7"/>
        <v>329</v>
      </c>
      <c r="AL510" t="str" cm="1">
        <f t="array" ref="AL510">ElsoBetuNagy(R510)</f>
        <v/>
      </c>
      <c r="AO510" t="str" cm="1">
        <f t="array" ref="AO510">DatumSzovegge5(AN510)</f>
        <v>1899.</v>
      </c>
      <c r="AP510" t="str" cm="1">
        <f t="array" ref="AP510">DatumSzovegge3(AN510)</f>
        <v>december</v>
      </c>
      <c r="AQ510" t="str" cm="1">
        <f t="array" ref="AQ510">DatumSzovegge4(AN510)</f>
        <v>30.</v>
      </c>
    </row>
    <row r="511" spans="4:43" x14ac:dyDescent="0.25">
      <c r="D511" t="str" cm="1">
        <f t="array" ref="D511">SzuressNev($B$1,ROW()-1)</f>
        <v/>
      </c>
      <c r="E511">
        <f>COUNTIF($D$2:D511,D511)</f>
        <v>490</v>
      </c>
      <c r="F511" t="str" cm="1">
        <f t="array" ref="F511">ElutasitasEgyOk2(D511,E511)</f>
        <v/>
      </c>
      <c r="G511" t="str">
        <f>IFERROR(INDEX(diakadat!$I$2:$I$50,MATCH(D511,diakadat!$J$2:$J$50,0),1),"")</f>
        <v/>
      </c>
      <c r="H511" t="str">
        <f>IFERROR(INDEX(diakadat!$O$2:$O$50,MATCH(D511,diakadat!$J$2:$J$50,0),1),"")</f>
        <v/>
      </c>
      <c r="I511" t="str">
        <f>IFERROR(INDEX(diakadat!#REF!,MATCH(D511,diakadat!$J$2:$J$50,0),1),"")</f>
        <v/>
      </c>
      <c r="J511" t="str">
        <f>IFERROR(INDEX(diakadat!$K$2:$K$50,MATCH(D511,diakadat!$J$2:$J$50,0),1),"")</f>
        <v/>
      </c>
      <c r="K511" t="str" cm="1">
        <f t="array" ref="K511">IFERROR(DatumSzovegge2(INDEX(diakadat!$L$2:$L$50,MATCH(D511,diakadat!$J$2:$J$50,0),1)),"")</f>
        <v/>
      </c>
      <c r="L511" t="str" cm="1">
        <f t="array" ref="L511">IFERROR(DatumSzovegge5(INDEX(diakadat!$L$2:$L$50,MATCH(D511,diakadat!$J$2:$J$50,0),1)),"")</f>
        <v/>
      </c>
      <c r="M511" t="str" cm="1">
        <f t="array" ref="M511">IFERROR(DatumSzovegge3(INDEX(diakadat!$L$2:$L$50,MATCH(D511,diakadat!$J$2:$J$50,0),1)),"")</f>
        <v/>
      </c>
      <c r="N511" t="str" cm="1">
        <f t="array" ref="N511">IFERROR(DatumSzovegge4(INDEX(diakadat!$L$2:$L$50,MATCH(D511,diakadat!$J$2:$J$50,0),1)),"")</f>
        <v/>
      </c>
      <c r="O511" t="str">
        <f>IFERROR(INDEX(diakadat!$R$2:$R$50,MATCH(D511,diakadat!$J$2:$J$50,0),1),"")</f>
        <v/>
      </c>
      <c r="P511" t="str">
        <f>IFERROR(INDEX(diakadat!$AI$2:$AI$50,MATCH(D511,diakadat!$J$2:$J$50,0),1),"")</f>
        <v/>
      </c>
      <c r="Q511" t="str">
        <f>IFERROR(INDEX('rangsor'!$C$2:$C$343,MATCH(D511,'rangsor'!$A$2:$A$343,0),1),"")</f>
        <v/>
      </c>
      <c r="T511" t="s">
        <v>831</v>
      </c>
      <c r="U511" t="str" cm="1">
        <f t="array" ref="U511">Határozat(D511)</f>
        <v/>
      </c>
      <c r="AC511" t="str">
        <f>IFERROR(INDEX(diakadat!$U$2:$U$50,MATCH(D511,diakadat!$J$2:$J$50),1),"")</f>
        <v/>
      </c>
      <c r="AD511" t="str">
        <f>IFERROR(INDEX(diakadat!$V$2:$V$50,MATCH(D511,diakadat!$J$2:$J$50),1),"")</f>
        <v/>
      </c>
      <c r="AE511" t="str">
        <f>IFERROR(INDEX(diakadat!$W$2:$W$50,MATCH(D511,diakadat!$J$2:$J$50),1),"")</f>
        <v/>
      </c>
      <c r="AI511" t="str">
        <f>IFERROR(INDEX(diakadat!$X$2:$X$50,MATCH(D511,diakadat!$J$2:$J$50),1),"")</f>
        <v/>
      </c>
      <c r="AK511">
        <f t="shared" si="7"/>
        <v>329</v>
      </c>
      <c r="AL511" t="str" cm="1">
        <f t="array" ref="AL511">ElsoBetuNagy(R511)</f>
        <v/>
      </c>
      <c r="AO511" t="str" cm="1">
        <f t="array" ref="AO511">DatumSzovegge5(AN511)</f>
        <v>1899.</v>
      </c>
      <c r="AP511" t="str" cm="1">
        <f t="array" ref="AP511">DatumSzovegge3(AN511)</f>
        <v>december</v>
      </c>
      <c r="AQ511" t="str" cm="1">
        <f t="array" ref="AQ511">DatumSzovegge4(AN511)</f>
        <v>30.</v>
      </c>
    </row>
    <row r="512" spans="4:43" x14ac:dyDescent="0.25">
      <c r="D512" t="str" cm="1">
        <f t="array" ref="D512">SzuressNev($B$1,ROW()-1)</f>
        <v/>
      </c>
      <c r="E512">
        <f>COUNTIF($D$2:D512,D512)</f>
        <v>491</v>
      </c>
      <c r="F512" t="str" cm="1">
        <f t="array" ref="F512">ElutasitasEgyOk2(D512,E512)</f>
        <v/>
      </c>
      <c r="G512" t="str">
        <f>IFERROR(INDEX(diakadat!$I$2:$I$50,MATCH(D512,diakadat!$J$2:$J$50,0),1),"")</f>
        <v/>
      </c>
      <c r="H512" t="str">
        <f>IFERROR(INDEX(diakadat!$O$2:$O$50,MATCH(D512,diakadat!$J$2:$J$50,0),1),"")</f>
        <v/>
      </c>
      <c r="I512" t="str">
        <f>IFERROR(INDEX(diakadat!#REF!,MATCH(D512,diakadat!$J$2:$J$50,0),1),"")</f>
        <v/>
      </c>
      <c r="J512" t="str">
        <f>IFERROR(INDEX(diakadat!$K$2:$K$50,MATCH(D512,diakadat!$J$2:$J$50,0),1),"")</f>
        <v/>
      </c>
      <c r="K512" t="str" cm="1">
        <f t="array" ref="K512">IFERROR(DatumSzovegge2(INDEX(diakadat!$L$2:$L$50,MATCH(D512,diakadat!$J$2:$J$50,0),1)),"")</f>
        <v/>
      </c>
      <c r="L512" t="str" cm="1">
        <f t="array" ref="L512">IFERROR(DatumSzovegge5(INDEX(diakadat!$L$2:$L$50,MATCH(D512,diakadat!$J$2:$J$50,0),1)),"")</f>
        <v/>
      </c>
      <c r="M512" t="str" cm="1">
        <f t="array" ref="M512">IFERROR(DatumSzovegge3(INDEX(diakadat!$L$2:$L$50,MATCH(D512,diakadat!$J$2:$J$50,0),1)),"")</f>
        <v/>
      </c>
      <c r="N512" t="str" cm="1">
        <f t="array" ref="N512">IFERROR(DatumSzovegge4(INDEX(diakadat!$L$2:$L$50,MATCH(D512,diakadat!$J$2:$J$50,0),1)),"")</f>
        <v/>
      </c>
      <c r="O512" t="str">
        <f>IFERROR(INDEX(diakadat!$R$2:$R$50,MATCH(D512,diakadat!$J$2:$J$50,0),1),"")</f>
        <v/>
      </c>
      <c r="P512" t="str">
        <f>IFERROR(INDEX(diakadat!$AI$2:$AI$50,MATCH(D512,diakadat!$J$2:$J$50,0),1),"")</f>
        <v/>
      </c>
      <c r="Q512" t="str">
        <f>IFERROR(INDEX('rangsor'!$C$2:$C$343,MATCH(D512,'rangsor'!$A$2:$A$343,0),1),"")</f>
        <v/>
      </c>
      <c r="T512" t="s">
        <v>831</v>
      </c>
      <c r="U512" t="str" cm="1">
        <f t="array" ref="U512">Határozat(D512)</f>
        <v/>
      </c>
      <c r="AC512" t="str">
        <f>IFERROR(INDEX(diakadat!$U$2:$U$50,MATCH(D512,diakadat!$J$2:$J$50),1),"")</f>
        <v/>
      </c>
      <c r="AD512" t="str">
        <f>IFERROR(INDEX(diakadat!$V$2:$V$50,MATCH(D512,diakadat!$J$2:$J$50),1),"")</f>
        <v/>
      </c>
      <c r="AE512" t="str">
        <f>IFERROR(INDEX(diakadat!$W$2:$W$50,MATCH(D512,diakadat!$J$2:$J$50),1),"")</f>
        <v/>
      </c>
      <c r="AI512" t="str">
        <f>IFERROR(INDEX(diakadat!$X$2:$X$50,MATCH(D512,diakadat!$J$2:$J$50),1),"")</f>
        <v/>
      </c>
      <c r="AK512">
        <f t="shared" si="7"/>
        <v>329</v>
      </c>
      <c r="AL512" t="str" cm="1">
        <f t="array" ref="AL512">ElsoBetuNagy(R512)</f>
        <v/>
      </c>
      <c r="AO512" t="str" cm="1">
        <f t="array" ref="AO512">DatumSzovegge5(AN512)</f>
        <v>1899.</v>
      </c>
      <c r="AP512" t="str" cm="1">
        <f t="array" ref="AP512">DatumSzovegge3(AN512)</f>
        <v>december</v>
      </c>
      <c r="AQ512" t="str" cm="1">
        <f t="array" ref="AQ512">DatumSzovegge4(AN512)</f>
        <v>30.</v>
      </c>
    </row>
    <row r="513" spans="4:43" x14ac:dyDescent="0.25">
      <c r="D513" t="str" cm="1">
        <f t="array" ref="D513">SzuressNev($B$1,ROW()-1)</f>
        <v/>
      </c>
      <c r="E513">
        <f>COUNTIF($D$2:D513,D513)</f>
        <v>492</v>
      </c>
      <c r="F513" t="str" cm="1">
        <f t="array" ref="F513">ElutasitasEgyOk2(D513,E513)</f>
        <v/>
      </c>
      <c r="G513" t="str">
        <f>IFERROR(INDEX(diakadat!$I$2:$I$50,MATCH(D513,diakadat!$J$2:$J$50,0),1),"")</f>
        <v/>
      </c>
      <c r="H513" t="str">
        <f>IFERROR(INDEX(diakadat!$O$2:$O$50,MATCH(D513,diakadat!$J$2:$J$50,0),1),"")</f>
        <v/>
      </c>
      <c r="I513" t="str">
        <f>IFERROR(INDEX(diakadat!#REF!,MATCH(D513,diakadat!$J$2:$J$50,0),1),"")</f>
        <v/>
      </c>
      <c r="J513" t="str">
        <f>IFERROR(INDEX(diakadat!$K$2:$K$50,MATCH(D513,diakadat!$J$2:$J$50,0),1),"")</f>
        <v/>
      </c>
      <c r="K513" t="str" cm="1">
        <f t="array" ref="K513">IFERROR(DatumSzovegge2(INDEX(diakadat!$L$2:$L$50,MATCH(D513,diakadat!$J$2:$J$50,0),1)),"")</f>
        <v/>
      </c>
      <c r="L513" t="str" cm="1">
        <f t="array" ref="L513">IFERROR(DatumSzovegge5(INDEX(diakadat!$L$2:$L$50,MATCH(D513,diakadat!$J$2:$J$50,0),1)),"")</f>
        <v/>
      </c>
      <c r="M513" t="str" cm="1">
        <f t="array" ref="M513">IFERROR(DatumSzovegge3(INDEX(diakadat!$L$2:$L$50,MATCH(D513,diakadat!$J$2:$J$50,0),1)),"")</f>
        <v/>
      </c>
      <c r="N513" t="str" cm="1">
        <f t="array" ref="N513">IFERROR(DatumSzovegge4(INDEX(diakadat!$L$2:$L$50,MATCH(D513,diakadat!$J$2:$J$50,0),1)),"")</f>
        <v/>
      </c>
      <c r="O513" t="str">
        <f>IFERROR(INDEX(diakadat!$R$2:$R$50,MATCH(D513,diakadat!$J$2:$J$50,0),1),"")</f>
        <v/>
      </c>
      <c r="P513" t="str">
        <f>IFERROR(INDEX(diakadat!$AI$2:$AI$50,MATCH(D513,diakadat!$J$2:$J$50,0),1),"")</f>
        <v/>
      </c>
      <c r="Q513" t="str">
        <f>IFERROR(INDEX('rangsor'!$C$2:$C$343,MATCH(D513,'rangsor'!$A$2:$A$343,0),1),"")</f>
        <v/>
      </c>
      <c r="T513" t="s">
        <v>831</v>
      </c>
      <c r="U513" t="str" cm="1">
        <f t="array" ref="U513">Határozat(D513)</f>
        <v/>
      </c>
      <c r="AC513" t="str">
        <f>IFERROR(INDEX(diakadat!$U$2:$U$50,MATCH(D513,diakadat!$J$2:$J$50),1),"")</f>
        <v/>
      </c>
      <c r="AD513" t="str">
        <f>IFERROR(INDEX(diakadat!$V$2:$V$50,MATCH(D513,diakadat!$J$2:$J$50),1),"")</f>
        <v/>
      </c>
      <c r="AE513" t="str">
        <f>IFERROR(INDEX(diakadat!$W$2:$W$50,MATCH(D513,diakadat!$J$2:$J$50),1),"")</f>
        <v/>
      </c>
      <c r="AI513" t="str">
        <f>IFERROR(INDEX(diakadat!$X$2:$X$50,MATCH(D513,diakadat!$J$2:$J$50),1),"")</f>
        <v/>
      </c>
      <c r="AK513">
        <f t="shared" si="7"/>
        <v>329</v>
      </c>
      <c r="AL513" t="str" cm="1">
        <f t="array" ref="AL513">ElsoBetuNagy(R513)</f>
        <v/>
      </c>
      <c r="AO513" t="str" cm="1">
        <f t="array" ref="AO513">DatumSzovegge5(AN513)</f>
        <v>1899.</v>
      </c>
      <c r="AP513" t="str" cm="1">
        <f t="array" ref="AP513">DatumSzovegge3(AN513)</f>
        <v>december</v>
      </c>
      <c r="AQ513" t="str" cm="1">
        <f t="array" ref="AQ513">DatumSzovegge4(AN513)</f>
        <v>30.</v>
      </c>
    </row>
    <row r="514" spans="4:43" x14ac:dyDescent="0.25">
      <c r="D514" t="str" cm="1">
        <f t="array" ref="D514">SzuressNev($B$1,ROW()-1)</f>
        <v/>
      </c>
      <c r="E514">
        <f>COUNTIF($D$2:D514,D514)</f>
        <v>493</v>
      </c>
      <c r="F514" t="str" cm="1">
        <f t="array" ref="F514">ElutasitasEgyOk2(D514,E514)</f>
        <v/>
      </c>
      <c r="G514" t="str">
        <f>IFERROR(INDEX(diakadat!$I$2:$I$50,MATCH(D514,diakadat!$J$2:$J$50,0),1),"")</f>
        <v/>
      </c>
      <c r="H514" t="str">
        <f>IFERROR(INDEX(diakadat!$O$2:$O$50,MATCH(D514,diakadat!$J$2:$J$50,0),1),"")</f>
        <v/>
      </c>
      <c r="I514" t="str">
        <f>IFERROR(INDEX(diakadat!#REF!,MATCH(D514,diakadat!$J$2:$J$50,0),1),"")</f>
        <v/>
      </c>
      <c r="J514" t="str">
        <f>IFERROR(INDEX(diakadat!$K$2:$K$50,MATCH(D514,diakadat!$J$2:$J$50,0),1),"")</f>
        <v/>
      </c>
      <c r="K514" t="str" cm="1">
        <f t="array" ref="K514">IFERROR(DatumSzovegge2(INDEX(diakadat!$L$2:$L$50,MATCH(D514,diakadat!$J$2:$J$50,0),1)),"")</f>
        <v/>
      </c>
      <c r="L514" t="str" cm="1">
        <f t="array" ref="L514">IFERROR(DatumSzovegge5(INDEX(diakadat!$L$2:$L$50,MATCH(D514,diakadat!$J$2:$J$50,0),1)),"")</f>
        <v/>
      </c>
      <c r="M514" t="str" cm="1">
        <f t="array" ref="M514">IFERROR(DatumSzovegge3(INDEX(diakadat!$L$2:$L$50,MATCH(D514,diakadat!$J$2:$J$50,0),1)),"")</f>
        <v/>
      </c>
      <c r="N514" t="str" cm="1">
        <f t="array" ref="N514">IFERROR(DatumSzovegge4(INDEX(diakadat!$L$2:$L$50,MATCH(D514,diakadat!$J$2:$J$50,0),1)),"")</f>
        <v/>
      </c>
      <c r="O514" t="str">
        <f>IFERROR(INDEX(diakadat!$R$2:$R$50,MATCH(D514,diakadat!$J$2:$J$50,0),1),"")</f>
        <v/>
      </c>
      <c r="P514" t="str">
        <f>IFERROR(INDEX(diakadat!$AI$2:$AI$50,MATCH(D514,diakadat!$J$2:$J$50,0),1),"")</f>
        <v/>
      </c>
      <c r="Q514" t="str">
        <f>IFERROR(INDEX('rangsor'!$C$2:$C$343,MATCH(D514,'rangsor'!$A$2:$A$343,0),1),"")</f>
        <v/>
      </c>
      <c r="T514" t="s">
        <v>831</v>
      </c>
      <c r="U514" t="str" cm="1">
        <f t="array" ref="U514">Határozat(D514)</f>
        <v/>
      </c>
      <c r="AC514" t="str">
        <f>IFERROR(INDEX(diakadat!$U$2:$U$50,MATCH(D514,diakadat!$J$2:$J$50),1),"")</f>
        <v/>
      </c>
      <c r="AD514" t="str">
        <f>IFERROR(INDEX(diakadat!$V$2:$V$50,MATCH(D514,diakadat!$J$2:$J$50),1),"")</f>
        <v/>
      </c>
      <c r="AE514" t="str">
        <f>IFERROR(INDEX(diakadat!$W$2:$W$50,MATCH(D514,diakadat!$J$2:$J$50),1),"")</f>
        <v/>
      </c>
      <c r="AI514" t="str">
        <f>IFERROR(INDEX(diakadat!$X$2:$X$50,MATCH(D514,diakadat!$J$2:$J$50),1),"")</f>
        <v/>
      </c>
      <c r="AK514">
        <f t="shared" ref="AK514:AK577" si="8">COUNTIF($AD$2:$AD$350,AD514)</f>
        <v>329</v>
      </c>
      <c r="AL514" t="str" cm="1">
        <f t="array" ref="AL514">ElsoBetuNagy(R514)</f>
        <v/>
      </c>
      <c r="AO514" t="str" cm="1">
        <f t="array" ref="AO514">DatumSzovegge5(AN514)</f>
        <v>1899.</v>
      </c>
      <c r="AP514" t="str" cm="1">
        <f t="array" ref="AP514">DatumSzovegge3(AN514)</f>
        <v>december</v>
      </c>
      <c r="AQ514" t="str" cm="1">
        <f t="array" ref="AQ514">DatumSzovegge4(AN514)</f>
        <v>30.</v>
      </c>
    </row>
    <row r="515" spans="4:43" x14ac:dyDescent="0.25">
      <c r="D515" t="str" cm="1">
        <f t="array" ref="D515">SzuressNev($B$1,ROW()-1)</f>
        <v/>
      </c>
      <c r="E515">
        <f>COUNTIF($D$2:D515,D515)</f>
        <v>494</v>
      </c>
      <c r="F515" t="str" cm="1">
        <f t="array" ref="F515">ElutasitasEgyOk2(D515,E515)</f>
        <v/>
      </c>
      <c r="G515" t="str">
        <f>IFERROR(INDEX(diakadat!$I$2:$I$50,MATCH(D515,diakadat!$J$2:$J$50,0),1),"")</f>
        <v/>
      </c>
      <c r="H515" t="str">
        <f>IFERROR(INDEX(diakadat!$O$2:$O$50,MATCH(D515,diakadat!$J$2:$J$50,0),1),"")</f>
        <v/>
      </c>
      <c r="I515" t="str">
        <f>IFERROR(INDEX(diakadat!#REF!,MATCH(D515,diakadat!$J$2:$J$50,0),1),"")</f>
        <v/>
      </c>
      <c r="J515" t="str">
        <f>IFERROR(INDEX(diakadat!$K$2:$K$50,MATCH(D515,diakadat!$J$2:$J$50,0),1),"")</f>
        <v/>
      </c>
      <c r="K515" t="str" cm="1">
        <f t="array" ref="K515">IFERROR(DatumSzovegge2(INDEX(diakadat!$L$2:$L$50,MATCH(D515,diakadat!$J$2:$J$50,0),1)),"")</f>
        <v/>
      </c>
      <c r="L515" t="str" cm="1">
        <f t="array" ref="L515">IFERROR(DatumSzovegge5(INDEX(diakadat!$L$2:$L$50,MATCH(D515,diakadat!$J$2:$J$50,0),1)),"")</f>
        <v/>
      </c>
      <c r="M515" t="str" cm="1">
        <f t="array" ref="M515">IFERROR(DatumSzovegge3(INDEX(diakadat!$L$2:$L$50,MATCH(D515,diakadat!$J$2:$J$50,0),1)),"")</f>
        <v/>
      </c>
      <c r="N515" t="str" cm="1">
        <f t="array" ref="N515">IFERROR(DatumSzovegge4(INDEX(diakadat!$L$2:$L$50,MATCH(D515,diakadat!$J$2:$J$50,0),1)),"")</f>
        <v/>
      </c>
      <c r="O515" t="str">
        <f>IFERROR(INDEX(diakadat!$R$2:$R$50,MATCH(D515,diakadat!$J$2:$J$50,0),1),"")</f>
        <v/>
      </c>
      <c r="P515" t="str">
        <f>IFERROR(INDEX(diakadat!$AI$2:$AI$50,MATCH(D515,diakadat!$J$2:$J$50,0),1),"")</f>
        <v/>
      </c>
      <c r="Q515" t="str">
        <f>IFERROR(INDEX('rangsor'!$C$2:$C$343,MATCH(D515,'rangsor'!$A$2:$A$343,0),1),"")</f>
        <v/>
      </c>
      <c r="T515" t="s">
        <v>831</v>
      </c>
      <c r="U515" t="str" cm="1">
        <f t="array" ref="U515">Határozat(D515)</f>
        <v/>
      </c>
      <c r="AC515" t="str">
        <f>IFERROR(INDEX(diakadat!$U$2:$U$50,MATCH(D515,diakadat!$J$2:$J$50),1),"")</f>
        <v/>
      </c>
      <c r="AD515" t="str">
        <f>IFERROR(INDEX(diakadat!$V$2:$V$50,MATCH(D515,diakadat!$J$2:$J$50),1),"")</f>
        <v/>
      </c>
      <c r="AE515" t="str">
        <f>IFERROR(INDEX(diakadat!$W$2:$W$50,MATCH(D515,diakadat!$J$2:$J$50),1),"")</f>
        <v/>
      </c>
      <c r="AI515" t="str">
        <f>IFERROR(INDEX(diakadat!$X$2:$X$50,MATCH(D515,diakadat!$J$2:$J$50),1),"")</f>
        <v/>
      </c>
      <c r="AK515">
        <f t="shared" si="8"/>
        <v>329</v>
      </c>
      <c r="AL515" t="str" cm="1">
        <f t="array" ref="AL515">ElsoBetuNagy(R515)</f>
        <v/>
      </c>
      <c r="AO515" t="str" cm="1">
        <f t="array" ref="AO515">DatumSzovegge5(AN515)</f>
        <v>1899.</v>
      </c>
      <c r="AP515" t="str" cm="1">
        <f t="array" ref="AP515">DatumSzovegge3(AN515)</f>
        <v>december</v>
      </c>
      <c r="AQ515" t="str" cm="1">
        <f t="array" ref="AQ515">DatumSzovegge4(AN515)</f>
        <v>30.</v>
      </c>
    </row>
    <row r="516" spans="4:43" x14ac:dyDescent="0.25">
      <c r="D516" t="str" cm="1">
        <f t="array" ref="D516">SzuressNev($B$1,ROW()-1)</f>
        <v/>
      </c>
      <c r="E516">
        <f>COUNTIF($D$2:D516,D516)</f>
        <v>495</v>
      </c>
      <c r="F516" t="str" cm="1">
        <f t="array" ref="F516">ElutasitasEgyOk2(D516,E516)</f>
        <v/>
      </c>
      <c r="G516" t="str">
        <f>IFERROR(INDEX(diakadat!$I$2:$I$50,MATCH(D516,diakadat!$J$2:$J$50,0),1),"")</f>
        <v/>
      </c>
      <c r="H516" t="str">
        <f>IFERROR(INDEX(diakadat!$O$2:$O$50,MATCH(D516,diakadat!$J$2:$J$50,0),1),"")</f>
        <v/>
      </c>
      <c r="I516" t="str">
        <f>IFERROR(INDEX(diakadat!#REF!,MATCH(D516,diakadat!$J$2:$J$50,0),1),"")</f>
        <v/>
      </c>
      <c r="J516" t="str">
        <f>IFERROR(INDEX(diakadat!$K$2:$K$50,MATCH(D516,diakadat!$J$2:$J$50,0),1),"")</f>
        <v/>
      </c>
      <c r="K516" t="str" cm="1">
        <f t="array" ref="K516">IFERROR(DatumSzovegge2(INDEX(diakadat!$L$2:$L$50,MATCH(D516,diakadat!$J$2:$J$50,0),1)),"")</f>
        <v/>
      </c>
      <c r="L516" t="str" cm="1">
        <f t="array" ref="L516">IFERROR(DatumSzovegge5(INDEX(diakadat!$L$2:$L$50,MATCH(D516,diakadat!$J$2:$J$50,0),1)),"")</f>
        <v/>
      </c>
      <c r="M516" t="str" cm="1">
        <f t="array" ref="M516">IFERROR(DatumSzovegge3(INDEX(diakadat!$L$2:$L$50,MATCH(D516,diakadat!$J$2:$J$50,0),1)),"")</f>
        <v/>
      </c>
      <c r="N516" t="str" cm="1">
        <f t="array" ref="N516">IFERROR(DatumSzovegge4(INDEX(diakadat!$L$2:$L$50,MATCH(D516,diakadat!$J$2:$J$50,0),1)),"")</f>
        <v/>
      </c>
      <c r="O516" t="str">
        <f>IFERROR(INDEX(diakadat!$R$2:$R$50,MATCH(D516,diakadat!$J$2:$J$50,0),1),"")</f>
        <v/>
      </c>
      <c r="P516" t="str">
        <f>IFERROR(INDEX(diakadat!$AI$2:$AI$50,MATCH(D516,diakadat!$J$2:$J$50,0),1),"")</f>
        <v/>
      </c>
      <c r="Q516" t="str">
        <f>IFERROR(INDEX('rangsor'!$C$2:$C$343,MATCH(D516,'rangsor'!$A$2:$A$343,0),1),"")</f>
        <v/>
      </c>
      <c r="T516" t="s">
        <v>831</v>
      </c>
      <c r="U516" t="str" cm="1">
        <f t="array" ref="U516">Határozat(D516)</f>
        <v/>
      </c>
      <c r="AC516" t="str">
        <f>IFERROR(INDEX(diakadat!$U$2:$U$50,MATCH(D516,diakadat!$J$2:$J$50),1),"")</f>
        <v/>
      </c>
      <c r="AD516" t="str">
        <f>IFERROR(INDEX(diakadat!$V$2:$V$50,MATCH(D516,diakadat!$J$2:$J$50),1),"")</f>
        <v/>
      </c>
      <c r="AE516" t="str">
        <f>IFERROR(INDEX(diakadat!$W$2:$W$50,MATCH(D516,diakadat!$J$2:$J$50),1),"")</f>
        <v/>
      </c>
      <c r="AI516" t="str">
        <f>IFERROR(INDEX(diakadat!$X$2:$X$50,MATCH(D516,diakadat!$J$2:$J$50),1),"")</f>
        <v/>
      </c>
      <c r="AK516">
        <f t="shared" si="8"/>
        <v>329</v>
      </c>
      <c r="AL516" t="str" cm="1">
        <f t="array" ref="AL516">ElsoBetuNagy(R516)</f>
        <v/>
      </c>
      <c r="AO516" t="str" cm="1">
        <f t="array" ref="AO516">DatumSzovegge5(AN516)</f>
        <v>1899.</v>
      </c>
      <c r="AP516" t="str" cm="1">
        <f t="array" ref="AP516">DatumSzovegge3(AN516)</f>
        <v>december</v>
      </c>
      <c r="AQ516" t="str" cm="1">
        <f t="array" ref="AQ516">DatumSzovegge4(AN516)</f>
        <v>30.</v>
      </c>
    </row>
    <row r="517" spans="4:43" x14ac:dyDescent="0.25">
      <c r="D517" t="str" cm="1">
        <f t="array" ref="D517">SzuressNev($B$1,ROW()-1)</f>
        <v/>
      </c>
      <c r="E517">
        <f>COUNTIF($D$2:D517,D517)</f>
        <v>496</v>
      </c>
      <c r="F517" t="str" cm="1">
        <f t="array" ref="F517">ElutasitasEgyOk2(D517,E517)</f>
        <v/>
      </c>
      <c r="G517" t="str">
        <f>IFERROR(INDEX(diakadat!$I$2:$I$50,MATCH(D517,diakadat!$J$2:$J$50,0),1),"")</f>
        <v/>
      </c>
      <c r="H517" t="str">
        <f>IFERROR(INDEX(diakadat!$O$2:$O$50,MATCH(D517,diakadat!$J$2:$J$50,0),1),"")</f>
        <v/>
      </c>
      <c r="I517" t="str">
        <f>IFERROR(INDEX(diakadat!#REF!,MATCH(D517,diakadat!$J$2:$J$50,0),1),"")</f>
        <v/>
      </c>
      <c r="J517" t="str">
        <f>IFERROR(INDEX(diakadat!$K$2:$K$50,MATCH(D517,diakadat!$J$2:$J$50,0),1),"")</f>
        <v/>
      </c>
      <c r="K517" t="str" cm="1">
        <f t="array" ref="K517">IFERROR(DatumSzovegge2(INDEX(diakadat!$L$2:$L$50,MATCH(D517,diakadat!$J$2:$J$50,0),1)),"")</f>
        <v/>
      </c>
      <c r="L517" t="str" cm="1">
        <f t="array" ref="L517">IFERROR(DatumSzovegge5(INDEX(diakadat!$L$2:$L$50,MATCH(D517,diakadat!$J$2:$J$50,0),1)),"")</f>
        <v/>
      </c>
      <c r="M517" t="str" cm="1">
        <f t="array" ref="M517">IFERROR(DatumSzovegge3(INDEX(diakadat!$L$2:$L$50,MATCH(D517,diakadat!$J$2:$J$50,0),1)),"")</f>
        <v/>
      </c>
      <c r="N517" t="str" cm="1">
        <f t="array" ref="N517">IFERROR(DatumSzovegge4(INDEX(diakadat!$L$2:$L$50,MATCH(D517,diakadat!$J$2:$J$50,0),1)),"")</f>
        <v/>
      </c>
      <c r="O517" t="str">
        <f>IFERROR(INDEX(diakadat!$R$2:$R$50,MATCH(D517,diakadat!$J$2:$J$50,0),1),"")</f>
        <v/>
      </c>
      <c r="P517" t="str">
        <f>IFERROR(INDEX(diakadat!$AI$2:$AI$50,MATCH(D517,diakadat!$J$2:$J$50,0),1),"")</f>
        <v/>
      </c>
      <c r="Q517" t="str">
        <f>IFERROR(INDEX('rangsor'!$C$2:$C$343,MATCH(D517,'rangsor'!$A$2:$A$343,0),1),"")</f>
        <v/>
      </c>
      <c r="T517" t="s">
        <v>831</v>
      </c>
      <c r="U517" t="str" cm="1">
        <f t="array" ref="U517">Határozat(D517)</f>
        <v/>
      </c>
      <c r="AC517" t="str">
        <f>IFERROR(INDEX(diakadat!$U$2:$U$50,MATCH(D517,diakadat!$J$2:$J$50),1),"")</f>
        <v/>
      </c>
      <c r="AD517" t="str">
        <f>IFERROR(INDEX(diakadat!$V$2:$V$50,MATCH(D517,diakadat!$J$2:$J$50),1),"")</f>
        <v/>
      </c>
      <c r="AE517" t="str">
        <f>IFERROR(INDEX(diakadat!$W$2:$W$50,MATCH(D517,diakadat!$J$2:$J$50),1),"")</f>
        <v/>
      </c>
      <c r="AI517" t="str">
        <f>IFERROR(INDEX(diakadat!$X$2:$X$50,MATCH(D517,diakadat!$J$2:$J$50),1),"")</f>
        <v/>
      </c>
      <c r="AK517">
        <f t="shared" si="8"/>
        <v>329</v>
      </c>
      <c r="AL517" t="str" cm="1">
        <f t="array" ref="AL517">ElsoBetuNagy(R517)</f>
        <v/>
      </c>
      <c r="AO517" t="str" cm="1">
        <f t="array" ref="AO517">DatumSzovegge5(AN517)</f>
        <v>1899.</v>
      </c>
      <c r="AP517" t="str" cm="1">
        <f t="array" ref="AP517">DatumSzovegge3(AN517)</f>
        <v>december</v>
      </c>
      <c r="AQ517" t="str" cm="1">
        <f t="array" ref="AQ517">DatumSzovegge4(AN517)</f>
        <v>30.</v>
      </c>
    </row>
    <row r="518" spans="4:43" x14ac:dyDescent="0.25">
      <c r="D518" t="str" cm="1">
        <f t="array" ref="D518">SzuressNev($B$1,ROW()-1)</f>
        <v/>
      </c>
      <c r="E518">
        <f>COUNTIF($D$2:D593,D518)</f>
        <v>572</v>
      </c>
      <c r="F518" t="str" cm="1">
        <f t="array" ref="F518">ElutasitasEgyOk2(D518,E518)</f>
        <v/>
      </c>
      <c r="G518" t="str">
        <f>IFERROR(INDEX(diakadat!$I$2:$I$50,MATCH(D518,diakadat!$J$2:$J$50,0),1),"")</f>
        <v/>
      </c>
      <c r="H518" t="str">
        <f>IFERROR(INDEX(diakadat!$O$2:$O$50,MATCH(D518,diakadat!$J$2:$J$50,0),1),"")</f>
        <v/>
      </c>
      <c r="I518" t="str">
        <f>IFERROR(INDEX(diakadat!#REF!,MATCH(D518,diakadat!$J$2:$J$50,0),1),"")</f>
        <v/>
      </c>
      <c r="J518" t="str">
        <f>IFERROR(INDEX(diakadat!$K$2:$K$50,MATCH(D518,diakadat!$J$2:$J$50,0),1),"")</f>
        <v/>
      </c>
      <c r="K518" t="str" cm="1">
        <f t="array" ref="K518">IFERROR(DatumSzovegge2(INDEX(diakadat!$L$2:$L$50,MATCH(D518,diakadat!$J$2:$J$50,0),1)),"")</f>
        <v/>
      </c>
      <c r="L518" t="str" cm="1">
        <f t="array" ref="L518">IFERROR(DatumSzovegge5(INDEX(diakadat!$L$2:$L$50,MATCH(D518,diakadat!$J$2:$J$50,0),1)),"")</f>
        <v/>
      </c>
      <c r="M518" t="str" cm="1">
        <f t="array" ref="M518">IFERROR(DatumSzovegge3(INDEX(diakadat!$L$2:$L$50,MATCH(D518,diakadat!$J$2:$J$50,0),1)),"")</f>
        <v/>
      </c>
      <c r="N518" t="str" cm="1">
        <f t="array" ref="N518">IFERROR(DatumSzovegge4(INDEX(diakadat!$L$2:$L$50,MATCH(D518,diakadat!$J$2:$J$50,0),1)),"")</f>
        <v/>
      </c>
      <c r="O518" t="str">
        <f>IFERROR(INDEX(diakadat!$R$2:$R$50,MATCH(D518,diakadat!$J$2:$J$50,0),1),"")</f>
        <v/>
      </c>
      <c r="P518" t="str">
        <f>IFERROR(INDEX(diakadat!$AI$2:$AI$50,MATCH(D518,diakadat!$J$2:$J$50,0),1),"")</f>
        <v/>
      </c>
      <c r="Q518" t="str">
        <f>IFERROR(INDEX('rangsor'!$C$2:$C$343,MATCH(D518,'rangsor'!$A$2:$A$343,0),1),"")</f>
        <v/>
      </c>
      <c r="T518" t="s">
        <v>831</v>
      </c>
      <c r="U518" t="str" cm="1">
        <f t="array" ref="U518">Határozat(D518)</f>
        <v/>
      </c>
      <c r="AC518" t="str">
        <f>IFERROR(INDEX(diakadat!$U$2:$U$50,MATCH(D518,diakadat!$J$2:$J$50),1),"")</f>
        <v/>
      </c>
      <c r="AD518" t="str">
        <f>IFERROR(INDEX(diakadat!$V$2:$V$50,MATCH(D518,diakadat!$J$2:$J$50),1),"")</f>
        <v/>
      </c>
      <c r="AE518" t="str">
        <f>IFERROR(INDEX(diakadat!$W$2:$W$50,MATCH(D518,diakadat!$J$2:$J$50),1),"")</f>
        <v/>
      </c>
      <c r="AI518" t="str">
        <f>IFERROR(INDEX(diakadat!$X$2:$X$50,MATCH(D518,diakadat!$J$2:$J$50),1),"")</f>
        <v/>
      </c>
      <c r="AK518">
        <f t="shared" si="8"/>
        <v>329</v>
      </c>
      <c r="AL518" t="str" cm="1">
        <f t="array" ref="AL518">ElsoBetuNagy(R518)</f>
        <v/>
      </c>
      <c r="AO518" t="str" cm="1">
        <f t="array" ref="AO518">DatumSzovegge5(AN518)</f>
        <v>1899.</v>
      </c>
      <c r="AP518" t="str" cm="1">
        <f t="array" ref="AP518">DatumSzovegge3(AN518)</f>
        <v>december</v>
      </c>
      <c r="AQ518" t="str" cm="1">
        <f t="array" ref="AQ518">DatumSzovegge4(AN518)</f>
        <v>30.</v>
      </c>
    </row>
    <row r="519" spans="4:43" x14ac:dyDescent="0.25">
      <c r="D519" t="str" cm="1">
        <f t="array" ref="D519">SzuressNev($B$1,ROW()-1)</f>
        <v/>
      </c>
      <c r="E519">
        <f>COUNTIF($D$2:D519,D519)</f>
        <v>498</v>
      </c>
      <c r="F519" t="str" cm="1">
        <f t="array" ref="F519">ElutasitasEgyOk2(D519,E519)</f>
        <v/>
      </c>
      <c r="G519" t="str">
        <f>IFERROR(INDEX(diakadat!$I$2:$I$50,MATCH(D519,diakadat!$J$2:$J$50,0),1),"")</f>
        <v/>
      </c>
      <c r="H519" t="str">
        <f>IFERROR(INDEX(diakadat!$O$2:$O$50,MATCH(D519,diakadat!$J$2:$J$50,0),1),"")</f>
        <v/>
      </c>
      <c r="I519" t="str">
        <f>IFERROR(INDEX(diakadat!#REF!,MATCH(D519,diakadat!$J$2:$J$50,0),1),"")</f>
        <v/>
      </c>
      <c r="J519" t="str">
        <f>IFERROR(INDEX(diakadat!$K$2:$K$50,MATCH(D519,diakadat!$J$2:$J$50,0),1),"")</f>
        <v/>
      </c>
      <c r="K519" t="str" cm="1">
        <f t="array" ref="K519">IFERROR(DatumSzovegge2(INDEX(diakadat!$L$2:$L$50,MATCH(D519,diakadat!$J$2:$J$50,0),1)),"")</f>
        <v/>
      </c>
      <c r="L519" t="str" cm="1">
        <f t="array" ref="L519">IFERROR(DatumSzovegge5(INDEX(diakadat!$L$2:$L$50,MATCH(D519,diakadat!$J$2:$J$50,0),1)),"")</f>
        <v/>
      </c>
      <c r="M519" t="str" cm="1">
        <f t="array" ref="M519">IFERROR(DatumSzovegge3(INDEX(diakadat!$L$2:$L$50,MATCH(D519,diakadat!$J$2:$J$50,0),1)),"")</f>
        <v/>
      </c>
      <c r="N519" t="str" cm="1">
        <f t="array" ref="N519">IFERROR(DatumSzovegge4(INDEX(diakadat!$L$2:$L$50,MATCH(D519,diakadat!$J$2:$J$50,0),1)),"")</f>
        <v/>
      </c>
      <c r="O519" t="str">
        <f>IFERROR(INDEX(diakadat!$R$2:$R$50,MATCH(D519,diakadat!$J$2:$J$50,0),1),"")</f>
        <v/>
      </c>
      <c r="P519" t="str">
        <f>IFERROR(INDEX(diakadat!$AI$2:$AI$50,MATCH(D519,diakadat!$J$2:$J$50,0),1),"")</f>
        <v/>
      </c>
      <c r="Q519" t="str">
        <f>IFERROR(INDEX('rangsor'!$C$2:$C$343,MATCH(D519,'rangsor'!$A$2:$A$343,0),1),"")</f>
        <v/>
      </c>
      <c r="T519" t="s">
        <v>831</v>
      </c>
      <c r="U519" t="str" cm="1">
        <f t="array" ref="U519">Határozat(D519)</f>
        <v/>
      </c>
      <c r="AC519" t="str">
        <f>IFERROR(INDEX(diakadat!$U$2:$U$50,MATCH(D519,diakadat!$J$2:$J$50),1),"")</f>
        <v/>
      </c>
      <c r="AD519" t="str">
        <f>IFERROR(INDEX(diakadat!$V$2:$V$50,MATCH(D519,diakadat!$J$2:$J$50),1),"")</f>
        <v/>
      </c>
      <c r="AE519" t="str">
        <f>IFERROR(INDEX(diakadat!$W$2:$W$50,MATCH(D519,diakadat!$J$2:$J$50),1),"")</f>
        <v/>
      </c>
      <c r="AI519" t="str">
        <f>IFERROR(INDEX(diakadat!$X$2:$X$50,MATCH(D519,diakadat!$J$2:$J$50),1),"")</f>
        <v/>
      </c>
      <c r="AK519">
        <f t="shared" si="8"/>
        <v>329</v>
      </c>
      <c r="AL519" t="str" cm="1">
        <f t="array" ref="AL519">ElsoBetuNagy(R519)</f>
        <v/>
      </c>
      <c r="AO519" t="str" cm="1">
        <f t="array" ref="AO519">DatumSzovegge5(AN519)</f>
        <v>1899.</v>
      </c>
      <c r="AP519" t="str" cm="1">
        <f t="array" ref="AP519">DatumSzovegge3(AN519)</f>
        <v>december</v>
      </c>
      <c r="AQ519" t="str" cm="1">
        <f t="array" ref="AQ519">DatumSzovegge4(AN519)</f>
        <v>30.</v>
      </c>
    </row>
    <row r="520" spans="4:43" x14ac:dyDescent="0.25">
      <c r="D520" t="str" cm="1">
        <f t="array" ref="D520">SzuressNev($B$1,ROW()-1)</f>
        <v/>
      </c>
      <c r="E520">
        <f>COUNTIF($D$2:D520,D520)</f>
        <v>499</v>
      </c>
      <c r="F520" t="str" cm="1">
        <f t="array" ref="F520">ElutasitasEgyOk2(D520,E520)</f>
        <v/>
      </c>
      <c r="G520" t="str">
        <f>IFERROR(INDEX(diakadat!$I$2:$I$50,MATCH(D520,diakadat!$J$2:$J$50,0),1),"")</f>
        <v/>
      </c>
      <c r="H520" t="str">
        <f>IFERROR(INDEX(diakadat!$O$2:$O$50,MATCH(D520,diakadat!$J$2:$J$50,0),1),"")</f>
        <v/>
      </c>
      <c r="I520" t="str">
        <f>IFERROR(INDEX(diakadat!#REF!,MATCH(D520,diakadat!$J$2:$J$50,0),1),"")</f>
        <v/>
      </c>
      <c r="J520" t="str">
        <f>IFERROR(INDEX(diakadat!$K$2:$K$50,MATCH(D520,diakadat!$J$2:$J$50,0),1),"")</f>
        <v/>
      </c>
      <c r="K520" t="str" cm="1">
        <f t="array" ref="K520">IFERROR(DatumSzovegge2(INDEX(diakadat!$L$2:$L$50,MATCH(D520,diakadat!$J$2:$J$50,0),1)),"")</f>
        <v/>
      </c>
      <c r="L520" t="str" cm="1">
        <f t="array" ref="L520">IFERROR(DatumSzovegge5(INDEX(diakadat!$L$2:$L$50,MATCH(D520,diakadat!$J$2:$J$50,0),1)),"")</f>
        <v/>
      </c>
      <c r="M520" t="str" cm="1">
        <f t="array" ref="M520">IFERROR(DatumSzovegge3(INDEX(diakadat!$L$2:$L$50,MATCH(D520,diakadat!$J$2:$J$50,0),1)),"")</f>
        <v/>
      </c>
      <c r="N520" t="str" cm="1">
        <f t="array" ref="N520">IFERROR(DatumSzovegge4(INDEX(diakadat!$L$2:$L$50,MATCH(D520,diakadat!$J$2:$J$50,0),1)),"")</f>
        <v/>
      </c>
      <c r="O520" t="str">
        <f>IFERROR(INDEX(diakadat!$R$2:$R$50,MATCH(D520,diakadat!$J$2:$J$50,0),1),"")</f>
        <v/>
      </c>
      <c r="P520" t="str">
        <f>IFERROR(INDEX(diakadat!$AI$2:$AI$50,MATCH(D520,diakadat!$J$2:$J$50,0),1),"")</f>
        <v/>
      </c>
      <c r="Q520" t="str">
        <f>IFERROR(INDEX('rangsor'!$C$2:$C$343,MATCH(D520,'rangsor'!$A$2:$A$343,0),1),"")</f>
        <v/>
      </c>
      <c r="T520" t="s">
        <v>831</v>
      </c>
      <c r="U520" t="str" cm="1">
        <f t="array" ref="U520">Határozat(D520)</f>
        <v/>
      </c>
      <c r="AC520" t="str">
        <f>IFERROR(INDEX(diakadat!$U$2:$U$50,MATCH(D520,diakadat!$J$2:$J$50),1),"")</f>
        <v/>
      </c>
      <c r="AD520" t="str">
        <f>IFERROR(INDEX(diakadat!$V$2:$V$50,MATCH(D520,diakadat!$J$2:$J$50),1),"")</f>
        <v/>
      </c>
      <c r="AE520" t="str">
        <f>IFERROR(INDEX(diakadat!$W$2:$W$50,MATCH(D520,diakadat!$J$2:$J$50),1),"")</f>
        <v/>
      </c>
      <c r="AI520" t="str">
        <f>IFERROR(INDEX(diakadat!$X$2:$X$50,MATCH(D520,diakadat!$J$2:$J$50),1),"")</f>
        <v/>
      </c>
      <c r="AK520">
        <f t="shared" si="8"/>
        <v>329</v>
      </c>
      <c r="AL520" t="str" cm="1">
        <f t="array" ref="AL520">ElsoBetuNagy(R520)</f>
        <v/>
      </c>
      <c r="AO520" t="str" cm="1">
        <f t="array" ref="AO520">DatumSzovegge5(AN520)</f>
        <v>1899.</v>
      </c>
      <c r="AP520" t="str" cm="1">
        <f t="array" ref="AP520">DatumSzovegge3(AN520)</f>
        <v>december</v>
      </c>
      <c r="AQ520" t="str" cm="1">
        <f t="array" ref="AQ520">DatumSzovegge4(AN520)</f>
        <v>30.</v>
      </c>
    </row>
    <row r="521" spans="4:43" x14ac:dyDescent="0.25">
      <c r="D521" t="str" cm="1">
        <f t="array" ref="D521">SzuressNev($B$1,ROW()-1)</f>
        <v/>
      </c>
      <c r="E521">
        <f>COUNTIF($D$2:D521,D521)</f>
        <v>500</v>
      </c>
      <c r="F521" t="str" cm="1">
        <f t="array" ref="F521">ElutasitasEgyOk2(D521,E521)</f>
        <v/>
      </c>
      <c r="G521" t="str">
        <f>IFERROR(INDEX(diakadat!$I$2:$I$50,MATCH(D521,diakadat!$J$2:$J$50,0),1),"")</f>
        <v/>
      </c>
      <c r="H521" t="str">
        <f>IFERROR(INDEX(diakadat!$O$2:$O$50,MATCH(D521,diakadat!$J$2:$J$50,0),1),"")</f>
        <v/>
      </c>
      <c r="I521" t="str">
        <f>IFERROR(INDEX(diakadat!#REF!,MATCH(D521,diakadat!$J$2:$J$50,0),1),"")</f>
        <v/>
      </c>
      <c r="J521" t="str">
        <f>IFERROR(INDEX(diakadat!$K$2:$K$50,MATCH(D521,diakadat!$J$2:$J$50,0),1),"")</f>
        <v/>
      </c>
      <c r="K521" t="str" cm="1">
        <f t="array" ref="K521">IFERROR(DatumSzovegge2(INDEX(diakadat!$L$2:$L$50,MATCH(D521,diakadat!$J$2:$J$50,0),1)),"")</f>
        <v/>
      </c>
      <c r="L521" t="str" cm="1">
        <f t="array" ref="L521">IFERROR(DatumSzovegge5(INDEX(diakadat!$L$2:$L$50,MATCH(D521,diakadat!$J$2:$J$50,0),1)),"")</f>
        <v/>
      </c>
      <c r="M521" t="str" cm="1">
        <f t="array" ref="M521">IFERROR(DatumSzovegge3(INDEX(diakadat!$L$2:$L$50,MATCH(D521,diakadat!$J$2:$J$50,0),1)),"")</f>
        <v/>
      </c>
      <c r="N521" t="str" cm="1">
        <f t="array" ref="N521">IFERROR(DatumSzovegge4(INDEX(diakadat!$L$2:$L$50,MATCH(D521,diakadat!$J$2:$J$50,0),1)),"")</f>
        <v/>
      </c>
      <c r="O521" t="str">
        <f>IFERROR(INDEX(diakadat!$R$2:$R$50,MATCH(D521,diakadat!$J$2:$J$50,0),1),"")</f>
        <v/>
      </c>
      <c r="P521" t="str">
        <f>IFERROR(INDEX(diakadat!$AI$2:$AI$50,MATCH(D521,diakadat!$J$2:$J$50,0),1),"")</f>
        <v/>
      </c>
      <c r="Q521" t="str">
        <f>IFERROR(INDEX('rangsor'!$C$2:$C$343,MATCH(D521,'rangsor'!$A$2:$A$343,0),1),"")</f>
        <v/>
      </c>
      <c r="T521" t="s">
        <v>831</v>
      </c>
      <c r="U521" t="str" cm="1">
        <f t="array" ref="U521">Határozat(D521)</f>
        <v/>
      </c>
      <c r="AC521" t="str">
        <f>IFERROR(INDEX(diakadat!$U$2:$U$50,MATCH(D521,diakadat!$J$2:$J$50),1),"")</f>
        <v/>
      </c>
      <c r="AD521" t="str">
        <f>IFERROR(INDEX(diakadat!$V$2:$V$50,MATCH(D521,diakadat!$J$2:$J$50),1),"")</f>
        <v/>
      </c>
      <c r="AE521" t="str">
        <f>IFERROR(INDEX(diakadat!$W$2:$W$50,MATCH(D521,diakadat!$J$2:$J$50),1),"")</f>
        <v/>
      </c>
      <c r="AI521" t="str">
        <f>IFERROR(INDEX(diakadat!$X$2:$X$50,MATCH(D521,diakadat!$J$2:$J$50),1),"")</f>
        <v/>
      </c>
      <c r="AK521">
        <f t="shared" si="8"/>
        <v>329</v>
      </c>
      <c r="AL521" t="str" cm="1">
        <f t="array" ref="AL521">ElsoBetuNagy(R521)</f>
        <v/>
      </c>
      <c r="AO521" t="str" cm="1">
        <f t="array" ref="AO521">DatumSzovegge5(AN521)</f>
        <v>1899.</v>
      </c>
      <c r="AP521" t="str" cm="1">
        <f t="array" ref="AP521">DatumSzovegge3(AN521)</f>
        <v>december</v>
      </c>
      <c r="AQ521" t="str" cm="1">
        <f t="array" ref="AQ521">DatumSzovegge4(AN521)</f>
        <v>30.</v>
      </c>
    </row>
    <row r="522" spans="4:43" x14ac:dyDescent="0.25">
      <c r="D522" t="str" cm="1">
        <f t="array" ref="D522">SzuressNev($B$1,ROW()-1)</f>
        <v/>
      </c>
      <c r="E522">
        <f>COUNTIF($D$2:D522,D522)</f>
        <v>501</v>
      </c>
      <c r="F522" t="str" cm="1">
        <f t="array" ref="F522">ElutasitasEgyOk2(D522,E522)</f>
        <v/>
      </c>
      <c r="G522" t="str">
        <f>IFERROR(INDEX(diakadat!$I$2:$I$50,MATCH(D522,diakadat!$J$2:$J$50,0),1),"")</f>
        <v/>
      </c>
      <c r="H522" t="str">
        <f>IFERROR(INDEX(diakadat!$O$2:$O$50,MATCH(D522,diakadat!$J$2:$J$50,0),1),"")</f>
        <v/>
      </c>
      <c r="I522" t="str">
        <f>IFERROR(INDEX(diakadat!#REF!,MATCH(D522,diakadat!$J$2:$J$50,0),1),"")</f>
        <v/>
      </c>
      <c r="J522" t="str">
        <f>IFERROR(INDEX(diakadat!$K$2:$K$50,MATCH(D522,diakadat!$J$2:$J$50,0),1),"")</f>
        <v/>
      </c>
      <c r="K522" t="str" cm="1">
        <f t="array" ref="K522">IFERROR(DatumSzovegge2(INDEX(diakadat!$L$2:$L$50,MATCH(D522,diakadat!$J$2:$J$50,0),1)),"")</f>
        <v/>
      </c>
      <c r="L522" t="str" cm="1">
        <f t="array" ref="L522">IFERROR(DatumSzovegge5(INDEX(diakadat!$L$2:$L$50,MATCH(D522,diakadat!$J$2:$J$50,0),1)),"")</f>
        <v/>
      </c>
      <c r="M522" t="str" cm="1">
        <f t="array" ref="M522">IFERROR(DatumSzovegge3(INDEX(diakadat!$L$2:$L$50,MATCH(D522,diakadat!$J$2:$J$50,0),1)),"")</f>
        <v/>
      </c>
      <c r="N522" t="str" cm="1">
        <f t="array" ref="N522">IFERROR(DatumSzovegge4(INDEX(diakadat!$L$2:$L$50,MATCH(D522,diakadat!$J$2:$J$50,0),1)),"")</f>
        <v/>
      </c>
      <c r="O522" t="str">
        <f>IFERROR(INDEX(diakadat!$R$2:$R$50,MATCH(D522,diakadat!$J$2:$J$50,0),1),"")</f>
        <v/>
      </c>
      <c r="P522" t="str">
        <f>IFERROR(INDEX(diakadat!$AI$2:$AI$50,MATCH(D522,diakadat!$J$2:$J$50,0),1),"")</f>
        <v/>
      </c>
      <c r="Q522" t="str">
        <f>IFERROR(INDEX('rangsor'!$C$2:$C$343,MATCH(D522,'rangsor'!$A$2:$A$343,0),1),"")</f>
        <v/>
      </c>
      <c r="T522" t="s">
        <v>831</v>
      </c>
      <c r="U522" t="str" cm="1">
        <f t="array" ref="U522">Határozat(D522)</f>
        <v/>
      </c>
      <c r="AC522" t="str">
        <f>IFERROR(INDEX(diakadat!$U$2:$U$50,MATCH(D522,diakadat!$J$2:$J$50),1),"")</f>
        <v/>
      </c>
      <c r="AD522" t="str">
        <f>IFERROR(INDEX(diakadat!$V$2:$V$50,MATCH(D522,diakadat!$J$2:$J$50),1),"")</f>
        <v/>
      </c>
      <c r="AE522" t="str">
        <f>IFERROR(INDEX(diakadat!$W$2:$W$50,MATCH(D522,diakadat!$J$2:$J$50),1),"")</f>
        <v/>
      </c>
      <c r="AI522" t="str">
        <f>IFERROR(INDEX(diakadat!$X$2:$X$50,MATCH(D522,diakadat!$J$2:$J$50),1),"")</f>
        <v/>
      </c>
      <c r="AK522">
        <f t="shared" si="8"/>
        <v>329</v>
      </c>
      <c r="AL522" t="str" cm="1">
        <f t="array" ref="AL522">ElsoBetuNagy(R522)</f>
        <v/>
      </c>
      <c r="AO522" t="str" cm="1">
        <f t="array" ref="AO522">DatumSzovegge5(AN522)</f>
        <v>1899.</v>
      </c>
      <c r="AP522" t="str" cm="1">
        <f t="array" ref="AP522">DatumSzovegge3(AN522)</f>
        <v>december</v>
      </c>
      <c r="AQ522" t="str" cm="1">
        <f t="array" ref="AQ522">DatumSzovegge4(AN522)</f>
        <v>30.</v>
      </c>
    </row>
    <row r="523" spans="4:43" x14ac:dyDescent="0.25">
      <c r="D523" t="str" cm="1">
        <f t="array" ref="D523">SzuressNev($B$1,ROW()-1)</f>
        <v/>
      </c>
      <c r="E523">
        <f>COUNTIF($D$2:D523,D523)</f>
        <v>502</v>
      </c>
      <c r="F523" t="str" cm="1">
        <f t="array" ref="F523">ElutasitasEgyOk2(D523,E523)</f>
        <v/>
      </c>
      <c r="G523" t="str">
        <f>IFERROR(INDEX(diakadat!$I$2:$I$50,MATCH(D523,diakadat!$J$2:$J$50,0),1),"")</f>
        <v/>
      </c>
      <c r="H523" t="str">
        <f>IFERROR(INDEX(diakadat!$O$2:$O$50,MATCH(D523,diakadat!$J$2:$J$50,0),1),"")</f>
        <v/>
      </c>
      <c r="I523" t="str">
        <f>IFERROR(INDEX(diakadat!#REF!,MATCH(D523,diakadat!$J$2:$J$50,0),1),"")</f>
        <v/>
      </c>
      <c r="J523" t="str">
        <f>IFERROR(INDEX(diakadat!$K$2:$K$50,MATCH(D523,diakadat!$J$2:$J$50,0),1),"")</f>
        <v/>
      </c>
      <c r="K523" t="str" cm="1">
        <f t="array" ref="K523">IFERROR(DatumSzovegge2(INDEX(diakadat!$L$2:$L$50,MATCH(D523,diakadat!$J$2:$J$50,0),1)),"")</f>
        <v/>
      </c>
      <c r="L523" t="str" cm="1">
        <f t="array" ref="L523">IFERROR(DatumSzovegge5(INDEX(diakadat!$L$2:$L$50,MATCH(D523,diakadat!$J$2:$J$50,0),1)),"")</f>
        <v/>
      </c>
      <c r="M523" t="str" cm="1">
        <f t="array" ref="M523">IFERROR(DatumSzovegge3(INDEX(diakadat!$L$2:$L$50,MATCH(D523,diakadat!$J$2:$J$50,0),1)),"")</f>
        <v/>
      </c>
      <c r="N523" t="str" cm="1">
        <f t="array" ref="N523">IFERROR(DatumSzovegge4(INDEX(diakadat!$L$2:$L$50,MATCH(D523,diakadat!$J$2:$J$50,0),1)),"")</f>
        <v/>
      </c>
      <c r="O523" t="str">
        <f>IFERROR(INDEX(diakadat!$R$2:$R$50,MATCH(D523,diakadat!$J$2:$J$50,0),1),"")</f>
        <v/>
      </c>
      <c r="P523" t="str">
        <f>IFERROR(INDEX(diakadat!$AI$2:$AI$50,MATCH(D523,diakadat!$J$2:$J$50,0),1),"")</f>
        <v/>
      </c>
      <c r="Q523" t="str">
        <f>IFERROR(INDEX('rangsor'!$C$2:$C$343,MATCH(D523,'rangsor'!$A$2:$A$343,0),1),"")</f>
        <v/>
      </c>
      <c r="T523" t="s">
        <v>831</v>
      </c>
      <c r="U523" t="str" cm="1">
        <f t="array" ref="U523">Határozat(D523)</f>
        <v/>
      </c>
      <c r="AC523" t="str">
        <f>IFERROR(INDEX(diakadat!$U$2:$U$50,MATCH(D523,diakadat!$J$2:$J$50),1),"")</f>
        <v/>
      </c>
      <c r="AD523" t="str">
        <f>IFERROR(INDEX(diakadat!$V$2:$V$50,MATCH(D523,diakadat!$J$2:$J$50),1),"")</f>
        <v/>
      </c>
      <c r="AE523" t="str">
        <f>IFERROR(INDEX(diakadat!$W$2:$W$50,MATCH(D523,diakadat!$J$2:$J$50),1),"")</f>
        <v/>
      </c>
      <c r="AI523" t="str">
        <f>IFERROR(INDEX(diakadat!$X$2:$X$50,MATCH(D523,diakadat!$J$2:$J$50),1),"")</f>
        <v/>
      </c>
      <c r="AK523">
        <f t="shared" si="8"/>
        <v>329</v>
      </c>
      <c r="AL523" t="str" cm="1">
        <f t="array" ref="AL523">ElsoBetuNagy(R523)</f>
        <v/>
      </c>
      <c r="AO523" t="str" cm="1">
        <f t="array" ref="AO523">DatumSzovegge5(AN523)</f>
        <v>1899.</v>
      </c>
      <c r="AP523" t="str" cm="1">
        <f t="array" ref="AP523">DatumSzovegge3(AN523)</f>
        <v>december</v>
      </c>
      <c r="AQ523" t="str" cm="1">
        <f t="array" ref="AQ523">DatumSzovegge4(AN523)</f>
        <v>30.</v>
      </c>
    </row>
    <row r="524" spans="4:43" x14ac:dyDescent="0.25">
      <c r="D524" t="str" cm="1">
        <f t="array" ref="D524">SzuressNev($B$1,ROW()-1)</f>
        <v/>
      </c>
      <c r="E524">
        <f>COUNTIF($D$2:D524,D524)</f>
        <v>503</v>
      </c>
      <c r="F524" t="str" cm="1">
        <f t="array" ref="F524">ElutasitasEgyOk2(D524,E524)</f>
        <v/>
      </c>
      <c r="G524" t="str">
        <f>IFERROR(INDEX(diakadat!$I$2:$I$50,MATCH(D524,diakadat!$J$2:$J$50,0),1),"")</f>
        <v/>
      </c>
      <c r="H524" t="str">
        <f>IFERROR(INDEX(diakadat!$O$2:$O$50,MATCH(D524,diakadat!$J$2:$J$50,0),1),"")</f>
        <v/>
      </c>
      <c r="I524" t="str">
        <f>IFERROR(INDEX(diakadat!#REF!,MATCH(D524,diakadat!$J$2:$J$50,0),1),"")</f>
        <v/>
      </c>
      <c r="J524" t="str">
        <f>IFERROR(INDEX(diakadat!$K$2:$K$50,MATCH(D524,diakadat!$J$2:$J$50,0),1),"")</f>
        <v/>
      </c>
      <c r="K524" t="str" cm="1">
        <f t="array" ref="K524">IFERROR(DatumSzovegge2(INDEX(diakadat!$L$2:$L$50,MATCH(D524,diakadat!$J$2:$J$50,0),1)),"")</f>
        <v/>
      </c>
      <c r="L524" t="str" cm="1">
        <f t="array" ref="L524">IFERROR(DatumSzovegge5(INDEX(diakadat!$L$2:$L$50,MATCH(D524,diakadat!$J$2:$J$50,0),1)),"")</f>
        <v/>
      </c>
      <c r="M524" t="str" cm="1">
        <f t="array" ref="M524">IFERROR(DatumSzovegge3(INDEX(diakadat!$L$2:$L$50,MATCH(D524,diakadat!$J$2:$J$50,0),1)),"")</f>
        <v/>
      </c>
      <c r="N524" t="str" cm="1">
        <f t="array" ref="N524">IFERROR(DatumSzovegge4(INDEX(diakadat!$L$2:$L$50,MATCH(D524,diakadat!$J$2:$J$50,0),1)),"")</f>
        <v/>
      </c>
      <c r="O524" t="str">
        <f>IFERROR(INDEX(diakadat!$R$2:$R$50,MATCH(D524,diakadat!$J$2:$J$50,0),1),"")</f>
        <v/>
      </c>
      <c r="P524" t="str">
        <f>IFERROR(INDEX(diakadat!$AI$2:$AI$50,MATCH(D524,diakadat!$J$2:$J$50,0),1),"")</f>
        <v/>
      </c>
      <c r="Q524" t="str">
        <f>IFERROR(INDEX('rangsor'!$C$2:$C$343,MATCH(D524,'rangsor'!$A$2:$A$343,0),1),"")</f>
        <v/>
      </c>
      <c r="T524" t="s">
        <v>831</v>
      </c>
      <c r="U524" t="str" cm="1">
        <f t="array" ref="U524">Határozat(D524)</f>
        <v/>
      </c>
      <c r="AC524" t="str">
        <f>IFERROR(INDEX(diakadat!$U$2:$U$50,MATCH(D524,diakadat!$J$2:$J$50),1),"")</f>
        <v/>
      </c>
      <c r="AD524" t="str">
        <f>IFERROR(INDEX(diakadat!$V$2:$V$50,MATCH(D524,diakadat!$J$2:$J$50),1),"")</f>
        <v/>
      </c>
      <c r="AE524" t="str">
        <f>IFERROR(INDEX(diakadat!$W$2:$W$50,MATCH(D524,diakadat!$J$2:$J$50),1),"")</f>
        <v/>
      </c>
      <c r="AI524" t="str">
        <f>IFERROR(INDEX(diakadat!$X$2:$X$50,MATCH(D524,diakadat!$J$2:$J$50),1),"")</f>
        <v/>
      </c>
      <c r="AK524">
        <f t="shared" si="8"/>
        <v>329</v>
      </c>
      <c r="AL524" t="str" cm="1">
        <f t="array" ref="AL524">ElsoBetuNagy(R524)</f>
        <v/>
      </c>
      <c r="AO524" t="str" cm="1">
        <f t="array" ref="AO524">DatumSzovegge5(AN524)</f>
        <v>1899.</v>
      </c>
      <c r="AP524" t="str" cm="1">
        <f t="array" ref="AP524">DatumSzovegge3(AN524)</f>
        <v>december</v>
      </c>
      <c r="AQ524" t="str" cm="1">
        <f t="array" ref="AQ524">DatumSzovegge4(AN524)</f>
        <v>30.</v>
      </c>
    </row>
    <row r="525" spans="4:43" x14ac:dyDescent="0.25">
      <c r="D525" t="str" cm="1">
        <f t="array" ref="D525">SzuressNev($B$1,ROW()-1)</f>
        <v/>
      </c>
      <c r="E525">
        <f>COUNTIF($D$2:D525,D525)</f>
        <v>504</v>
      </c>
      <c r="F525" t="str" cm="1">
        <f t="array" ref="F525">ElutasitasEgyOk2(D525,E525)</f>
        <v/>
      </c>
      <c r="G525" t="str">
        <f>IFERROR(INDEX(diakadat!$I$2:$I$50,MATCH(D525,diakadat!$J$2:$J$50,0),1),"")</f>
        <v/>
      </c>
      <c r="H525" t="str">
        <f>IFERROR(INDEX(diakadat!$O$2:$O$50,MATCH(D525,diakadat!$J$2:$J$50,0),1),"")</f>
        <v/>
      </c>
      <c r="I525" t="str">
        <f>IFERROR(INDEX(diakadat!#REF!,MATCH(D525,diakadat!$J$2:$J$50,0),1),"")</f>
        <v/>
      </c>
      <c r="J525" t="str">
        <f>IFERROR(INDEX(diakadat!$K$2:$K$50,MATCH(D525,diakadat!$J$2:$J$50,0),1),"")</f>
        <v/>
      </c>
      <c r="K525" t="str" cm="1">
        <f t="array" ref="K525">IFERROR(DatumSzovegge2(INDEX(diakadat!$L$2:$L$50,MATCH(D525,diakadat!$J$2:$J$50,0),1)),"")</f>
        <v/>
      </c>
      <c r="L525" t="str" cm="1">
        <f t="array" ref="L525">IFERROR(DatumSzovegge5(INDEX(diakadat!$L$2:$L$50,MATCH(D525,diakadat!$J$2:$J$50,0),1)),"")</f>
        <v/>
      </c>
      <c r="M525" t="str" cm="1">
        <f t="array" ref="M525">IFERROR(DatumSzovegge3(INDEX(diakadat!$L$2:$L$50,MATCH(D525,diakadat!$J$2:$J$50,0),1)),"")</f>
        <v/>
      </c>
      <c r="N525" t="str" cm="1">
        <f t="array" ref="N525">IFERROR(DatumSzovegge4(INDEX(diakadat!$L$2:$L$50,MATCH(D525,diakadat!$J$2:$J$50,0),1)),"")</f>
        <v/>
      </c>
      <c r="O525" t="str">
        <f>IFERROR(INDEX(diakadat!$R$2:$R$50,MATCH(D525,diakadat!$J$2:$J$50,0),1),"")</f>
        <v/>
      </c>
      <c r="P525" t="str">
        <f>IFERROR(INDEX(diakadat!$AI$2:$AI$50,MATCH(D525,diakadat!$J$2:$J$50,0),1),"")</f>
        <v/>
      </c>
      <c r="Q525" t="str">
        <f>IFERROR(INDEX('rangsor'!$C$2:$C$343,MATCH(D525,'rangsor'!$A$2:$A$343,0),1),"")</f>
        <v/>
      </c>
      <c r="T525" t="s">
        <v>831</v>
      </c>
      <c r="U525" t="str" cm="1">
        <f t="array" ref="U525">Határozat(D525)</f>
        <v/>
      </c>
      <c r="AC525" t="str">
        <f>IFERROR(INDEX(diakadat!$U$2:$U$50,MATCH(D525,diakadat!$J$2:$J$50),1),"")</f>
        <v/>
      </c>
      <c r="AD525" t="str">
        <f>IFERROR(INDEX(diakadat!$V$2:$V$50,MATCH(D525,diakadat!$J$2:$J$50),1),"")</f>
        <v/>
      </c>
      <c r="AE525" t="str">
        <f>IFERROR(INDEX(diakadat!$W$2:$W$50,MATCH(D525,diakadat!$J$2:$J$50),1),"")</f>
        <v/>
      </c>
      <c r="AI525" t="str">
        <f>IFERROR(INDEX(diakadat!$X$2:$X$50,MATCH(D525,diakadat!$J$2:$J$50),1),"")</f>
        <v/>
      </c>
      <c r="AK525">
        <f t="shared" si="8"/>
        <v>329</v>
      </c>
      <c r="AL525" t="str" cm="1">
        <f t="array" ref="AL525">ElsoBetuNagy(R525)</f>
        <v/>
      </c>
      <c r="AO525" t="str" cm="1">
        <f t="array" ref="AO525">DatumSzovegge5(AN525)</f>
        <v>1899.</v>
      </c>
      <c r="AP525" t="str" cm="1">
        <f t="array" ref="AP525">DatumSzovegge3(AN525)</f>
        <v>december</v>
      </c>
      <c r="AQ525" t="str" cm="1">
        <f t="array" ref="AQ525">DatumSzovegge4(AN525)</f>
        <v>30.</v>
      </c>
    </row>
    <row r="526" spans="4:43" x14ac:dyDescent="0.25">
      <c r="D526" t="str" cm="1">
        <f t="array" ref="D526">SzuressNev($B$1,ROW()-1)</f>
        <v/>
      </c>
      <c r="E526">
        <f>COUNTIF($D$2:D526,D526)</f>
        <v>505</v>
      </c>
      <c r="F526" t="str" cm="1">
        <f t="array" ref="F526">ElutasitasEgyOk2(D526,E526)</f>
        <v/>
      </c>
      <c r="G526" t="str">
        <f>IFERROR(INDEX(diakadat!$I$2:$I$50,MATCH(D526,diakadat!$J$2:$J$50,0),1),"")</f>
        <v/>
      </c>
      <c r="H526" t="str">
        <f>IFERROR(INDEX(diakadat!$O$2:$O$50,MATCH(D526,diakadat!$J$2:$J$50,0),1),"")</f>
        <v/>
      </c>
      <c r="I526" t="str">
        <f>IFERROR(INDEX(diakadat!#REF!,MATCH(D526,diakadat!$J$2:$J$50,0),1),"")</f>
        <v/>
      </c>
      <c r="J526" t="str">
        <f>IFERROR(INDEX(diakadat!$K$2:$K$50,MATCH(D526,diakadat!$J$2:$J$50,0),1),"")</f>
        <v/>
      </c>
      <c r="K526" t="str" cm="1">
        <f t="array" ref="K526">IFERROR(DatumSzovegge2(INDEX(diakadat!$L$2:$L$50,MATCH(D526,diakadat!$J$2:$J$50,0),1)),"")</f>
        <v/>
      </c>
      <c r="L526" t="str" cm="1">
        <f t="array" ref="L526">IFERROR(DatumSzovegge5(INDEX(diakadat!$L$2:$L$50,MATCH(D526,diakadat!$J$2:$J$50,0),1)),"")</f>
        <v/>
      </c>
      <c r="M526" t="str" cm="1">
        <f t="array" ref="M526">IFERROR(DatumSzovegge3(INDEX(diakadat!$L$2:$L$50,MATCH(D526,diakadat!$J$2:$J$50,0),1)),"")</f>
        <v/>
      </c>
      <c r="N526" t="str" cm="1">
        <f t="array" ref="N526">IFERROR(DatumSzovegge4(INDEX(diakadat!$L$2:$L$50,MATCH(D526,diakadat!$J$2:$J$50,0),1)),"")</f>
        <v/>
      </c>
      <c r="O526" t="str">
        <f>IFERROR(INDEX(diakadat!$R$2:$R$50,MATCH(D526,diakadat!$J$2:$J$50,0),1),"")</f>
        <v/>
      </c>
      <c r="P526" t="str">
        <f>IFERROR(INDEX(diakadat!$AI$2:$AI$50,MATCH(D526,diakadat!$J$2:$J$50,0),1),"")</f>
        <v/>
      </c>
      <c r="Q526" t="str">
        <f>IFERROR(INDEX('rangsor'!$C$2:$C$343,MATCH(D526,'rangsor'!$A$2:$A$343,0),1),"")</f>
        <v/>
      </c>
      <c r="T526" t="s">
        <v>831</v>
      </c>
      <c r="U526" t="str" cm="1">
        <f t="array" ref="U526">Határozat(D526)</f>
        <v/>
      </c>
      <c r="AC526" t="str">
        <f>IFERROR(INDEX(diakadat!$U$2:$U$50,MATCH(D526,diakadat!$J$2:$J$50),1),"")</f>
        <v/>
      </c>
      <c r="AD526" t="str">
        <f>IFERROR(INDEX(diakadat!$V$2:$V$50,MATCH(D526,diakadat!$J$2:$J$50),1),"")</f>
        <v/>
      </c>
      <c r="AE526" t="str">
        <f>IFERROR(INDEX(diakadat!$W$2:$W$50,MATCH(D526,diakadat!$J$2:$J$50),1),"")</f>
        <v/>
      </c>
      <c r="AI526" t="str">
        <f>IFERROR(INDEX(diakadat!$X$2:$X$50,MATCH(D526,diakadat!$J$2:$J$50),1),"")</f>
        <v/>
      </c>
      <c r="AK526">
        <f t="shared" si="8"/>
        <v>329</v>
      </c>
      <c r="AL526" t="str" cm="1">
        <f t="array" ref="AL526">ElsoBetuNagy(R526)</f>
        <v/>
      </c>
      <c r="AO526" t="str" cm="1">
        <f t="array" ref="AO526">DatumSzovegge5(AN526)</f>
        <v>1899.</v>
      </c>
      <c r="AP526" t="str" cm="1">
        <f t="array" ref="AP526">DatumSzovegge3(AN526)</f>
        <v>december</v>
      </c>
      <c r="AQ526" t="str" cm="1">
        <f t="array" ref="AQ526">DatumSzovegge4(AN526)</f>
        <v>30.</v>
      </c>
    </row>
    <row r="527" spans="4:43" x14ac:dyDescent="0.25">
      <c r="D527" t="str" cm="1">
        <f t="array" ref="D527">SzuressNev($B$1,ROW()-1)</f>
        <v/>
      </c>
      <c r="E527">
        <f>COUNTIF($D$2:D527,D527)</f>
        <v>506</v>
      </c>
      <c r="F527" t="str" cm="1">
        <f t="array" ref="F527">ElutasitasEgyOk2(D527,E527)</f>
        <v/>
      </c>
      <c r="G527" t="str">
        <f>IFERROR(INDEX(diakadat!$I$2:$I$50,MATCH(D527,diakadat!$J$2:$J$50,0),1),"")</f>
        <v/>
      </c>
      <c r="H527" t="str">
        <f>IFERROR(INDEX(diakadat!$O$2:$O$50,MATCH(D527,diakadat!$J$2:$J$50,0),1),"")</f>
        <v/>
      </c>
      <c r="I527" t="str">
        <f>IFERROR(INDEX(diakadat!#REF!,MATCH(D527,diakadat!$J$2:$J$50,0),1),"")</f>
        <v/>
      </c>
      <c r="J527" t="str">
        <f>IFERROR(INDEX(diakadat!$K$2:$K$50,MATCH(D527,diakadat!$J$2:$J$50,0),1),"")</f>
        <v/>
      </c>
      <c r="K527" t="str" cm="1">
        <f t="array" ref="K527">IFERROR(DatumSzovegge2(INDEX(diakadat!$L$2:$L$50,MATCH(D527,diakadat!$J$2:$J$50,0),1)),"")</f>
        <v/>
      </c>
      <c r="L527" t="str" cm="1">
        <f t="array" ref="L527">IFERROR(DatumSzovegge5(INDEX(diakadat!$L$2:$L$50,MATCH(D527,diakadat!$J$2:$J$50,0),1)),"")</f>
        <v/>
      </c>
      <c r="M527" t="str" cm="1">
        <f t="array" ref="M527">IFERROR(DatumSzovegge3(INDEX(diakadat!$L$2:$L$50,MATCH(D527,diakadat!$J$2:$J$50,0),1)),"")</f>
        <v/>
      </c>
      <c r="N527" t="str" cm="1">
        <f t="array" ref="N527">IFERROR(DatumSzovegge4(INDEX(diakadat!$L$2:$L$50,MATCH(D527,diakadat!$J$2:$J$50,0),1)),"")</f>
        <v/>
      </c>
      <c r="O527" t="str">
        <f>IFERROR(INDEX(diakadat!$R$2:$R$50,MATCH(D527,diakadat!$J$2:$J$50,0),1),"")</f>
        <v/>
      </c>
      <c r="P527" t="str">
        <f>IFERROR(INDEX(diakadat!$AI$2:$AI$50,MATCH(D527,diakadat!$J$2:$J$50,0),1),"")</f>
        <v/>
      </c>
      <c r="Q527" t="str">
        <f>IFERROR(INDEX('rangsor'!$C$2:$C$343,MATCH(D527,'rangsor'!$A$2:$A$343,0),1),"")</f>
        <v/>
      </c>
      <c r="T527" t="s">
        <v>831</v>
      </c>
      <c r="U527" t="str" cm="1">
        <f t="array" ref="U527">Határozat(D527)</f>
        <v/>
      </c>
      <c r="AC527" t="str">
        <f>IFERROR(INDEX(diakadat!$U$2:$U$50,MATCH(D527,diakadat!$J$2:$J$50),1),"")</f>
        <v/>
      </c>
      <c r="AD527" t="str">
        <f>IFERROR(INDEX(diakadat!$V$2:$V$50,MATCH(D527,diakadat!$J$2:$J$50),1),"")</f>
        <v/>
      </c>
      <c r="AE527" t="str">
        <f>IFERROR(INDEX(diakadat!$W$2:$W$50,MATCH(D527,diakadat!$J$2:$J$50),1),"")</f>
        <v/>
      </c>
      <c r="AI527" t="str">
        <f>IFERROR(INDEX(diakadat!$X$2:$X$50,MATCH(D527,diakadat!$J$2:$J$50),1),"")</f>
        <v/>
      </c>
      <c r="AK527">
        <f t="shared" si="8"/>
        <v>329</v>
      </c>
      <c r="AL527" t="str" cm="1">
        <f t="array" ref="AL527">ElsoBetuNagy(R527)</f>
        <v/>
      </c>
      <c r="AO527" t="str" cm="1">
        <f t="array" ref="AO527">DatumSzovegge5(AN527)</f>
        <v>1899.</v>
      </c>
      <c r="AP527" t="str" cm="1">
        <f t="array" ref="AP527">DatumSzovegge3(AN527)</f>
        <v>december</v>
      </c>
      <c r="AQ527" t="str" cm="1">
        <f t="array" ref="AQ527">DatumSzovegge4(AN527)</f>
        <v>30.</v>
      </c>
    </row>
    <row r="528" spans="4:43" x14ac:dyDescent="0.25">
      <c r="D528" t="str" cm="1">
        <f t="array" ref="D528">SzuressNev($B$1,ROW()-1)</f>
        <v/>
      </c>
      <c r="E528">
        <f>COUNTIF($D$2:D528,D528)</f>
        <v>507</v>
      </c>
      <c r="F528" t="str" cm="1">
        <f t="array" ref="F528">ElutasitasEgyOk2(D528,E528)</f>
        <v/>
      </c>
      <c r="G528" t="str">
        <f>IFERROR(INDEX(diakadat!$I$2:$I$50,MATCH(D528,diakadat!$J$2:$J$50,0),1),"")</f>
        <v/>
      </c>
      <c r="H528" t="str">
        <f>IFERROR(INDEX(diakadat!$O$2:$O$50,MATCH(D528,diakadat!$J$2:$J$50,0),1),"")</f>
        <v/>
      </c>
      <c r="I528" t="str">
        <f>IFERROR(INDEX(diakadat!#REF!,MATCH(D528,diakadat!$J$2:$J$50,0),1),"")</f>
        <v/>
      </c>
      <c r="J528" t="str">
        <f>IFERROR(INDEX(diakadat!$K$2:$K$50,MATCH(D528,diakadat!$J$2:$J$50,0),1),"")</f>
        <v/>
      </c>
      <c r="K528" t="str" cm="1">
        <f t="array" ref="K528">IFERROR(DatumSzovegge2(INDEX(diakadat!$L$2:$L$50,MATCH(D528,diakadat!$J$2:$J$50,0),1)),"")</f>
        <v/>
      </c>
      <c r="L528" t="str" cm="1">
        <f t="array" ref="L528">IFERROR(DatumSzovegge5(INDEX(diakadat!$L$2:$L$50,MATCH(D528,diakadat!$J$2:$J$50,0),1)),"")</f>
        <v/>
      </c>
      <c r="M528" t="str" cm="1">
        <f t="array" ref="M528">IFERROR(DatumSzovegge3(INDEX(diakadat!$L$2:$L$50,MATCH(D528,diakadat!$J$2:$J$50,0),1)),"")</f>
        <v/>
      </c>
      <c r="N528" t="str" cm="1">
        <f t="array" ref="N528">IFERROR(DatumSzovegge4(INDEX(diakadat!$L$2:$L$50,MATCH(D528,diakadat!$J$2:$J$50,0),1)),"")</f>
        <v/>
      </c>
      <c r="O528" t="str">
        <f>IFERROR(INDEX(diakadat!$R$2:$R$50,MATCH(D528,diakadat!$J$2:$J$50,0),1),"")</f>
        <v/>
      </c>
      <c r="P528" t="str">
        <f>IFERROR(INDEX(diakadat!$AI$2:$AI$50,MATCH(D528,diakadat!$J$2:$J$50,0),1),"")</f>
        <v/>
      </c>
      <c r="Q528" t="str">
        <f>IFERROR(INDEX('rangsor'!$C$2:$C$343,MATCH(D528,'rangsor'!$A$2:$A$343,0),1),"")</f>
        <v/>
      </c>
      <c r="T528" t="s">
        <v>831</v>
      </c>
      <c r="U528" t="str" cm="1">
        <f t="array" ref="U528">Határozat(D528)</f>
        <v/>
      </c>
      <c r="AC528" t="str">
        <f>IFERROR(INDEX(diakadat!$U$2:$U$50,MATCH(D528,diakadat!$J$2:$J$50),1),"")</f>
        <v/>
      </c>
      <c r="AD528" t="str">
        <f>IFERROR(INDEX(diakadat!$V$2:$V$50,MATCH(D528,diakadat!$J$2:$J$50),1),"")</f>
        <v/>
      </c>
      <c r="AE528" t="str">
        <f>IFERROR(INDEX(diakadat!$W$2:$W$50,MATCH(D528,diakadat!$J$2:$J$50),1),"")</f>
        <v/>
      </c>
      <c r="AI528" t="str">
        <f>IFERROR(INDEX(diakadat!$X$2:$X$50,MATCH(D528,diakadat!$J$2:$J$50),1),"")</f>
        <v/>
      </c>
      <c r="AK528">
        <f t="shared" si="8"/>
        <v>329</v>
      </c>
      <c r="AL528" t="str" cm="1">
        <f t="array" ref="AL528">ElsoBetuNagy(R528)</f>
        <v/>
      </c>
      <c r="AO528" t="str" cm="1">
        <f t="array" ref="AO528">DatumSzovegge5(AN528)</f>
        <v>1899.</v>
      </c>
      <c r="AP528" t="str" cm="1">
        <f t="array" ref="AP528">DatumSzovegge3(AN528)</f>
        <v>december</v>
      </c>
      <c r="AQ528" t="str" cm="1">
        <f t="array" ref="AQ528">DatumSzovegge4(AN528)</f>
        <v>30.</v>
      </c>
    </row>
    <row r="529" spans="4:43" x14ac:dyDescent="0.25">
      <c r="D529" t="str" cm="1">
        <f t="array" ref="D529">SzuressNev($B$1,ROW()-1)</f>
        <v/>
      </c>
      <c r="E529">
        <f>COUNTIF($D$2:D529,D529)</f>
        <v>508</v>
      </c>
      <c r="F529" t="str" cm="1">
        <f t="array" ref="F529">ElutasitasEgyOk2(D529,E529)</f>
        <v/>
      </c>
      <c r="G529" t="str">
        <f>IFERROR(INDEX(diakadat!$I$2:$I$50,MATCH(D529,diakadat!$J$2:$J$50,0),1),"")</f>
        <v/>
      </c>
      <c r="H529" t="str">
        <f>IFERROR(INDEX(diakadat!$O$2:$O$50,MATCH(D529,diakadat!$J$2:$J$50,0),1),"")</f>
        <v/>
      </c>
      <c r="I529" t="str">
        <f>IFERROR(INDEX(diakadat!#REF!,MATCH(D529,diakadat!$J$2:$J$50,0),1),"")</f>
        <v/>
      </c>
      <c r="J529" t="str">
        <f>IFERROR(INDEX(diakadat!$K$2:$K$50,MATCH(D529,diakadat!$J$2:$J$50,0),1),"")</f>
        <v/>
      </c>
      <c r="K529" t="str" cm="1">
        <f t="array" ref="K529">IFERROR(DatumSzovegge2(INDEX(diakadat!$L$2:$L$50,MATCH(D529,diakadat!$J$2:$J$50,0),1)),"")</f>
        <v/>
      </c>
      <c r="L529" t="str" cm="1">
        <f t="array" ref="L529">IFERROR(DatumSzovegge5(INDEX(diakadat!$L$2:$L$50,MATCH(D529,diakadat!$J$2:$J$50,0),1)),"")</f>
        <v/>
      </c>
      <c r="M529" t="str" cm="1">
        <f t="array" ref="M529">IFERROR(DatumSzovegge3(INDEX(diakadat!$L$2:$L$50,MATCH(D529,diakadat!$J$2:$J$50,0),1)),"")</f>
        <v/>
      </c>
      <c r="N529" t="str" cm="1">
        <f t="array" ref="N529">IFERROR(DatumSzovegge4(INDEX(diakadat!$L$2:$L$50,MATCH(D529,diakadat!$J$2:$J$50,0),1)),"")</f>
        <v/>
      </c>
      <c r="O529" t="str">
        <f>IFERROR(INDEX(diakadat!$R$2:$R$50,MATCH(D529,diakadat!$J$2:$J$50,0),1),"")</f>
        <v/>
      </c>
      <c r="P529" t="str">
        <f>IFERROR(INDEX(diakadat!$AI$2:$AI$50,MATCH(D529,diakadat!$J$2:$J$50,0),1),"")</f>
        <v/>
      </c>
      <c r="Q529" t="str">
        <f>IFERROR(INDEX('rangsor'!$C$2:$C$343,MATCH(D529,'rangsor'!$A$2:$A$343,0),1),"")</f>
        <v/>
      </c>
      <c r="T529" t="s">
        <v>831</v>
      </c>
      <c r="U529" t="str" cm="1">
        <f t="array" ref="U529">Határozat(D529)</f>
        <v/>
      </c>
      <c r="AC529" t="str">
        <f>IFERROR(INDEX(diakadat!$U$2:$U$50,MATCH(D529,diakadat!$J$2:$J$50),1),"")</f>
        <v/>
      </c>
      <c r="AD529" t="str">
        <f>IFERROR(INDEX(diakadat!$V$2:$V$50,MATCH(D529,diakadat!$J$2:$J$50),1),"")</f>
        <v/>
      </c>
      <c r="AE529" t="str">
        <f>IFERROR(INDEX(diakadat!$W$2:$W$50,MATCH(D529,diakadat!$J$2:$J$50),1),"")</f>
        <v/>
      </c>
      <c r="AI529" t="str">
        <f>IFERROR(INDEX(diakadat!$X$2:$X$50,MATCH(D529,diakadat!$J$2:$J$50),1),"")</f>
        <v/>
      </c>
      <c r="AK529">
        <f t="shared" si="8"/>
        <v>329</v>
      </c>
      <c r="AL529" t="str" cm="1">
        <f t="array" ref="AL529">ElsoBetuNagy(R529)</f>
        <v/>
      </c>
      <c r="AO529" t="str" cm="1">
        <f t="array" ref="AO529">DatumSzovegge5(AN529)</f>
        <v>1899.</v>
      </c>
      <c r="AP529" t="str" cm="1">
        <f t="array" ref="AP529">DatumSzovegge3(AN529)</f>
        <v>december</v>
      </c>
      <c r="AQ529" t="str" cm="1">
        <f t="array" ref="AQ529">DatumSzovegge4(AN529)</f>
        <v>30.</v>
      </c>
    </row>
    <row r="530" spans="4:43" x14ac:dyDescent="0.25">
      <c r="D530" t="str" cm="1">
        <f t="array" ref="D530">SzuressNev($B$1,ROW()-1)</f>
        <v/>
      </c>
      <c r="E530">
        <f>COUNTIF($D$2:D530,D530)</f>
        <v>509</v>
      </c>
      <c r="F530" t="str" cm="1">
        <f t="array" ref="F530">ElutasitasEgyOk2(D530,E530)</f>
        <v/>
      </c>
      <c r="G530" t="str">
        <f>IFERROR(INDEX(diakadat!$I$2:$I$50,MATCH(D530,diakadat!$J$2:$J$50,0),1),"")</f>
        <v/>
      </c>
      <c r="H530" t="str">
        <f>IFERROR(INDEX(diakadat!$O$2:$O$50,MATCH(D530,diakadat!$J$2:$J$50,0),1),"")</f>
        <v/>
      </c>
      <c r="I530" t="str">
        <f>IFERROR(INDEX(diakadat!#REF!,MATCH(D530,diakadat!$J$2:$J$50,0),1),"")</f>
        <v/>
      </c>
      <c r="J530" t="str">
        <f>IFERROR(INDEX(diakadat!$K$2:$K$50,MATCH(D530,diakadat!$J$2:$J$50,0),1),"")</f>
        <v/>
      </c>
      <c r="K530" t="str" cm="1">
        <f t="array" ref="K530">IFERROR(DatumSzovegge2(INDEX(diakadat!$L$2:$L$50,MATCH(D530,diakadat!$J$2:$J$50,0),1)),"")</f>
        <v/>
      </c>
      <c r="L530" t="str" cm="1">
        <f t="array" ref="L530">IFERROR(DatumSzovegge5(INDEX(diakadat!$L$2:$L$50,MATCH(D530,diakadat!$J$2:$J$50,0),1)),"")</f>
        <v/>
      </c>
      <c r="M530" t="str" cm="1">
        <f t="array" ref="M530">IFERROR(DatumSzovegge3(INDEX(diakadat!$L$2:$L$50,MATCH(D530,diakadat!$J$2:$J$50,0),1)),"")</f>
        <v/>
      </c>
      <c r="N530" t="str" cm="1">
        <f t="array" ref="N530">IFERROR(DatumSzovegge4(INDEX(diakadat!$L$2:$L$50,MATCH(D530,diakadat!$J$2:$J$50,0),1)),"")</f>
        <v/>
      </c>
      <c r="O530" t="str">
        <f>IFERROR(INDEX(diakadat!$R$2:$R$50,MATCH(D530,diakadat!$J$2:$J$50,0),1),"")</f>
        <v/>
      </c>
      <c r="P530" t="str">
        <f>IFERROR(INDEX(diakadat!$AI$2:$AI$50,MATCH(D530,diakadat!$J$2:$J$50,0),1),"")</f>
        <v/>
      </c>
      <c r="Q530" t="str">
        <f>IFERROR(INDEX('rangsor'!$C$2:$C$343,MATCH(D530,'rangsor'!$A$2:$A$343,0),1),"")</f>
        <v/>
      </c>
      <c r="T530" t="s">
        <v>831</v>
      </c>
      <c r="U530" t="str" cm="1">
        <f t="array" ref="U530">Határozat(D530)</f>
        <v/>
      </c>
      <c r="AC530" t="str">
        <f>IFERROR(INDEX(diakadat!$U$2:$U$50,MATCH(D530,diakadat!$J$2:$J$50),1),"")</f>
        <v/>
      </c>
      <c r="AD530" t="str">
        <f>IFERROR(INDEX(diakadat!$V$2:$V$50,MATCH(D530,diakadat!$J$2:$J$50),1),"")</f>
        <v/>
      </c>
      <c r="AE530" t="str">
        <f>IFERROR(INDEX(diakadat!$W$2:$W$50,MATCH(D530,diakadat!$J$2:$J$50),1),"")</f>
        <v/>
      </c>
      <c r="AI530" t="str">
        <f>IFERROR(INDEX(diakadat!$X$2:$X$50,MATCH(D530,diakadat!$J$2:$J$50),1),"")</f>
        <v/>
      </c>
      <c r="AK530">
        <f t="shared" si="8"/>
        <v>329</v>
      </c>
      <c r="AL530" t="str" cm="1">
        <f t="array" ref="AL530">ElsoBetuNagy(R530)</f>
        <v/>
      </c>
      <c r="AO530" t="str" cm="1">
        <f t="array" ref="AO530">DatumSzovegge5(AN530)</f>
        <v>1899.</v>
      </c>
      <c r="AP530" t="str" cm="1">
        <f t="array" ref="AP530">DatumSzovegge3(AN530)</f>
        <v>december</v>
      </c>
      <c r="AQ530" t="str" cm="1">
        <f t="array" ref="AQ530">DatumSzovegge4(AN530)</f>
        <v>30.</v>
      </c>
    </row>
    <row r="531" spans="4:43" x14ac:dyDescent="0.25">
      <c r="D531" t="str" cm="1">
        <f t="array" ref="D531">SzuressNev($B$1,ROW()-1)</f>
        <v/>
      </c>
      <c r="E531">
        <f>COUNTIF($D$2:D531,D531)</f>
        <v>510</v>
      </c>
      <c r="F531" t="str" cm="1">
        <f t="array" ref="F531">ElutasitasEgyOk2(D531,E531)</f>
        <v/>
      </c>
      <c r="G531" t="str">
        <f>IFERROR(INDEX(diakadat!$I$2:$I$50,MATCH(D531,diakadat!$J$2:$J$50,0),1),"")</f>
        <v/>
      </c>
      <c r="H531" t="str">
        <f>IFERROR(INDEX(diakadat!$O$2:$O$50,MATCH(D531,diakadat!$J$2:$J$50,0),1),"")</f>
        <v/>
      </c>
      <c r="I531" t="str">
        <f>IFERROR(INDEX(diakadat!#REF!,MATCH(D531,diakadat!$J$2:$J$50,0),1),"")</f>
        <v/>
      </c>
      <c r="J531" t="str">
        <f>IFERROR(INDEX(diakadat!$K$2:$K$50,MATCH(D531,diakadat!$J$2:$J$50,0),1),"")</f>
        <v/>
      </c>
      <c r="K531" t="str" cm="1">
        <f t="array" ref="K531">IFERROR(DatumSzovegge2(INDEX(diakadat!$L$2:$L$50,MATCH(D531,diakadat!$J$2:$J$50,0),1)),"")</f>
        <v/>
      </c>
      <c r="L531" t="str" cm="1">
        <f t="array" ref="L531">IFERROR(DatumSzovegge5(INDEX(diakadat!$L$2:$L$50,MATCH(D531,diakadat!$J$2:$J$50,0),1)),"")</f>
        <v/>
      </c>
      <c r="M531" t="str" cm="1">
        <f t="array" ref="M531">IFERROR(DatumSzovegge3(INDEX(diakadat!$L$2:$L$50,MATCH(D531,diakadat!$J$2:$J$50,0),1)),"")</f>
        <v/>
      </c>
      <c r="N531" t="str" cm="1">
        <f t="array" ref="N531">IFERROR(DatumSzovegge4(INDEX(diakadat!$L$2:$L$50,MATCH(D531,diakadat!$J$2:$J$50,0),1)),"")</f>
        <v/>
      </c>
      <c r="O531" t="str">
        <f>IFERROR(INDEX(diakadat!$R$2:$R$50,MATCH(D531,diakadat!$J$2:$J$50,0),1),"")</f>
        <v/>
      </c>
      <c r="P531" t="str">
        <f>IFERROR(INDEX(diakadat!$AI$2:$AI$50,MATCH(D531,diakadat!$J$2:$J$50,0),1),"")</f>
        <v/>
      </c>
      <c r="Q531" t="str">
        <f>IFERROR(INDEX('rangsor'!$C$2:$C$343,MATCH(D531,'rangsor'!$A$2:$A$343,0),1),"")</f>
        <v/>
      </c>
      <c r="T531" t="s">
        <v>831</v>
      </c>
      <c r="U531" t="str" cm="1">
        <f t="array" ref="U531">Határozat(D531)</f>
        <v/>
      </c>
      <c r="AC531" t="str">
        <f>IFERROR(INDEX(diakadat!$U$2:$U$50,MATCH(D531,diakadat!$J$2:$J$50),1),"")</f>
        <v/>
      </c>
      <c r="AD531" t="str">
        <f>IFERROR(INDEX(diakadat!$V$2:$V$50,MATCH(D531,diakadat!$J$2:$J$50),1),"")</f>
        <v/>
      </c>
      <c r="AE531" t="str">
        <f>IFERROR(INDEX(diakadat!$W$2:$W$50,MATCH(D531,diakadat!$J$2:$J$50),1),"")</f>
        <v/>
      </c>
      <c r="AI531" t="str">
        <f>IFERROR(INDEX(diakadat!$X$2:$X$50,MATCH(D531,diakadat!$J$2:$J$50),1),"")</f>
        <v/>
      </c>
      <c r="AK531">
        <f t="shared" si="8"/>
        <v>329</v>
      </c>
      <c r="AL531" t="str" cm="1">
        <f t="array" ref="AL531">ElsoBetuNagy(R531)</f>
        <v/>
      </c>
      <c r="AO531" t="str" cm="1">
        <f t="array" ref="AO531">DatumSzovegge5(AN531)</f>
        <v>1899.</v>
      </c>
      <c r="AP531" t="str" cm="1">
        <f t="array" ref="AP531">DatumSzovegge3(AN531)</f>
        <v>december</v>
      </c>
      <c r="AQ531" t="str" cm="1">
        <f t="array" ref="AQ531">DatumSzovegge4(AN531)</f>
        <v>30.</v>
      </c>
    </row>
    <row r="532" spans="4:43" x14ac:dyDescent="0.25">
      <c r="D532" t="str" cm="1">
        <f t="array" ref="D532">SzuressNev($B$1,ROW()-1)</f>
        <v/>
      </c>
      <c r="E532">
        <f>COUNTIF($D$2:D532,D532)</f>
        <v>511</v>
      </c>
      <c r="F532" t="str" cm="1">
        <f t="array" ref="F532">ElutasitasEgyOk2(D532,E532)</f>
        <v/>
      </c>
      <c r="G532" t="str">
        <f>IFERROR(INDEX(diakadat!$I$2:$I$50,MATCH(D532,diakadat!$J$2:$J$50,0),1),"")</f>
        <v/>
      </c>
      <c r="H532" t="str">
        <f>IFERROR(INDEX(diakadat!$O$2:$O$50,MATCH(D532,diakadat!$J$2:$J$50,0),1),"")</f>
        <v/>
      </c>
      <c r="I532" t="str">
        <f>IFERROR(INDEX(diakadat!#REF!,MATCH(D532,diakadat!$J$2:$J$50,0),1),"")</f>
        <v/>
      </c>
      <c r="J532" t="str">
        <f>IFERROR(INDEX(diakadat!$K$2:$K$50,MATCH(D532,diakadat!$J$2:$J$50,0),1),"")</f>
        <v/>
      </c>
      <c r="K532" t="str" cm="1">
        <f t="array" ref="K532">IFERROR(DatumSzovegge2(INDEX(diakadat!$L$2:$L$50,MATCH(D532,diakadat!$J$2:$J$50,0),1)),"")</f>
        <v/>
      </c>
      <c r="L532" t="str" cm="1">
        <f t="array" ref="L532">IFERROR(DatumSzovegge5(INDEX(diakadat!$L$2:$L$50,MATCH(D532,diakadat!$J$2:$J$50,0),1)),"")</f>
        <v/>
      </c>
      <c r="M532" t="str" cm="1">
        <f t="array" ref="M532">IFERROR(DatumSzovegge3(INDEX(diakadat!$L$2:$L$50,MATCH(D532,diakadat!$J$2:$J$50,0),1)),"")</f>
        <v/>
      </c>
      <c r="N532" t="str" cm="1">
        <f t="array" ref="N532">IFERROR(DatumSzovegge4(INDEX(diakadat!$L$2:$L$50,MATCH(D532,diakadat!$J$2:$J$50,0),1)),"")</f>
        <v/>
      </c>
      <c r="O532" t="str">
        <f>IFERROR(INDEX(diakadat!$R$2:$R$50,MATCH(D532,diakadat!$J$2:$J$50,0),1),"")</f>
        <v/>
      </c>
      <c r="P532" t="str">
        <f>IFERROR(INDEX(diakadat!$AI$2:$AI$50,MATCH(D532,diakadat!$J$2:$J$50,0),1),"")</f>
        <v/>
      </c>
      <c r="Q532" t="str">
        <f>IFERROR(INDEX('rangsor'!$C$2:$C$343,MATCH(D532,'rangsor'!$A$2:$A$343,0),1),"")</f>
        <v/>
      </c>
      <c r="T532" t="s">
        <v>831</v>
      </c>
      <c r="U532" t="str" cm="1">
        <f t="array" ref="U532">Határozat(D532)</f>
        <v/>
      </c>
      <c r="AC532" t="str">
        <f>IFERROR(INDEX(diakadat!$U$2:$U$50,MATCH(D532,diakadat!$J$2:$J$50),1),"")</f>
        <v/>
      </c>
      <c r="AD532" t="str">
        <f>IFERROR(INDEX(diakadat!$V$2:$V$50,MATCH(D532,diakadat!$J$2:$J$50),1),"")</f>
        <v/>
      </c>
      <c r="AE532" t="str">
        <f>IFERROR(INDEX(diakadat!$W$2:$W$50,MATCH(D532,diakadat!$J$2:$J$50),1),"")</f>
        <v/>
      </c>
      <c r="AI532" t="str">
        <f>IFERROR(INDEX(diakadat!$X$2:$X$50,MATCH(D532,diakadat!$J$2:$J$50),1),"")</f>
        <v/>
      </c>
      <c r="AK532">
        <f t="shared" si="8"/>
        <v>329</v>
      </c>
      <c r="AL532" t="str" cm="1">
        <f t="array" ref="AL532">ElsoBetuNagy(R532)</f>
        <v/>
      </c>
      <c r="AO532" t="str" cm="1">
        <f t="array" ref="AO532">DatumSzovegge5(AN532)</f>
        <v>1899.</v>
      </c>
      <c r="AP532" t="str" cm="1">
        <f t="array" ref="AP532">DatumSzovegge3(AN532)</f>
        <v>december</v>
      </c>
      <c r="AQ532" t="str" cm="1">
        <f t="array" ref="AQ532">DatumSzovegge4(AN532)</f>
        <v>30.</v>
      </c>
    </row>
    <row r="533" spans="4:43" x14ac:dyDescent="0.25">
      <c r="D533" t="str" cm="1">
        <f t="array" ref="D533">SzuressNev($B$1,ROW()-1)</f>
        <v/>
      </c>
      <c r="E533">
        <f>COUNTIF($D$2:D533,D533)</f>
        <v>512</v>
      </c>
      <c r="F533" t="str" cm="1">
        <f t="array" ref="F533">ElutasitasEgyOk2(D533,E533)</f>
        <v/>
      </c>
      <c r="G533" t="str">
        <f>IFERROR(INDEX(diakadat!$I$2:$I$50,MATCH(D533,diakadat!$J$2:$J$50,0),1),"")</f>
        <v/>
      </c>
      <c r="H533" t="str">
        <f>IFERROR(INDEX(diakadat!$O$2:$O$50,MATCH(D533,diakadat!$J$2:$J$50,0),1),"")</f>
        <v/>
      </c>
      <c r="I533" t="str">
        <f>IFERROR(INDEX(diakadat!#REF!,MATCH(D533,diakadat!$J$2:$J$50,0),1),"")</f>
        <v/>
      </c>
      <c r="J533" t="str">
        <f>IFERROR(INDEX(diakadat!$K$2:$K$50,MATCH(D533,diakadat!$J$2:$J$50,0),1),"")</f>
        <v/>
      </c>
      <c r="K533" t="str" cm="1">
        <f t="array" ref="K533">IFERROR(DatumSzovegge2(INDEX(diakadat!$L$2:$L$50,MATCH(D533,diakadat!$J$2:$J$50,0),1)),"")</f>
        <v/>
      </c>
      <c r="L533" t="str" cm="1">
        <f t="array" ref="L533">IFERROR(DatumSzovegge5(INDEX(diakadat!$L$2:$L$50,MATCH(D533,diakadat!$J$2:$J$50,0),1)),"")</f>
        <v/>
      </c>
      <c r="M533" t="str" cm="1">
        <f t="array" ref="M533">IFERROR(DatumSzovegge3(INDEX(diakadat!$L$2:$L$50,MATCH(D533,diakadat!$J$2:$J$50,0),1)),"")</f>
        <v/>
      </c>
      <c r="N533" t="str" cm="1">
        <f t="array" ref="N533">IFERROR(DatumSzovegge4(INDEX(diakadat!$L$2:$L$50,MATCH(D533,diakadat!$J$2:$J$50,0),1)),"")</f>
        <v/>
      </c>
      <c r="O533" t="str">
        <f>IFERROR(INDEX(diakadat!$R$2:$R$50,MATCH(D533,diakadat!$J$2:$J$50,0),1),"")</f>
        <v/>
      </c>
      <c r="P533" t="str">
        <f>IFERROR(INDEX(diakadat!$AI$2:$AI$50,MATCH(D533,diakadat!$J$2:$J$50,0),1),"")</f>
        <v/>
      </c>
      <c r="Q533" t="str">
        <f>IFERROR(INDEX('rangsor'!$C$2:$C$343,MATCH(D533,'rangsor'!$A$2:$A$343,0),1),"")</f>
        <v/>
      </c>
      <c r="T533" t="s">
        <v>831</v>
      </c>
      <c r="U533" t="str" cm="1">
        <f t="array" ref="U533">Határozat(D533)</f>
        <v/>
      </c>
      <c r="AC533" t="str">
        <f>IFERROR(INDEX(diakadat!$U$2:$U$50,MATCH(D533,diakadat!$J$2:$J$50),1),"")</f>
        <v/>
      </c>
      <c r="AD533" t="str">
        <f>IFERROR(INDEX(diakadat!$V$2:$V$50,MATCH(D533,diakadat!$J$2:$J$50),1),"")</f>
        <v/>
      </c>
      <c r="AE533" t="str">
        <f>IFERROR(INDEX(diakadat!$W$2:$W$50,MATCH(D533,diakadat!$J$2:$J$50),1),"")</f>
        <v/>
      </c>
      <c r="AI533" t="str">
        <f>IFERROR(INDEX(diakadat!$X$2:$X$50,MATCH(D533,diakadat!$J$2:$J$50),1),"")</f>
        <v/>
      </c>
      <c r="AK533">
        <f t="shared" si="8"/>
        <v>329</v>
      </c>
      <c r="AL533" t="str" cm="1">
        <f t="array" ref="AL533">ElsoBetuNagy(R533)</f>
        <v/>
      </c>
      <c r="AO533" t="str" cm="1">
        <f t="array" ref="AO533">DatumSzovegge5(AN533)</f>
        <v>1899.</v>
      </c>
      <c r="AP533" t="str" cm="1">
        <f t="array" ref="AP533">DatumSzovegge3(AN533)</f>
        <v>december</v>
      </c>
      <c r="AQ533" t="str" cm="1">
        <f t="array" ref="AQ533">DatumSzovegge4(AN533)</f>
        <v>30.</v>
      </c>
    </row>
    <row r="534" spans="4:43" x14ac:dyDescent="0.25">
      <c r="D534" t="str" cm="1">
        <f t="array" ref="D534">SzuressNev($B$1,ROW()-1)</f>
        <v/>
      </c>
      <c r="E534">
        <f>COUNTIF($D$2:D534,D534)</f>
        <v>513</v>
      </c>
      <c r="F534" t="str" cm="1">
        <f t="array" ref="F534">ElutasitasEgyOk2(D534,E534)</f>
        <v/>
      </c>
      <c r="G534" t="str">
        <f>IFERROR(INDEX(diakadat!$I$2:$I$50,MATCH(D534,diakadat!$J$2:$J$50,0),1),"")</f>
        <v/>
      </c>
      <c r="H534" t="str">
        <f>IFERROR(INDEX(diakadat!$O$2:$O$50,MATCH(D534,diakadat!$J$2:$J$50,0),1),"")</f>
        <v/>
      </c>
      <c r="I534" t="str">
        <f>IFERROR(INDEX(diakadat!#REF!,MATCH(D534,diakadat!$J$2:$J$50,0),1),"")</f>
        <v/>
      </c>
      <c r="J534" t="str">
        <f>IFERROR(INDEX(diakadat!$K$2:$K$50,MATCH(D534,diakadat!$J$2:$J$50,0),1),"")</f>
        <v/>
      </c>
      <c r="K534" t="str" cm="1">
        <f t="array" ref="K534">IFERROR(DatumSzovegge2(INDEX(diakadat!$L$2:$L$50,MATCH(D534,diakadat!$J$2:$J$50,0),1)),"")</f>
        <v/>
      </c>
      <c r="L534" t="str" cm="1">
        <f t="array" ref="L534">IFERROR(DatumSzovegge5(INDEX(diakadat!$L$2:$L$50,MATCH(D534,diakadat!$J$2:$J$50,0),1)),"")</f>
        <v/>
      </c>
      <c r="M534" t="str" cm="1">
        <f t="array" ref="M534">IFERROR(DatumSzovegge3(INDEX(diakadat!$L$2:$L$50,MATCH(D534,diakadat!$J$2:$J$50,0),1)),"")</f>
        <v/>
      </c>
      <c r="N534" t="str" cm="1">
        <f t="array" ref="N534">IFERROR(DatumSzovegge4(INDEX(diakadat!$L$2:$L$50,MATCH(D534,diakadat!$J$2:$J$50,0),1)),"")</f>
        <v/>
      </c>
      <c r="O534" t="str">
        <f>IFERROR(INDEX(diakadat!$R$2:$R$50,MATCH(D534,diakadat!$J$2:$J$50,0),1),"")</f>
        <v/>
      </c>
      <c r="P534" t="str">
        <f>IFERROR(INDEX(diakadat!$AI$2:$AI$50,MATCH(D534,diakadat!$J$2:$J$50,0),1),"")</f>
        <v/>
      </c>
      <c r="Q534" t="str">
        <f>IFERROR(INDEX('rangsor'!$C$2:$C$343,MATCH(D534,'rangsor'!$A$2:$A$343,0),1),"")</f>
        <v/>
      </c>
      <c r="T534" t="s">
        <v>831</v>
      </c>
      <c r="U534" t="str" cm="1">
        <f t="array" ref="U534">Határozat(D534)</f>
        <v/>
      </c>
      <c r="AC534" t="str">
        <f>IFERROR(INDEX(diakadat!$U$2:$U$50,MATCH(D534,diakadat!$J$2:$J$50),1),"")</f>
        <v/>
      </c>
      <c r="AD534" t="str">
        <f>IFERROR(INDEX(diakadat!$V$2:$V$50,MATCH(D534,diakadat!$J$2:$J$50),1),"")</f>
        <v/>
      </c>
      <c r="AE534" t="str">
        <f>IFERROR(INDEX(diakadat!$W$2:$W$50,MATCH(D534,diakadat!$J$2:$J$50),1),"")</f>
        <v/>
      </c>
      <c r="AI534" t="str">
        <f>IFERROR(INDEX(diakadat!$X$2:$X$50,MATCH(D534,diakadat!$J$2:$J$50),1),"")</f>
        <v/>
      </c>
      <c r="AK534">
        <f t="shared" si="8"/>
        <v>329</v>
      </c>
      <c r="AL534" t="str" cm="1">
        <f t="array" ref="AL534">ElsoBetuNagy(R534)</f>
        <v/>
      </c>
      <c r="AO534" t="str" cm="1">
        <f t="array" ref="AO534">DatumSzovegge5(AN534)</f>
        <v>1899.</v>
      </c>
      <c r="AP534" t="str" cm="1">
        <f t="array" ref="AP534">DatumSzovegge3(AN534)</f>
        <v>december</v>
      </c>
      <c r="AQ534" t="str" cm="1">
        <f t="array" ref="AQ534">DatumSzovegge4(AN534)</f>
        <v>30.</v>
      </c>
    </row>
    <row r="535" spans="4:43" x14ac:dyDescent="0.25">
      <c r="D535" t="str" cm="1">
        <f t="array" ref="D535">SzuressNev($B$1,ROW()-1)</f>
        <v/>
      </c>
      <c r="E535">
        <f>COUNTIF($D$2:D535,D535)</f>
        <v>514</v>
      </c>
      <c r="F535" t="str" cm="1">
        <f t="array" ref="F535">ElutasitasEgyOk2(D535,E535)</f>
        <v/>
      </c>
      <c r="G535" t="str">
        <f>IFERROR(INDEX(diakadat!$I$2:$I$50,MATCH(D535,diakadat!$J$2:$J$50,0),1),"")</f>
        <v/>
      </c>
      <c r="H535" t="str">
        <f>IFERROR(INDEX(diakadat!$O$2:$O$50,MATCH(D535,diakadat!$J$2:$J$50,0),1),"")</f>
        <v/>
      </c>
      <c r="I535" t="str">
        <f>IFERROR(INDEX(diakadat!#REF!,MATCH(D535,diakadat!$J$2:$J$50,0),1),"")</f>
        <v/>
      </c>
      <c r="J535" t="str">
        <f>IFERROR(INDEX(diakadat!$K$2:$K$50,MATCH(D535,diakadat!$J$2:$J$50,0),1),"")</f>
        <v/>
      </c>
      <c r="K535" t="str" cm="1">
        <f t="array" ref="K535">IFERROR(DatumSzovegge2(INDEX(diakadat!$L$2:$L$50,MATCH(D535,diakadat!$J$2:$J$50,0),1)),"")</f>
        <v/>
      </c>
      <c r="L535" t="str" cm="1">
        <f t="array" ref="L535">IFERROR(DatumSzovegge5(INDEX(diakadat!$L$2:$L$50,MATCH(D535,diakadat!$J$2:$J$50,0),1)),"")</f>
        <v/>
      </c>
      <c r="M535" t="str" cm="1">
        <f t="array" ref="M535">IFERROR(DatumSzovegge3(INDEX(diakadat!$L$2:$L$50,MATCH(D535,diakadat!$J$2:$J$50,0),1)),"")</f>
        <v/>
      </c>
      <c r="N535" t="str" cm="1">
        <f t="array" ref="N535">IFERROR(DatumSzovegge4(INDEX(diakadat!$L$2:$L$50,MATCH(D535,diakadat!$J$2:$J$50,0),1)),"")</f>
        <v/>
      </c>
      <c r="O535" t="str">
        <f>IFERROR(INDEX(diakadat!$R$2:$R$50,MATCH(D535,diakadat!$J$2:$J$50,0),1),"")</f>
        <v/>
      </c>
      <c r="P535" t="str">
        <f>IFERROR(INDEX(diakadat!$AI$2:$AI$50,MATCH(D535,diakadat!$J$2:$J$50,0),1),"")</f>
        <v/>
      </c>
      <c r="Q535" t="str">
        <f>IFERROR(INDEX('rangsor'!$C$2:$C$343,MATCH(D535,'rangsor'!$A$2:$A$343,0),1),"")</f>
        <v/>
      </c>
      <c r="T535" t="s">
        <v>831</v>
      </c>
      <c r="U535" t="str" cm="1">
        <f t="array" ref="U535">Határozat(D535)</f>
        <v/>
      </c>
      <c r="AC535" t="str">
        <f>IFERROR(INDEX(diakadat!$U$2:$U$50,MATCH(D535,diakadat!$J$2:$J$50),1),"")</f>
        <v/>
      </c>
      <c r="AD535" t="str">
        <f>IFERROR(INDEX(diakadat!$V$2:$V$50,MATCH(D535,diakadat!$J$2:$J$50),1),"")</f>
        <v/>
      </c>
      <c r="AE535" t="str">
        <f>IFERROR(INDEX(diakadat!$W$2:$W$50,MATCH(D535,diakadat!$J$2:$J$50),1),"")</f>
        <v/>
      </c>
      <c r="AI535" t="str">
        <f>IFERROR(INDEX(diakadat!$X$2:$X$50,MATCH(D535,diakadat!$J$2:$J$50),1),"")</f>
        <v/>
      </c>
      <c r="AK535">
        <f t="shared" si="8"/>
        <v>329</v>
      </c>
      <c r="AL535" t="str" cm="1">
        <f t="array" ref="AL535">ElsoBetuNagy(R535)</f>
        <v/>
      </c>
      <c r="AO535" t="str" cm="1">
        <f t="array" ref="AO535">DatumSzovegge5(AN535)</f>
        <v>1899.</v>
      </c>
      <c r="AP535" t="str" cm="1">
        <f t="array" ref="AP535">DatumSzovegge3(AN535)</f>
        <v>december</v>
      </c>
      <c r="AQ535" t="str" cm="1">
        <f t="array" ref="AQ535">DatumSzovegge4(AN535)</f>
        <v>30.</v>
      </c>
    </row>
    <row r="536" spans="4:43" x14ac:dyDescent="0.25">
      <c r="D536" t="str" cm="1">
        <f t="array" ref="D536">SzuressNev($B$1,ROW()-1)</f>
        <v/>
      </c>
      <c r="E536">
        <f>COUNTIF($D$2:D536,D536)</f>
        <v>515</v>
      </c>
      <c r="F536" t="str" cm="1">
        <f t="array" ref="F536">ElutasitasEgyOk2(D536,E536)</f>
        <v/>
      </c>
      <c r="G536" t="str">
        <f>IFERROR(INDEX(diakadat!$I$2:$I$50,MATCH(D536,diakadat!$J$2:$J$50,0),1),"")</f>
        <v/>
      </c>
      <c r="H536" t="str">
        <f>IFERROR(INDEX(diakadat!$O$2:$O$50,MATCH(D536,diakadat!$J$2:$J$50,0),1),"")</f>
        <v/>
      </c>
      <c r="I536" t="str">
        <f>IFERROR(INDEX(diakadat!#REF!,MATCH(D536,diakadat!$J$2:$J$50,0),1),"")</f>
        <v/>
      </c>
      <c r="J536" t="str">
        <f>IFERROR(INDEX(diakadat!$K$2:$K$50,MATCH(D536,diakadat!$J$2:$J$50,0),1),"")</f>
        <v/>
      </c>
      <c r="K536" t="str" cm="1">
        <f t="array" ref="K536">IFERROR(DatumSzovegge2(INDEX(diakadat!$L$2:$L$50,MATCH(D536,diakadat!$J$2:$J$50,0),1)),"")</f>
        <v/>
      </c>
      <c r="L536" t="str" cm="1">
        <f t="array" ref="L536">IFERROR(DatumSzovegge5(INDEX(diakadat!$L$2:$L$50,MATCH(D536,diakadat!$J$2:$J$50,0),1)),"")</f>
        <v/>
      </c>
      <c r="M536" t="str" cm="1">
        <f t="array" ref="M536">IFERROR(DatumSzovegge3(INDEX(diakadat!$L$2:$L$50,MATCH(D536,diakadat!$J$2:$J$50,0),1)),"")</f>
        <v/>
      </c>
      <c r="N536" t="str" cm="1">
        <f t="array" ref="N536">IFERROR(DatumSzovegge4(INDEX(diakadat!$L$2:$L$50,MATCH(D536,diakadat!$J$2:$J$50,0),1)),"")</f>
        <v/>
      </c>
      <c r="O536" t="str">
        <f>IFERROR(INDEX(diakadat!$R$2:$R$50,MATCH(D536,diakadat!$J$2:$J$50,0),1),"")</f>
        <v/>
      </c>
      <c r="P536" t="str">
        <f>IFERROR(INDEX(diakadat!$AI$2:$AI$50,MATCH(D536,diakadat!$J$2:$J$50,0),1),"")</f>
        <v/>
      </c>
      <c r="Q536" t="str">
        <f>IFERROR(INDEX('rangsor'!$C$2:$C$343,MATCH(D536,'rangsor'!$A$2:$A$343,0),1),"")</f>
        <v/>
      </c>
      <c r="T536" t="s">
        <v>831</v>
      </c>
      <c r="U536" t="str" cm="1">
        <f t="array" ref="U536">Határozat(D536)</f>
        <v/>
      </c>
      <c r="AC536" t="str">
        <f>IFERROR(INDEX(diakadat!$U$2:$U$50,MATCH(D536,diakadat!$J$2:$J$50),1),"")</f>
        <v/>
      </c>
      <c r="AD536" t="str">
        <f>IFERROR(INDEX(diakadat!$V$2:$V$50,MATCH(D536,diakadat!$J$2:$J$50),1),"")</f>
        <v/>
      </c>
      <c r="AE536" t="str">
        <f>IFERROR(INDEX(diakadat!$W$2:$W$50,MATCH(D536,diakadat!$J$2:$J$50),1),"")</f>
        <v/>
      </c>
      <c r="AI536" t="str">
        <f>IFERROR(INDEX(diakadat!$X$2:$X$50,MATCH(D536,diakadat!$J$2:$J$50),1),"")</f>
        <v/>
      </c>
      <c r="AK536">
        <f t="shared" si="8"/>
        <v>329</v>
      </c>
      <c r="AL536" t="str" cm="1">
        <f t="array" ref="AL536">ElsoBetuNagy(R536)</f>
        <v/>
      </c>
      <c r="AO536" t="str" cm="1">
        <f t="array" ref="AO536">DatumSzovegge5(AN536)</f>
        <v>1899.</v>
      </c>
      <c r="AP536" t="str" cm="1">
        <f t="array" ref="AP536">DatumSzovegge3(AN536)</f>
        <v>december</v>
      </c>
      <c r="AQ536" t="str" cm="1">
        <f t="array" ref="AQ536">DatumSzovegge4(AN536)</f>
        <v>30.</v>
      </c>
    </row>
    <row r="537" spans="4:43" x14ac:dyDescent="0.25">
      <c r="D537" t="str" cm="1">
        <f t="array" ref="D537">SzuressNev($B$1,ROW()-1)</f>
        <v/>
      </c>
      <c r="E537">
        <f>COUNTIF($D$2:D537,D537)</f>
        <v>516</v>
      </c>
      <c r="F537" t="str" cm="1">
        <f t="array" ref="F537">ElutasitasEgyOk2(D537,E537)</f>
        <v/>
      </c>
      <c r="G537" t="str">
        <f>IFERROR(INDEX(diakadat!$I$2:$I$50,MATCH(D537,diakadat!$J$2:$J$50,0),1),"")</f>
        <v/>
      </c>
      <c r="H537" t="str">
        <f>IFERROR(INDEX(diakadat!$O$2:$O$50,MATCH(D537,diakadat!$J$2:$J$50,0),1),"")</f>
        <v/>
      </c>
      <c r="I537" t="str">
        <f>IFERROR(INDEX(diakadat!#REF!,MATCH(D537,diakadat!$J$2:$J$50,0),1),"")</f>
        <v/>
      </c>
      <c r="J537" t="str">
        <f>IFERROR(INDEX(diakadat!$K$2:$K$50,MATCH(D537,diakadat!$J$2:$J$50,0),1),"")</f>
        <v/>
      </c>
      <c r="K537" t="str" cm="1">
        <f t="array" ref="K537">IFERROR(DatumSzovegge2(INDEX(diakadat!$L$2:$L$50,MATCH(D537,diakadat!$J$2:$J$50,0),1)),"")</f>
        <v/>
      </c>
      <c r="L537" t="str" cm="1">
        <f t="array" ref="L537">IFERROR(DatumSzovegge5(INDEX(diakadat!$L$2:$L$50,MATCH(D537,diakadat!$J$2:$J$50,0),1)),"")</f>
        <v/>
      </c>
      <c r="M537" t="str" cm="1">
        <f t="array" ref="M537">IFERROR(DatumSzovegge3(INDEX(diakadat!$L$2:$L$50,MATCH(D537,diakadat!$J$2:$J$50,0),1)),"")</f>
        <v/>
      </c>
      <c r="N537" t="str" cm="1">
        <f t="array" ref="N537">IFERROR(DatumSzovegge4(INDEX(diakadat!$L$2:$L$50,MATCH(D537,diakadat!$J$2:$J$50,0),1)),"")</f>
        <v/>
      </c>
      <c r="O537" t="str">
        <f>IFERROR(INDEX(diakadat!$R$2:$R$50,MATCH(D537,diakadat!$J$2:$J$50,0),1),"")</f>
        <v/>
      </c>
      <c r="P537" t="str">
        <f>IFERROR(INDEX(diakadat!$AI$2:$AI$50,MATCH(D537,diakadat!$J$2:$J$50,0),1),"")</f>
        <v/>
      </c>
      <c r="Q537" t="str">
        <f>IFERROR(INDEX('rangsor'!$C$2:$C$343,MATCH(D537,'rangsor'!$A$2:$A$343,0),1),"")</f>
        <v/>
      </c>
      <c r="T537" t="s">
        <v>831</v>
      </c>
      <c r="U537" t="str" cm="1">
        <f t="array" ref="U537">Határozat(D537)</f>
        <v/>
      </c>
      <c r="AC537" t="str">
        <f>IFERROR(INDEX(diakadat!$U$2:$U$50,MATCH(D537,diakadat!$J$2:$J$50),1),"")</f>
        <v/>
      </c>
      <c r="AD537" t="str">
        <f>IFERROR(INDEX(diakadat!$V$2:$V$50,MATCH(D537,diakadat!$J$2:$J$50),1),"")</f>
        <v/>
      </c>
      <c r="AE537" t="str">
        <f>IFERROR(INDEX(diakadat!$W$2:$W$50,MATCH(D537,diakadat!$J$2:$J$50),1),"")</f>
        <v/>
      </c>
      <c r="AI537" t="str">
        <f>IFERROR(INDEX(diakadat!$X$2:$X$50,MATCH(D537,diakadat!$J$2:$J$50),1),"")</f>
        <v/>
      </c>
      <c r="AK537">
        <f t="shared" si="8"/>
        <v>329</v>
      </c>
      <c r="AL537" t="str" cm="1">
        <f t="array" ref="AL537">ElsoBetuNagy(R537)</f>
        <v/>
      </c>
      <c r="AO537" t="str" cm="1">
        <f t="array" ref="AO537">DatumSzovegge5(AN537)</f>
        <v>1899.</v>
      </c>
      <c r="AP537" t="str" cm="1">
        <f t="array" ref="AP537">DatumSzovegge3(AN537)</f>
        <v>december</v>
      </c>
      <c r="AQ537" t="str" cm="1">
        <f t="array" ref="AQ537">DatumSzovegge4(AN537)</f>
        <v>30.</v>
      </c>
    </row>
    <row r="538" spans="4:43" x14ac:dyDescent="0.25">
      <c r="D538" t="str" cm="1">
        <f t="array" ref="D538">SzuressNev($B$1,ROW()-1)</f>
        <v/>
      </c>
      <c r="E538">
        <f>COUNTIF($D$2:D593,D538)</f>
        <v>572</v>
      </c>
      <c r="F538" t="str" cm="1">
        <f t="array" ref="F538">ElutasitasEgyOk2(D538,E538)</f>
        <v/>
      </c>
      <c r="G538" t="str">
        <f>IFERROR(INDEX(diakadat!$I$2:$I$50,MATCH(D538,diakadat!$J$2:$J$50,0),1),"")</f>
        <v/>
      </c>
      <c r="H538" t="str">
        <f>IFERROR(INDEX(diakadat!$O$2:$O$50,MATCH(D538,diakadat!$J$2:$J$50,0),1),"")</f>
        <v/>
      </c>
      <c r="I538" t="str">
        <f>IFERROR(INDEX(diakadat!#REF!,MATCH(D538,diakadat!$J$2:$J$50,0),1),"")</f>
        <v/>
      </c>
      <c r="J538" t="str">
        <f>IFERROR(INDEX(diakadat!$K$2:$K$50,MATCH(D538,diakadat!$J$2:$J$50,0),1),"")</f>
        <v/>
      </c>
      <c r="K538" t="str" cm="1">
        <f t="array" ref="K538">IFERROR(DatumSzovegge2(INDEX(diakadat!$L$2:$L$50,MATCH(D538,diakadat!$J$2:$J$50,0),1)),"")</f>
        <v/>
      </c>
      <c r="L538" t="str" cm="1">
        <f t="array" ref="L538">IFERROR(DatumSzovegge5(INDEX(diakadat!$L$2:$L$50,MATCH(D538,diakadat!$J$2:$J$50,0),1)),"")</f>
        <v/>
      </c>
      <c r="M538" t="str" cm="1">
        <f t="array" ref="M538">IFERROR(DatumSzovegge3(INDEX(diakadat!$L$2:$L$50,MATCH(D538,diakadat!$J$2:$J$50,0),1)),"")</f>
        <v/>
      </c>
      <c r="N538" t="str" cm="1">
        <f t="array" ref="N538">IFERROR(DatumSzovegge4(INDEX(diakadat!$L$2:$L$50,MATCH(D538,diakadat!$J$2:$J$50,0),1)),"")</f>
        <v/>
      </c>
      <c r="O538" t="str">
        <f>IFERROR(INDEX(diakadat!$R$2:$R$50,MATCH(D538,diakadat!$J$2:$J$50,0),1),"")</f>
        <v/>
      </c>
      <c r="P538" t="str">
        <f>IFERROR(INDEX(diakadat!$AI$2:$AI$50,MATCH(D538,diakadat!$J$2:$J$50,0),1),"")</f>
        <v/>
      </c>
      <c r="Q538" t="str">
        <f>IFERROR(INDEX('rangsor'!$C$2:$C$343,MATCH(D538,'rangsor'!$A$2:$A$343,0),1),"")</f>
        <v/>
      </c>
      <c r="T538" t="s">
        <v>831</v>
      </c>
      <c r="U538" t="str" cm="1">
        <f t="array" ref="U538">Határozat(D538)</f>
        <v/>
      </c>
      <c r="AC538" t="str">
        <f>IFERROR(INDEX(diakadat!$U$2:$U$50,MATCH(D538,diakadat!$J$2:$J$50),1),"")</f>
        <v/>
      </c>
      <c r="AD538" t="str">
        <f>IFERROR(INDEX(diakadat!$V$2:$V$50,MATCH(D538,diakadat!$J$2:$J$50),1),"")</f>
        <v/>
      </c>
      <c r="AE538" t="str">
        <f>IFERROR(INDEX(diakadat!$W$2:$W$50,MATCH(D538,diakadat!$J$2:$J$50),1),"")</f>
        <v/>
      </c>
      <c r="AI538" t="str">
        <f>IFERROR(INDEX(diakadat!$X$2:$X$50,MATCH(D538,diakadat!$J$2:$J$50),1),"")</f>
        <v/>
      </c>
      <c r="AK538">
        <f t="shared" si="8"/>
        <v>329</v>
      </c>
      <c r="AL538" t="str" cm="1">
        <f t="array" ref="AL538">ElsoBetuNagy(R538)</f>
        <v/>
      </c>
      <c r="AO538" t="str" cm="1">
        <f t="array" ref="AO538">DatumSzovegge5(AN538)</f>
        <v>1899.</v>
      </c>
      <c r="AP538" t="str" cm="1">
        <f t="array" ref="AP538">DatumSzovegge3(AN538)</f>
        <v>december</v>
      </c>
      <c r="AQ538" t="str" cm="1">
        <f t="array" ref="AQ538">DatumSzovegge4(AN538)</f>
        <v>30.</v>
      </c>
    </row>
    <row r="539" spans="4:43" x14ac:dyDescent="0.25">
      <c r="D539" t="str" cm="1">
        <f t="array" ref="D539">SzuressNev($B$1,ROW()-1)</f>
        <v/>
      </c>
      <c r="E539">
        <f>COUNTIF($D$2:D539,D539)</f>
        <v>518</v>
      </c>
      <c r="F539" t="str" cm="1">
        <f t="array" ref="F539">ElutasitasEgyOk2(D539,E539)</f>
        <v/>
      </c>
      <c r="G539" t="str">
        <f>IFERROR(INDEX(diakadat!$I$2:$I$50,MATCH(D539,diakadat!$J$2:$J$50,0),1),"")</f>
        <v/>
      </c>
      <c r="H539" t="str">
        <f>IFERROR(INDEX(diakadat!$O$2:$O$50,MATCH(D539,diakadat!$J$2:$J$50,0),1),"")</f>
        <v/>
      </c>
      <c r="I539" t="str">
        <f>IFERROR(INDEX(diakadat!#REF!,MATCH(D539,diakadat!$J$2:$J$50,0),1),"")</f>
        <v/>
      </c>
      <c r="J539" t="str">
        <f>IFERROR(INDEX(diakadat!$K$2:$K$50,MATCH(D539,diakadat!$J$2:$J$50,0),1),"")</f>
        <v/>
      </c>
      <c r="K539" t="str" cm="1">
        <f t="array" ref="K539">IFERROR(DatumSzovegge2(INDEX(diakadat!$L$2:$L$50,MATCH(D539,diakadat!$J$2:$J$50,0),1)),"")</f>
        <v/>
      </c>
      <c r="L539" t="str" cm="1">
        <f t="array" ref="L539">IFERROR(DatumSzovegge5(INDEX(diakadat!$L$2:$L$50,MATCH(D539,diakadat!$J$2:$J$50,0),1)),"")</f>
        <v/>
      </c>
      <c r="M539" t="str" cm="1">
        <f t="array" ref="M539">IFERROR(DatumSzovegge3(INDEX(diakadat!$L$2:$L$50,MATCH(D539,diakadat!$J$2:$J$50,0),1)),"")</f>
        <v/>
      </c>
      <c r="N539" t="str" cm="1">
        <f t="array" ref="N539">IFERROR(DatumSzovegge4(INDEX(diakadat!$L$2:$L$50,MATCH(D539,diakadat!$J$2:$J$50,0),1)),"")</f>
        <v/>
      </c>
      <c r="O539" t="str">
        <f>IFERROR(INDEX(diakadat!$R$2:$R$50,MATCH(D539,diakadat!$J$2:$J$50,0),1),"")</f>
        <v/>
      </c>
      <c r="P539" t="str">
        <f>IFERROR(INDEX(diakadat!$AI$2:$AI$50,MATCH(D539,diakadat!$J$2:$J$50,0),1),"")</f>
        <v/>
      </c>
      <c r="Q539" t="str">
        <f>IFERROR(INDEX('rangsor'!$C$2:$C$343,MATCH(D539,'rangsor'!$A$2:$A$343,0),1),"")</f>
        <v/>
      </c>
      <c r="T539" t="s">
        <v>831</v>
      </c>
      <c r="U539" t="str" cm="1">
        <f t="array" ref="U539">Határozat(D539)</f>
        <v/>
      </c>
      <c r="AC539" t="str">
        <f>IFERROR(INDEX(diakadat!$U$2:$U$50,MATCH(D539,diakadat!$J$2:$J$50),1),"")</f>
        <v/>
      </c>
      <c r="AD539" t="str">
        <f>IFERROR(INDEX(diakadat!$V$2:$V$50,MATCH(D539,diakadat!$J$2:$J$50),1),"")</f>
        <v/>
      </c>
      <c r="AE539" t="str">
        <f>IFERROR(INDEX(diakadat!$W$2:$W$50,MATCH(D539,diakadat!$J$2:$J$50),1),"")</f>
        <v/>
      </c>
      <c r="AI539" t="str">
        <f>IFERROR(INDEX(diakadat!$X$2:$X$50,MATCH(D539,diakadat!$J$2:$J$50),1),"")</f>
        <v/>
      </c>
      <c r="AK539">
        <f t="shared" si="8"/>
        <v>329</v>
      </c>
      <c r="AL539" t="str" cm="1">
        <f t="array" ref="AL539">ElsoBetuNagy(R539)</f>
        <v/>
      </c>
      <c r="AO539" t="str" cm="1">
        <f t="array" ref="AO539">DatumSzovegge5(AN539)</f>
        <v>1899.</v>
      </c>
      <c r="AP539" t="str" cm="1">
        <f t="array" ref="AP539">DatumSzovegge3(AN539)</f>
        <v>december</v>
      </c>
      <c r="AQ539" t="str" cm="1">
        <f t="array" ref="AQ539">DatumSzovegge4(AN539)</f>
        <v>30.</v>
      </c>
    </row>
    <row r="540" spans="4:43" x14ac:dyDescent="0.25">
      <c r="D540" t="str" cm="1">
        <f t="array" ref="D540">SzuressNev($B$1,ROW()-1)</f>
        <v/>
      </c>
      <c r="E540">
        <f>COUNTIF($D$2:D540,D540)</f>
        <v>519</v>
      </c>
      <c r="F540" t="str" cm="1">
        <f t="array" ref="F540">ElutasitasEgyOk2(D540,E540)</f>
        <v/>
      </c>
      <c r="G540" t="str">
        <f>IFERROR(INDEX(diakadat!$I$2:$I$50,MATCH(D540,diakadat!$J$2:$J$50,0),1),"")</f>
        <v/>
      </c>
      <c r="H540" t="str">
        <f>IFERROR(INDEX(diakadat!$O$2:$O$50,MATCH(D540,diakadat!$J$2:$J$50,0),1),"")</f>
        <v/>
      </c>
      <c r="I540" t="str">
        <f>IFERROR(INDEX(diakadat!#REF!,MATCH(D540,diakadat!$J$2:$J$50,0),1),"")</f>
        <v/>
      </c>
      <c r="J540" t="str">
        <f>IFERROR(INDEX(diakadat!$K$2:$K$50,MATCH(D540,diakadat!$J$2:$J$50,0),1),"")</f>
        <v/>
      </c>
      <c r="K540" t="str" cm="1">
        <f t="array" ref="K540">IFERROR(DatumSzovegge2(INDEX(diakadat!$L$2:$L$50,MATCH(D540,diakadat!$J$2:$J$50,0),1)),"")</f>
        <v/>
      </c>
      <c r="L540" t="str" cm="1">
        <f t="array" ref="L540">IFERROR(DatumSzovegge5(INDEX(diakadat!$L$2:$L$50,MATCH(D540,diakadat!$J$2:$J$50,0),1)),"")</f>
        <v/>
      </c>
      <c r="M540" t="str" cm="1">
        <f t="array" ref="M540">IFERROR(DatumSzovegge3(INDEX(diakadat!$L$2:$L$50,MATCH(D540,diakadat!$J$2:$J$50,0),1)),"")</f>
        <v/>
      </c>
      <c r="N540" t="str" cm="1">
        <f t="array" ref="N540">IFERROR(DatumSzovegge4(INDEX(diakadat!$L$2:$L$50,MATCH(D540,diakadat!$J$2:$J$50,0),1)),"")</f>
        <v/>
      </c>
      <c r="O540" t="str">
        <f>IFERROR(INDEX(diakadat!$R$2:$R$50,MATCH(D540,diakadat!$J$2:$J$50,0),1),"")</f>
        <v/>
      </c>
      <c r="P540" t="str">
        <f>IFERROR(INDEX(diakadat!$AI$2:$AI$50,MATCH(D540,diakadat!$J$2:$J$50,0),1),"")</f>
        <v/>
      </c>
      <c r="Q540" t="str">
        <f>IFERROR(INDEX('rangsor'!$C$2:$C$343,MATCH(D540,'rangsor'!$A$2:$A$343,0),1),"")</f>
        <v/>
      </c>
      <c r="T540" t="s">
        <v>831</v>
      </c>
      <c r="U540" t="str" cm="1">
        <f t="array" ref="U540">Határozat(D540)</f>
        <v/>
      </c>
      <c r="AC540" t="str">
        <f>IFERROR(INDEX(diakadat!$U$2:$U$50,MATCH(D540,diakadat!$J$2:$J$50),1),"")</f>
        <v/>
      </c>
      <c r="AD540" t="str">
        <f>IFERROR(INDEX(diakadat!$V$2:$V$50,MATCH(D540,diakadat!$J$2:$J$50),1),"")</f>
        <v/>
      </c>
      <c r="AE540" t="str">
        <f>IFERROR(INDEX(diakadat!$W$2:$W$50,MATCH(D540,diakadat!$J$2:$J$50),1),"")</f>
        <v/>
      </c>
      <c r="AI540" t="str">
        <f>IFERROR(INDEX(diakadat!$X$2:$X$50,MATCH(D540,diakadat!$J$2:$J$50),1),"")</f>
        <v/>
      </c>
      <c r="AK540">
        <f t="shared" si="8"/>
        <v>329</v>
      </c>
      <c r="AL540" t="str" cm="1">
        <f t="array" ref="AL540">ElsoBetuNagy(R540)</f>
        <v/>
      </c>
      <c r="AO540" t="str" cm="1">
        <f t="array" ref="AO540">DatumSzovegge5(AN540)</f>
        <v>1899.</v>
      </c>
      <c r="AP540" t="str" cm="1">
        <f t="array" ref="AP540">DatumSzovegge3(AN540)</f>
        <v>december</v>
      </c>
      <c r="AQ540" t="str" cm="1">
        <f t="array" ref="AQ540">DatumSzovegge4(AN540)</f>
        <v>30.</v>
      </c>
    </row>
    <row r="541" spans="4:43" x14ac:dyDescent="0.25">
      <c r="D541" t="str" cm="1">
        <f t="array" ref="D541">SzuressNev($B$1,ROW()-1)</f>
        <v/>
      </c>
      <c r="E541">
        <f>COUNTIF($D$2:D541,D541)</f>
        <v>520</v>
      </c>
      <c r="F541" t="str" cm="1">
        <f t="array" ref="F541">ElutasitasEgyOk2(D541,E541)</f>
        <v/>
      </c>
      <c r="G541" t="str">
        <f>IFERROR(INDEX(diakadat!$I$2:$I$50,MATCH(D541,diakadat!$J$2:$J$50,0),1),"")</f>
        <v/>
      </c>
      <c r="H541" t="str">
        <f>IFERROR(INDEX(diakadat!$O$2:$O$50,MATCH(D541,diakadat!$J$2:$J$50,0),1),"")</f>
        <v/>
      </c>
      <c r="I541" t="str">
        <f>IFERROR(INDEX(diakadat!#REF!,MATCH(D541,diakadat!$J$2:$J$50,0),1),"")</f>
        <v/>
      </c>
      <c r="J541" t="str">
        <f>IFERROR(INDEX(diakadat!$K$2:$K$50,MATCH(D541,diakadat!$J$2:$J$50,0),1),"")</f>
        <v/>
      </c>
      <c r="K541" t="str" cm="1">
        <f t="array" ref="K541">IFERROR(DatumSzovegge2(INDEX(diakadat!$L$2:$L$50,MATCH(D541,diakadat!$J$2:$J$50,0),1)),"")</f>
        <v/>
      </c>
      <c r="L541" t="str" cm="1">
        <f t="array" ref="L541">IFERROR(DatumSzovegge5(INDEX(diakadat!$L$2:$L$50,MATCH(D541,diakadat!$J$2:$J$50,0),1)),"")</f>
        <v/>
      </c>
      <c r="M541" t="str" cm="1">
        <f t="array" ref="M541">IFERROR(DatumSzovegge3(INDEX(diakadat!$L$2:$L$50,MATCH(D541,diakadat!$J$2:$J$50,0),1)),"")</f>
        <v/>
      </c>
      <c r="N541" t="str" cm="1">
        <f t="array" ref="N541">IFERROR(DatumSzovegge4(INDEX(diakadat!$L$2:$L$50,MATCH(D541,diakadat!$J$2:$J$50,0),1)),"")</f>
        <v/>
      </c>
      <c r="O541" t="str">
        <f>IFERROR(INDEX(diakadat!$R$2:$R$50,MATCH(D541,diakadat!$J$2:$J$50,0),1),"")</f>
        <v/>
      </c>
      <c r="P541" t="str">
        <f>IFERROR(INDEX(diakadat!$AI$2:$AI$50,MATCH(D541,diakadat!$J$2:$J$50,0),1),"")</f>
        <v/>
      </c>
      <c r="Q541" t="str">
        <f>IFERROR(INDEX('rangsor'!$C$2:$C$343,MATCH(D541,'rangsor'!$A$2:$A$343,0),1),"")</f>
        <v/>
      </c>
      <c r="T541" t="s">
        <v>831</v>
      </c>
      <c r="U541" t="str" cm="1">
        <f t="array" ref="U541">Határozat(D541)</f>
        <v/>
      </c>
      <c r="AC541" t="str">
        <f>IFERROR(INDEX(diakadat!$U$2:$U$50,MATCH(D541,diakadat!$J$2:$J$50),1),"")</f>
        <v/>
      </c>
      <c r="AD541" t="str">
        <f>IFERROR(INDEX(diakadat!$V$2:$V$50,MATCH(D541,diakadat!$J$2:$J$50),1),"")</f>
        <v/>
      </c>
      <c r="AE541" t="str">
        <f>IFERROR(INDEX(diakadat!$W$2:$W$50,MATCH(D541,diakadat!$J$2:$J$50),1),"")</f>
        <v/>
      </c>
      <c r="AI541" t="str">
        <f>IFERROR(INDEX(diakadat!$X$2:$X$50,MATCH(D541,diakadat!$J$2:$J$50),1),"")</f>
        <v/>
      </c>
      <c r="AK541">
        <f t="shared" si="8"/>
        <v>329</v>
      </c>
      <c r="AL541" t="str" cm="1">
        <f t="array" ref="AL541">ElsoBetuNagy(R541)</f>
        <v/>
      </c>
      <c r="AO541" t="str" cm="1">
        <f t="array" ref="AO541">DatumSzovegge5(AN541)</f>
        <v>1899.</v>
      </c>
      <c r="AP541" t="str" cm="1">
        <f t="array" ref="AP541">DatumSzovegge3(AN541)</f>
        <v>december</v>
      </c>
      <c r="AQ541" t="str" cm="1">
        <f t="array" ref="AQ541">DatumSzovegge4(AN541)</f>
        <v>30.</v>
      </c>
    </row>
    <row r="542" spans="4:43" x14ac:dyDescent="0.25">
      <c r="D542" t="str" cm="1">
        <f t="array" ref="D542">SzuressNev($B$1,ROW()-1)</f>
        <v/>
      </c>
      <c r="E542">
        <f>COUNTIF($D$2:D542,D542)</f>
        <v>521</v>
      </c>
      <c r="F542" t="str" cm="1">
        <f t="array" ref="F542">ElutasitasEgyOk2(D542,E542)</f>
        <v/>
      </c>
      <c r="G542" t="str">
        <f>IFERROR(INDEX(diakadat!$I$2:$I$50,MATCH(D542,diakadat!$J$2:$J$50,0),1),"")</f>
        <v/>
      </c>
      <c r="H542" t="str">
        <f>IFERROR(INDEX(diakadat!$O$2:$O$50,MATCH(D542,diakadat!$J$2:$J$50,0),1),"")</f>
        <v/>
      </c>
      <c r="I542" t="str">
        <f>IFERROR(INDEX(diakadat!#REF!,MATCH(D542,diakadat!$J$2:$J$50,0),1),"")</f>
        <v/>
      </c>
      <c r="J542" t="str">
        <f>IFERROR(INDEX(diakadat!$K$2:$K$50,MATCH(D542,diakadat!$J$2:$J$50,0),1),"")</f>
        <v/>
      </c>
      <c r="K542" t="str" cm="1">
        <f t="array" ref="K542">IFERROR(DatumSzovegge2(INDEX(diakadat!$L$2:$L$50,MATCH(D542,diakadat!$J$2:$J$50,0),1)),"")</f>
        <v/>
      </c>
      <c r="L542" t="str" cm="1">
        <f t="array" ref="L542">IFERROR(DatumSzovegge5(INDEX(diakadat!$L$2:$L$50,MATCH(D542,diakadat!$J$2:$J$50,0),1)),"")</f>
        <v/>
      </c>
      <c r="M542" t="str" cm="1">
        <f t="array" ref="M542">IFERROR(DatumSzovegge3(INDEX(diakadat!$L$2:$L$50,MATCH(D542,diakadat!$J$2:$J$50,0),1)),"")</f>
        <v/>
      </c>
      <c r="N542" t="str" cm="1">
        <f t="array" ref="N542">IFERROR(DatumSzovegge4(INDEX(diakadat!$L$2:$L$50,MATCH(D542,diakadat!$J$2:$J$50,0),1)),"")</f>
        <v/>
      </c>
      <c r="O542" t="str">
        <f>IFERROR(INDEX(diakadat!$R$2:$R$50,MATCH(D542,diakadat!$J$2:$J$50,0),1),"")</f>
        <v/>
      </c>
      <c r="P542" t="str">
        <f>IFERROR(INDEX(diakadat!$AI$2:$AI$50,MATCH(D542,diakadat!$J$2:$J$50,0),1),"")</f>
        <v/>
      </c>
      <c r="Q542" t="str">
        <f>IFERROR(INDEX('rangsor'!$C$2:$C$343,MATCH(D542,'rangsor'!$A$2:$A$343,0),1),"")</f>
        <v/>
      </c>
      <c r="T542" t="s">
        <v>831</v>
      </c>
      <c r="U542" t="str" cm="1">
        <f t="array" ref="U542">Határozat(D542)</f>
        <v/>
      </c>
      <c r="AC542" t="str">
        <f>IFERROR(INDEX(diakadat!$U$2:$U$50,MATCH(D542,diakadat!$J$2:$J$50),1),"")</f>
        <v/>
      </c>
      <c r="AD542" t="str">
        <f>IFERROR(INDEX(diakadat!$V$2:$V$50,MATCH(D542,diakadat!$J$2:$J$50),1),"")</f>
        <v/>
      </c>
      <c r="AE542" t="str">
        <f>IFERROR(INDEX(diakadat!$W$2:$W$50,MATCH(D542,diakadat!$J$2:$J$50),1),"")</f>
        <v/>
      </c>
      <c r="AI542" t="str">
        <f>IFERROR(INDEX(diakadat!$X$2:$X$50,MATCH(D542,diakadat!$J$2:$J$50),1),"")</f>
        <v/>
      </c>
      <c r="AK542">
        <f t="shared" si="8"/>
        <v>329</v>
      </c>
      <c r="AL542" t="str" cm="1">
        <f t="array" ref="AL542">ElsoBetuNagy(R542)</f>
        <v/>
      </c>
      <c r="AO542" t="str" cm="1">
        <f t="array" ref="AO542">DatumSzovegge5(AN542)</f>
        <v>1899.</v>
      </c>
      <c r="AP542" t="str" cm="1">
        <f t="array" ref="AP542">DatumSzovegge3(AN542)</f>
        <v>december</v>
      </c>
      <c r="AQ542" t="str" cm="1">
        <f t="array" ref="AQ542">DatumSzovegge4(AN542)</f>
        <v>30.</v>
      </c>
    </row>
    <row r="543" spans="4:43" x14ac:dyDescent="0.25">
      <c r="D543" t="str" cm="1">
        <f t="array" ref="D543">SzuressNev($B$1,ROW()-1)</f>
        <v/>
      </c>
      <c r="E543">
        <f>COUNTIF($D$2:D543,D543)</f>
        <v>522</v>
      </c>
      <c r="F543" t="str" cm="1">
        <f t="array" ref="F543">ElutasitasEgyOk2(D543,E543)</f>
        <v/>
      </c>
      <c r="G543" t="str">
        <f>IFERROR(INDEX(diakadat!$I$2:$I$50,MATCH(D543,diakadat!$J$2:$J$50,0),1),"")</f>
        <v/>
      </c>
      <c r="H543" t="str">
        <f>IFERROR(INDEX(diakadat!$O$2:$O$50,MATCH(D543,diakadat!$J$2:$J$50,0),1),"")</f>
        <v/>
      </c>
      <c r="I543" t="str">
        <f>IFERROR(INDEX(diakadat!#REF!,MATCH(D543,diakadat!$J$2:$J$50,0),1),"")</f>
        <v/>
      </c>
      <c r="J543" t="str">
        <f>IFERROR(INDEX(diakadat!$K$2:$K$50,MATCH(D543,diakadat!$J$2:$J$50,0),1),"")</f>
        <v/>
      </c>
      <c r="K543" t="str" cm="1">
        <f t="array" ref="K543">IFERROR(DatumSzovegge2(INDEX(diakadat!$L$2:$L$50,MATCH(D543,diakadat!$J$2:$J$50,0),1)),"")</f>
        <v/>
      </c>
      <c r="L543" t="str" cm="1">
        <f t="array" ref="L543">IFERROR(DatumSzovegge5(INDEX(diakadat!$L$2:$L$50,MATCH(D543,diakadat!$J$2:$J$50,0),1)),"")</f>
        <v/>
      </c>
      <c r="M543" t="str" cm="1">
        <f t="array" ref="M543">IFERROR(DatumSzovegge3(INDEX(diakadat!$L$2:$L$50,MATCH(D543,diakadat!$J$2:$J$50,0),1)),"")</f>
        <v/>
      </c>
      <c r="N543" t="str" cm="1">
        <f t="array" ref="N543">IFERROR(DatumSzovegge4(INDEX(diakadat!$L$2:$L$50,MATCH(D543,diakadat!$J$2:$J$50,0),1)),"")</f>
        <v/>
      </c>
      <c r="O543" t="str">
        <f>IFERROR(INDEX(diakadat!$R$2:$R$50,MATCH(D543,diakadat!$J$2:$J$50,0),1),"")</f>
        <v/>
      </c>
      <c r="P543" t="str">
        <f>IFERROR(INDEX(diakadat!$AI$2:$AI$50,MATCH(D543,diakadat!$J$2:$J$50,0),1),"")</f>
        <v/>
      </c>
      <c r="Q543" t="str">
        <f>IFERROR(INDEX('rangsor'!$C$2:$C$343,MATCH(D543,'rangsor'!$A$2:$A$343,0),1),"")</f>
        <v/>
      </c>
      <c r="T543" t="s">
        <v>831</v>
      </c>
      <c r="U543" t="str" cm="1">
        <f t="array" ref="U543">Határozat(D543)</f>
        <v/>
      </c>
      <c r="AC543" t="str">
        <f>IFERROR(INDEX(diakadat!$U$2:$U$50,MATCH(D543,diakadat!$J$2:$J$50),1),"")</f>
        <v/>
      </c>
      <c r="AD543" t="str">
        <f>IFERROR(INDEX(diakadat!$V$2:$V$50,MATCH(D543,diakadat!$J$2:$J$50),1),"")</f>
        <v/>
      </c>
      <c r="AE543" t="str">
        <f>IFERROR(INDEX(diakadat!$W$2:$W$50,MATCH(D543,diakadat!$J$2:$J$50),1),"")</f>
        <v/>
      </c>
      <c r="AI543" t="str">
        <f>IFERROR(INDEX(diakadat!$X$2:$X$50,MATCH(D543,diakadat!$J$2:$J$50),1),"")</f>
        <v/>
      </c>
      <c r="AK543">
        <f t="shared" si="8"/>
        <v>329</v>
      </c>
      <c r="AL543" t="str" cm="1">
        <f t="array" ref="AL543">ElsoBetuNagy(R543)</f>
        <v/>
      </c>
      <c r="AO543" t="str" cm="1">
        <f t="array" ref="AO543">DatumSzovegge5(AN543)</f>
        <v>1899.</v>
      </c>
      <c r="AP543" t="str" cm="1">
        <f t="array" ref="AP543">DatumSzovegge3(AN543)</f>
        <v>december</v>
      </c>
      <c r="AQ543" t="str" cm="1">
        <f t="array" ref="AQ543">DatumSzovegge4(AN543)</f>
        <v>30.</v>
      </c>
    </row>
    <row r="544" spans="4:43" x14ac:dyDescent="0.25">
      <c r="D544" t="str" cm="1">
        <f t="array" ref="D544">SzuressNev($B$1,ROW()-1)</f>
        <v/>
      </c>
      <c r="E544">
        <f>COUNTIF($D$2:D544,D544)</f>
        <v>523</v>
      </c>
      <c r="F544" t="str" cm="1">
        <f t="array" ref="F544">ElutasitasEgyOk2(D544,E544)</f>
        <v/>
      </c>
      <c r="G544" t="str">
        <f>IFERROR(INDEX(diakadat!$I$2:$I$50,MATCH(D544,diakadat!$J$2:$J$50,0),1),"")</f>
        <v/>
      </c>
      <c r="H544" t="str">
        <f>IFERROR(INDEX(diakadat!$O$2:$O$50,MATCH(D544,diakadat!$J$2:$J$50,0),1),"")</f>
        <v/>
      </c>
      <c r="I544" t="str">
        <f>IFERROR(INDEX(diakadat!#REF!,MATCH(D544,diakadat!$J$2:$J$50,0),1),"")</f>
        <v/>
      </c>
      <c r="J544" t="str">
        <f>IFERROR(INDEX(diakadat!$K$2:$K$50,MATCH(D544,diakadat!$J$2:$J$50,0),1),"")</f>
        <v/>
      </c>
      <c r="K544" t="str" cm="1">
        <f t="array" ref="K544">IFERROR(DatumSzovegge2(INDEX(diakadat!$L$2:$L$50,MATCH(D544,diakadat!$J$2:$J$50,0),1)),"")</f>
        <v/>
      </c>
      <c r="L544" t="str" cm="1">
        <f t="array" ref="L544">IFERROR(DatumSzovegge5(INDEX(diakadat!$L$2:$L$50,MATCH(D544,diakadat!$J$2:$J$50,0),1)),"")</f>
        <v/>
      </c>
      <c r="M544" t="str" cm="1">
        <f t="array" ref="M544">IFERROR(DatumSzovegge3(INDEX(diakadat!$L$2:$L$50,MATCH(D544,diakadat!$J$2:$J$50,0),1)),"")</f>
        <v/>
      </c>
      <c r="N544" t="str" cm="1">
        <f t="array" ref="N544">IFERROR(DatumSzovegge4(INDEX(diakadat!$L$2:$L$50,MATCH(D544,diakadat!$J$2:$J$50,0),1)),"")</f>
        <v/>
      </c>
      <c r="O544" t="str">
        <f>IFERROR(INDEX(diakadat!$R$2:$R$50,MATCH(D544,diakadat!$J$2:$J$50,0),1),"")</f>
        <v/>
      </c>
      <c r="P544" t="str">
        <f>IFERROR(INDEX(diakadat!$AI$2:$AI$50,MATCH(D544,diakadat!$J$2:$J$50,0),1),"")</f>
        <v/>
      </c>
      <c r="Q544" t="str">
        <f>IFERROR(INDEX('rangsor'!$C$2:$C$343,MATCH(D544,'rangsor'!$A$2:$A$343,0),1),"")</f>
        <v/>
      </c>
      <c r="T544" t="s">
        <v>831</v>
      </c>
      <c r="U544" t="str" cm="1">
        <f t="array" ref="U544">Határozat(D544)</f>
        <v/>
      </c>
      <c r="AC544" t="str">
        <f>IFERROR(INDEX(diakadat!$U$2:$U$50,MATCH(D544,diakadat!$J$2:$J$50),1),"")</f>
        <v/>
      </c>
      <c r="AD544" t="str">
        <f>IFERROR(INDEX(diakadat!$V$2:$V$50,MATCH(D544,diakadat!$J$2:$J$50),1),"")</f>
        <v/>
      </c>
      <c r="AE544" t="str">
        <f>IFERROR(INDEX(diakadat!$W$2:$W$50,MATCH(D544,diakadat!$J$2:$J$50),1),"")</f>
        <v/>
      </c>
      <c r="AI544" t="str">
        <f>IFERROR(INDEX(diakadat!$X$2:$X$50,MATCH(D544,diakadat!$J$2:$J$50),1),"")</f>
        <v/>
      </c>
      <c r="AK544">
        <f t="shared" si="8"/>
        <v>329</v>
      </c>
      <c r="AL544" t="str" cm="1">
        <f t="array" ref="AL544">ElsoBetuNagy(R544)</f>
        <v/>
      </c>
      <c r="AO544" t="str" cm="1">
        <f t="array" ref="AO544">DatumSzovegge5(AN544)</f>
        <v>1899.</v>
      </c>
      <c r="AP544" t="str" cm="1">
        <f t="array" ref="AP544">DatumSzovegge3(AN544)</f>
        <v>december</v>
      </c>
      <c r="AQ544" t="str" cm="1">
        <f t="array" ref="AQ544">DatumSzovegge4(AN544)</f>
        <v>30.</v>
      </c>
    </row>
    <row r="545" spans="4:43" x14ac:dyDescent="0.25">
      <c r="D545" t="str" cm="1">
        <f t="array" ref="D545">SzuressNev($B$1,ROW()-1)</f>
        <v/>
      </c>
      <c r="E545">
        <f>COUNTIF($D$2:D545,D545)</f>
        <v>524</v>
      </c>
      <c r="F545" t="str" cm="1">
        <f t="array" ref="F545">ElutasitasEgyOk2(D545,E545)</f>
        <v/>
      </c>
      <c r="G545" t="str">
        <f>IFERROR(INDEX(diakadat!$I$2:$I$50,MATCH(D545,diakadat!$J$2:$J$50,0),1),"")</f>
        <v/>
      </c>
      <c r="H545" t="str">
        <f>IFERROR(INDEX(diakadat!$O$2:$O$50,MATCH(D545,diakadat!$J$2:$J$50,0),1),"")</f>
        <v/>
      </c>
      <c r="I545" t="str">
        <f>IFERROR(INDEX(diakadat!#REF!,MATCH(D545,diakadat!$J$2:$J$50,0),1),"")</f>
        <v/>
      </c>
      <c r="J545" t="str">
        <f>IFERROR(INDEX(diakadat!$K$2:$K$50,MATCH(D545,diakadat!$J$2:$J$50,0),1),"")</f>
        <v/>
      </c>
      <c r="K545" t="str" cm="1">
        <f t="array" ref="K545">IFERROR(DatumSzovegge2(INDEX(diakadat!$L$2:$L$50,MATCH(D545,diakadat!$J$2:$J$50,0),1)),"")</f>
        <v/>
      </c>
      <c r="L545" t="str" cm="1">
        <f t="array" ref="L545">IFERROR(DatumSzovegge5(INDEX(diakadat!$L$2:$L$50,MATCH(D545,diakadat!$J$2:$J$50,0),1)),"")</f>
        <v/>
      </c>
      <c r="M545" t="str" cm="1">
        <f t="array" ref="M545">IFERROR(DatumSzovegge3(INDEX(diakadat!$L$2:$L$50,MATCH(D545,diakadat!$J$2:$J$50,0),1)),"")</f>
        <v/>
      </c>
      <c r="N545" t="str" cm="1">
        <f t="array" ref="N545">IFERROR(DatumSzovegge4(INDEX(diakadat!$L$2:$L$50,MATCH(D545,diakadat!$J$2:$J$50,0),1)),"")</f>
        <v/>
      </c>
      <c r="O545" t="str">
        <f>IFERROR(INDEX(diakadat!$R$2:$R$50,MATCH(D545,diakadat!$J$2:$J$50,0),1),"")</f>
        <v/>
      </c>
      <c r="P545" t="str">
        <f>IFERROR(INDEX(diakadat!$AI$2:$AI$50,MATCH(D545,diakadat!$J$2:$J$50,0),1),"")</f>
        <v/>
      </c>
      <c r="Q545" t="str">
        <f>IFERROR(INDEX('rangsor'!$C$2:$C$343,MATCH(D545,'rangsor'!$A$2:$A$343,0),1),"")</f>
        <v/>
      </c>
      <c r="T545" t="s">
        <v>831</v>
      </c>
      <c r="U545" t="str" cm="1">
        <f t="array" ref="U545">Határozat(D545)</f>
        <v/>
      </c>
      <c r="AC545" t="str">
        <f>IFERROR(INDEX(diakadat!$U$2:$U$50,MATCH(D545,diakadat!$J$2:$J$50),1),"")</f>
        <v/>
      </c>
      <c r="AD545" t="str">
        <f>IFERROR(INDEX(diakadat!$V$2:$V$50,MATCH(D545,diakadat!$J$2:$J$50),1),"")</f>
        <v/>
      </c>
      <c r="AE545" t="str">
        <f>IFERROR(INDEX(diakadat!$W$2:$W$50,MATCH(D545,diakadat!$J$2:$J$50),1),"")</f>
        <v/>
      </c>
      <c r="AI545" t="str">
        <f>IFERROR(INDEX(diakadat!$X$2:$X$50,MATCH(D545,diakadat!$J$2:$J$50),1),"")</f>
        <v/>
      </c>
      <c r="AK545">
        <f t="shared" si="8"/>
        <v>329</v>
      </c>
      <c r="AL545" t="str" cm="1">
        <f t="array" ref="AL545">ElsoBetuNagy(R545)</f>
        <v/>
      </c>
      <c r="AO545" t="str" cm="1">
        <f t="array" ref="AO545">DatumSzovegge5(AN545)</f>
        <v>1899.</v>
      </c>
      <c r="AP545" t="str" cm="1">
        <f t="array" ref="AP545">DatumSzovegge3(AN545)</f>
        <v>december</v>
      </c>
      <c r="AQ545" t="str" cm="1">
        <f t="array" ref="AQ545">DatumSzovegge4(AN545)</f>
        <v>30.</v>
      </c>
    </row>
    <row r="546" spans="4:43" x14ac:dyDescent="0.25">
      <c r="D546" t="str" cm="1">
        <f t="array" ref="D546">SzuressNev($B$1,ROW()-1)</f>
        <v/>
      </c>
      <c r="E546">
        <f>COUNTIF($D$2:D546,D546)</f>
        <v>525</v>
      </c>
      <c r="F546" t="str" cm="1">
        <f t="array" ref="F546">ElutasitasEgyOk2(D546,E546)</f>
        <v/>
      </c>
      <c r="G546" t="str">
        <f>IFERROR(INDEX(diakadat!$I$2:$I$50,MATCH(D546,diakadat!$J$2:$J$50,0),1),"")</f>
        <v/>
      </c>
      <c r="H546" t="str">
        <f>IFERROR(INDEX(diakadat!$O$2:$O$50,MATCH(D546,diakadat!$J$2:$J$50,0),1),"")</f>
        <v/>
      </c>
      <c r="I546" t="str">
        <f>IFERROR(INDEX(diakadat!#REF!,MATCH(D546,diakadat!$J$2:$J$50,0),1),"")</f>
        <v/>
      </c>
      <c r="J546" t="str">
        <f>IFERROR(INDEX(diakadat!$K$2:$K$50,MATCH(D546,diakadat!$J$2:$J$50,0),1),"")</f>
        <v/>
      </c>
      <c r="K546" t="str" cm="1">
        <f t="array" ref="K546">IFERROR(DatumSzovegge2(INDEX(diakadat!$L$2:$L$50,MATCH(D546,diakadat!$J$2:$J$50,0),1)),"")</f>
        <v/>
      </c>
      <c r="L546" t="str" cm="1">
        <f t="array" ref="L546">IFERROR(DatumSzovegge5(INDEX(diakadat!$L$2:$L$50,MATCH(D546,diakadat!$J$2:$J$50,0),1)),"")</f>
        <v/>
      </c>
      <c r="M546" t="str" cm="1">
        <f t="array" ref="M546">IFERROR(DatumSzovegge3(INDEX(diakadat!$L$2:$L$50,MATCH(D546,diakadat!$J$2:$J$50,0),1)),"")</f>
        <v/>
      </c>
      <c r="N546" t="str" cm="1">
        <f t="array" ref="N546">IFERROR(DatumSzovegge4(INDEX(diakadat!$L$2:$L$50,MATCH(D546,diakadat!$J$2:$J$50,0),1)),"")</f>
        <v/>
      </c>
      <c r="O546" t="str">
        <f>IFERROR(INDEX(diakadat!$R$2:$R$50,MATCH(D546,diakadat!$J$2:$J$50,0),1),"")</f>
        <v/>
      </c>
      <c r="P546" t="str">
        <f>IFERROR(INDEX(diakadat!$AI$2:$AI$50,MATCH(D546,diakadat!$J$2:$J$50,0),1),"")</f>
        <v/>
      </c>
      <c r="Q546" t="str">
        <f>IFERROR(INDEX('rangsor'!$C$2:$C$343,MATCH(D546,'rangsor'!$A$2:$A$343,0),1),"")</f>
        <v/>
      </c>
      <c r="T546" t="s">
        <v>831</v>
      </c>
      <c r="U546" t="str" cm="1">
        <f t="array" ref="U546">Határozat(D546)</f>
        <v/>
      </c>
      <c r="AC546" t="str">
        <f>IFERROR(INDEX(diakadat!$U$2:$U$50,MATCH(D546,diakadat!$J$2:$J$50),1),"")</f>
        <v/>
      </c>
      <c r="AD546" t="str">
        <f>IFERROR(INDEX(diakadat!$V$2:$V$50,MATCH(D546,diakadat!$J$2:$J$50),1),"")</f>
        <v/>
      </c>
      <c r="AE546" t="str">
        <f>IFERROR(INDEX(diakadat!$W$2:$W$50,MATCH(D546,diakadat!$J$2:$J$50),1),"")</f>
        <v/>
      </c>
      <c r="AI546" t="str">
        <f>IFERROR(INDEX(diakadat!$X$2:$X$50,MATCH(D546,diakadat!$J$2:$J$50),1),"")</f>
        <v/>
      </c>
      <c r="AK546">
        <f t="shared" si="8"/>
        <v>329</v>
      </c>
      <c r="AL546" t="str" cm="1">
        <f t="array" ref="AL546">ElsoBetuNagy(R546)</f>
        <v/>
      </c>
      <c r="AO546" t="str" cm="1">
        <f t="array" ref="AO546">DatumSzovegge5(AN546)</f>
        <v>1899.</v>
      </c>
      <c r="AP546" t="str" cm="1">
        <f t="array" ref="AP546">DatumSzovegge3(AN546)</f>
        <v>december</v>
      </c>
      <c r="AQ546" t="str" cm="1">
        <f t="array" ref="AQ546">DatumSzovegge4(AN546)</f>
        <v>30.</v>
      </c>
    </row>
    <row r="547" spans="4:43" x14ac:dyDescent="0.25">
      <c r="D547" t="str" cm="1">
        <f t="array" ref="D547">SzuressNev($B$1,ROW()-1)</f>
        <v/>
      </c>
      <c r="E547">
        <f>COUNTIF($D$2:D547,D547)</f>
        <v>526</v>
      </c>
      <c r="F547" t="str" cm="1">
        <f t="array" ref="F547">ElutasitasEgyOk2(D547,E547)</f>
        <v/>
      </c>
      <c r="G547" t="str">
        <f>IFERROR(INDEX(diakadat!$I$2:$I$50,MATCH(D547,diakadat!$J$2:$J$50,0),1),"")</f>
        <v/>
      </c>
      <c r="H547" t="str">
        <f>IFERROR(INDEX(diakadat!$O$2:$O$50,MATCH(D547,diakadat!$J$2:$J$50,0),1),"")</f>
        <v/>
      </c>
      <c r="I547" t="str">
        <f>IFERROR(INDEX(diakadat!#REF!,MATCH(D547,diakadat!$J$2:$J$50,0),1),"")</f>
        <v/>
      </c>
      <c r="J547" t="str">
        <f>IFERROR(INDEX(diakadat!$K$2:$K$50,MATCH(D547,diakadat!$J$2:$J$50,0),1),"")</f>
        <v/>
      </c>
      <c r="K547" t="str" cm="1">
        <f t="array" ref="K547">IFERROR(DatumSzovegge2(INDEX(diakadat!$L$2:$L$50,MATCH(D547,diakadat!$J$2:$J$50,0),1)),"")</f>
        <v/>
      </c>
      <c r="L547" t="str" cm="1">
        <f t="array" ref="L547">IFERROR(DatumSzovegge5(INDEX(diakadat!$L$2:$L$50,MATCH(D547,diakadat!$J$2:$J$50,0),1)),"")</f>
        <v/>
      </c>
      <c r="M547" t="str" cm="1">
        <f t="array" ref="M547">IFERROR(DatumSzovegge3(INDEX(diakadat!$L$2:$L$50,MATCH(D547,diakadat!$J$2:$J$50,0),1)),"")</f>
        <v/>
      </c>
      <c r="N547" t="str" cm="1">
        <f t="array" ref="N547">IFERROR(DatumSzovegge4(INDEX(diakadat!$L$2:$L$50,MATCH(D547,diakadat!$J$2:$J$50,0),1)),"")</f>
        <v/>
      </c>
      <c r="O547" t="str">
        <f>IFERROR(INDEX(diakadat!$R$2:$R$50,MATCH(D547,diakadat!$J$2:$J$50,0),1),"")</f>
        <v/>
      </c>
      <c r="P547" t="str">
        <f>IFERROR(INDEX(diakadat!$AI$2:$AI$50,MATCH(D547,diakadat!$J$2:$J$50,0),1),"")</f>
        <v/>
      </c>
      <c r="Q547" t="str">
        <f>IFERROR(INDEX('rangsor'!$C$2:$C$343,MATCH(D547,'rangsor'!$A$2:$A$343,0),1),"")</f>
        <v/>
      </c>
      <c r="T547" t="s">
        <v>831</v>
      </c>
      <c r="U547" t="str" cm="1">
        <f t="array" ref="U547">Határozat(D547)</f>
        <v/>
      </c>
      <c r="AC547" t="str">
        <f>IFERROR(INDEX(diakadat!$U$2:$U$50,MATCH(D547,diakadat!$J$2:$J$50),1),"")</f>
        <v/>
      </c>
      <c r="AD547" t="str">
        <f>IFERROR(INDEX(diakadat!$V$2:$V$50,MATCH(D547,diakadat!$J$2:$J$50),1),"")</f>
        <v/>
      </c>
      <c r="AE547" t="str">
        <f>IFERROR(INDEX(diakadat!$W$2:$W$50,MATCH(D547,diakadat!$J$2:$J$50),1),"")</f>
        <v/>
      </c>
      <c r="AI547" t="str">
        <f>IFERROR(INDEX(diakadat!$X$2:$X$50,MATCH(D547,diakadat!$J$2:$J$50),1),"")</f>
        <v/>
      </c>
      <c r="AK547">
        <f t="shared" si="8"/>
        <v>329</v>
      </c>
      <c r="AL547" t="str" cm="1">
        <f t="array" ref="AL547">ElsoBetuNagy(R547)</f>
        <v/>
      </c>
      <c r="AO547" t="str" cm="1">
        <f t="array" ref="AO547">DatumSzovegge5(AN547)</f>
        <v>1899.</v>
      </c>
      <c r="AP547" t="str" cm="1">
        <f t="array" ref="AP547">DatumSzovegge3(AN547)</f>
        <v>december</v>
      </c>
      <c r="AQ547" t="str" cm="1">
        <f t="array" ref="AQ547">DatumSzovegge4(AN547)</f>
        <v>30.</v>
      </c>
    </row>
    <row r="548" spans="4:43" x14ac:dyDescent="0.25">
      <c r="D548" t="str" cm="1">
        <f t="array" ref="D548">SzuressNev($B$1,ROW()-1)</f>
        <v/>
      </c>
      <c r="E548">
        <f>COUNTIF($D$2:D548,D548)</f>
        <v>527</v>
      </c>
      <c r="F548" t="str" cm="1">
        <f t="array" ref="F548">ElutasitasEgyOk2(D548,E548)</f>
        <v/>
      </c>
      <c r="G548" t="str">
        <f>IFERROR(INDEX(diakadat!$I$2:$I$50,MATCH(D548,diakadat!$J$2:$J$50,0),1),"")</f>
        <v/>
      </c>
      <c r="H548" t="str">
        <f>IFERROR(INDEX(diakadat!$O$2:$O$50,MATCH(D548,diakadat!$J$2:$J$50,0),1),"")</f>
        <v/>
      </c>
      <c r="I548" t="str">
        <f>IFERROR(INDEX(diakadat!#REF!,MATCH(D548,diakadat!$J$2:$J$50,0),1),"")</f>
        <v/>
      </c>
      <c r="J548" t="str">
        <f>IFERROR(INDEX(diakadat!$K$2:$K$50,MATCH(D548,diakadat!$J$2:$J$50,0),1),"")</f>
        <v/>
      </c>
      <c r="K548" t="str" cm="1">
        <f t="array" ref="K548">IFERROR(DatumSzovegge2(INDEX(diakadat!$L$2:$L$50,MATCH(D548,diakadat!$J$2:$J$50,0),1)),"")</f>
        <v/>
      </c>
      <c r="L548" t="str" cm="1">
        <f t="array" ref="L548">IFERROR(DatumSzovegge5(INDEX(diakadat!$L$2:$L$50,MATCH(D548,diakadat!$J$2:$J$50,0),1)),"")</f>
        <v/>
      </c>
      <c r="M548" t="str" cm="1">
        <f t="array" ref="M548">IFERROR(DatumSzovegge3(INDEX(diakadat!$L$2:$L$50,MATCH(D548,diakadat!$J$2:$J$50,0),1)),"")</f>
        <v/>
      </c>
      <c r="N548" t="str" cm="1">
        <f t="array" ref="N548">IFERROR(DatumSzovegge4(INDEX(diakadat!$L$2:$L$50,MATCH(D548,diakadat!$J$2:$J$50,0),1)),"")</f>
        <v/>
      </c>
      <c r="O548" t="str">
        <f>IFERROR(INDEX(diakadat!$R$2:$R$50,MATCH(D548,diakadat!$J$2:$J$50,0),1),"")</f>
        <v/>
      </c>
      <c r="P548" t="str">
        <f>IFERROR(INDEX(diakadat!$AI$2:$AI$50,MATCH(D548,diakadat!$J$2:$J$50,0),1),"")</f>
        <v/>
      </c>
      <c r="Q548" t="str">
        <f>IFERROR(INDEX('rangsor'!$C$2:$C$343,MATCH(D548,'rangsor'!$A$2:$A$343,0),1),"")</f>
        <v/>
      </c>
      <c r="T548" t="s">
        <v>831</v>
      </c>
      <c r="U548" t="str" cm="1">
        <f t="array" ref="U548">Határozat(D548)</f>
        <v/>
      </c>
      <c r="AC548" t="str">
        <f>IFERROR(INDEX(diakadat!$U$2:$U$50,MATCH(D548,diakadat!$J$2:$J$50),1),"")</f>
        <v/>
      </c>
      <c r="AD548" t="str">
        <f>IFERROR(INDEX(diakadat!$V$2:$V$50,MATCH(D548,diakadat!$J$2:$J$50),1),"")</f>
        <v/>
      </c>
      <c r="AE548" t="str">
        <f>IFERROR(INDEX(diakadat!$W$2:$W$50,MATCH(D548,diakadat!$J$2:$J$50),1),"")</f>
        <v/>
      </c>
      <c r="AI548" t="str">
        <f>IFERROR(INDEX(diakadat!$X$2:$X$50,MATCH(D548,diakadat!$J$2:$J$50),1),"")</f>
        <v/>
      </c>
      <c r="AK548">
        <f t="shared" si="8"/>
        <v>329</v>
      </c>
      <c r="AL548" t="str" cm="1">
        <f t="array" ref="AL548">ElsoBetuNagy(R548)</f>
        <v/>
      </c>
      <c r="AO548" t="str" cm="1">
        <f t="array" ref="AO548">DatumSzovegge5(AN548)</f>
        <v>1899.</v>
      </c>
      <c r="AP548" t="str" cm="1">
        <f t="array" ref="AP548">DatumSzovegge3(AN548)</f>
        <v>december</v>
      </c>
      <c r="AQ548" t="str" cm="1">
        <f t="array" ref="AQ548">DatumSzovegge4(AN548)</f>
        <v>30.</v>
      </c>
    </row>
    <row r="549" spans="4:43" x14ac:dyDescent="0.25">
      <c r="D549" t="str" cm="1">
        <f t="array" ref="D549">SzuressNev($B$1,ROW()-1)</f>
        <v/>
      </c>
      <c r="E549">
        <f>COUNTIF($D$2:D549,D549)</f>
        <v>528</v>
      </c>
      <c r="F549" t="str" cm="1">
        <f t="array" ref="F549">ElutasitasEgyOk2(D549,E549)</f>
        <v/>
      </c>
      <c r="G549" t="str">
        <f>IFERROR(INDEX(diakadat!$I$2:$I$50,MATCH(D549,diakadat!$J$2:$J$50,0),1),"")</f>
        <v/>
      </c>
      <c r="H549" t="str">
        <f>IFERROR(INDEX(diakadat!$O$2:$O$50,MATCH(D549,diakadat!$J$2:$J$50,0),1),"")</f>
        <v/>
      </c>
      <c r="I549" t="str">
        <f>IFERROR(INDEX(diakadat!#REF!,MATCH(D549,diakadat!$J$2:$J$50,0),1),"")</f>
        <v/>
      </c>
      <c r="J549" t="str">
        <f>IFERROR(INDEX(diakadat!$K$2:$K$50,MATCH(D549,diakadat!$J$2:$J$50,0),1),"")</f>
        <v/>
      </c>
      <c r="K549" t="str" cm="1">
        <f t="array" ref="K549">IFERROR(DatumSzovegge2(INDEX(diakadat!$L$2:$L$50,MATCH(D549,diakadat!$J$2:$J$50,0),1)),"")</f>
        <v/>
      </c>
      <c r="L549" t="str" cm="1">
        <f t="array" ref="L549">IFERROR(DatumSzovegge5(INDEX(diakadat!$L$2:$L$50,MATCH(D549,diakadat!$J$2:$J$50,0),1)),"")</f>
        <v/>
      </c>
      <c r="M549" t="str" cm="1">
        <f t="array" ref="M549">IFERROR(DatumSzovegge3(INDEX(diakadat!$L$2:$L$50,MATCH(D549,diakadat!$J$2:$J$50,0),1)),"")</f>
        <v/>
      </c>
      <c r="N549" t="str" cm="1">
        <f t="array" ref="N549">IFERROR(DatumSzovegge4(INDEX(diakadat!$L$2:$L$50,MATCH(D549,diakadat!$J$2:$J$50,0),1)),"")</f>
        <v/>
      </c>
      <c r="O549" t="str">
        <f>IFERROR(INDEX(diakadat!$R$2:$R$50,MATCH(D549,diakadat!$J$2:$J$50,0),1),"")</f>
        <v/>
      </c>
      <c r="P549" t="str">
        <f>IFERROR(INDEX(diakadat!$AI$2:$AI$50,MATCH(D549,diakadat!$J$2:$J$50,0),1),"")</f>
        <v/>
      </c>
      <c r="Q549" t="str">
        <f>IFERROR(INDEX('rangsor'!$C$2:$C$343,MATCH(D549,'rangsor'!$A$2:$A$343,0),1),"")</f>
        <v/>
      </c>
      <c r="T549" t="s">
        <v>831</v>
      </c>
      <c r="U549" t="str" cm="1">
        <f t="array" ref="U549">Határozat(D549)</f>
        <v/>
      </c>
      <c r="AC549" t="str">
        <f>IFERROR(INDEX(diakadat!$U$2:$U$50,MATCH(D549,diakadat!$J$2:$J$50),1),"")</f>
        <v/>
      </c>
      <c r="AD549" t="str">
        <f>IFERROR(INDEX(diakadat!$V$2:$V$50,MATCH(D549,diakadat!$J$2:$J$50),1),"")</f>
        <v/>
      </c>
      <c r="AE549" t="str">
        <f>IFERROR(INDEX(diakadat!$W$2:$W$50,MATCH(D549,diakadat!$J$2:$J$50),1),"")</f>
        <v/>
      </c>
      <c r="AI549" t="str">
        <f>IFERROR(INDEX(diakadat!$X$2:$X$50,MATCH(D549,diakadat!$J$2:$J$50),1),"")</f>
        <v/>
      </c>
      <c r="AK549">
        <f t="shared" si="8"/>
        <v>329</v>
      </c>
      <c r="AL549" t="str" cm="1">
        <f t="array" ref="AL549">ElsoBetuNagy(R549)</f>
        <v/>
      </c>
      <c r="AO549" t="str" cm="1">
        <f t="array" ref="AO549">DatumSzovegge5(AN549)</f>
        <v>1899.</v>
      </c>
      <c r="AP549" t="str" cm="1">
        <f t="array" ref="AP549">DatumSzovegge3(AN549)</f>
        <v>december</v>
      </c>
      <c r="AQ549" t="str" cm="1">
        <f t="array" ref="AQ549">DatumSzovegge4(AN549)</f>
        <v>30.</v>
      </c>
    </row>
    <row r="550" spans="4:43" x14ac:dyDescent="0.25">
      <c r="D550" t="str" cm="1">
        <f t="array" ref="D550">SzuressNev($B$1,ROW()-1)</f>
        <v/>
      </c>
      <c r="E550">
        <f>COUNTIF($D$2:D550,D550)</f>
        <v>529</v>
      </c>
      <c r="F550" t="str" cm="1">
        <f t="array" ref="F550">ElutasitasEgyOk2(D550,E550)</f>
        <v/>
      </c>
      <c r="G550" t="str">
        <f>IFERROR(INDEX(diakadat!$I$2:$I$50,MATCH(D550,diakadat!$J$2:$J$50,0),1),"")</f>
        <v/>
      </c>
      <c r="H550" t="str">
        <f>IFERROR(INDEX(diakadat!$O$2:$O$50,MATCH(D550,diakadat!$J$2:$J$50,0),1),"")</f>
        <v/>
      </c>
      <c r="I550" t="str">
        <f>IFERROR(INDEX(diakadat!#REF!,MATCH(D550,diakadat!$J$2:$J$50,0),1),"")</f>
        <v/>
      </c>
      <c r="J550" t="str">
        <f>IFERROR(INDEX(diakadat!$K$2:$K$50,MATCH(D550,diakadat!$J$2:$J$50,0),1),"")</f>
        <v/>
      </c>
      <c r="K550" t="str" cm="1">
        <f t="array" ref="K550">IFERROR(DatumSzovegge2(INDEX(diakadat!$L$2:$L$50,MATCH(D550,diakadat!$J$2:$J$50,0),1)),"")</f>
        <v/>
      </c>
      <c r="L550" t="str" cm="1">
        <f t="array" ref="L550">IFERROR(DatumSzovegge5(INDEX(diakadat!$L$2:$L$50,MATCH(D550,diakadat!$J$2:$J$50,0),1)),"")</f>
        <v/>
      </c>
      <c r="M550" t="str" cm="1">
        <f t="array" ref="M550">IFERROR(DatumSzovegge3(INDEX(diakadat!$L$2:$L$50,MATCH(D550,diakadat!$J$2:$J$50,0),1)),"")</f>
        <v/>
      </c>
      <c r="N550" t="str" cm="1">
        <f t="array" ref="N550">IFERROR(DatumSzovegge4(INDEX(diakadat!$L$2:$L$50,MATCH(D550,diakadat!$J$2:$J$50,0),1)),"")</f>
        <v/>
      </c>
      <c r="O550" t="str">
        <f>IFERROR(INDEX(diakadat!$R$2:$R$50,MATCH(D550,diakadat!$J$2:$J$50,0),1),"")</f>
        <v/>
      </c>
      <c r="P550" t="str">
        <f>IFERROR(INDEX(diakadat!$AI$2:$AI$50,MATCH(D550,diakadat!$J$2:$J$50,0),1),"")</f>
        <v/>
      </c>
      <c r="Q550" t="str">
        <f>IFERROR(INDEX('rangsor'!$C$2:$C$343,MATCH(D550,'rangsor'!$A$2:$A$343,0),1),"")</f>
        <v/>
      </c>
      <c r="T550" t="s">
        <v>831</v>
      </c>
      <c r="U550" t="str" cm="1">
        <f t="array" ref="U550">Határozat(D550)</f>
        <v/>
      </c>
      <c r="AC550" t="str">
        <f>IFERROR(INDEX(diakadat!$U$2:$U$50,MATCH(D550,diakadat!$J$2:$J$50),1),"")</f>
        <v/>
      </c>
      <c r="AD550" t="str">
        <f>IFERROR(INDEX(diakadat!$V$2:$V$50,MATCH(D550,diakadat!$J$2:$J$50),1),"")</f>
        <v/>
      </c>
      <c r="AE550" t="str">
        <f>IFERROR(INDEX(diakadat!$W$2:$W$50,MATCH(D550,diakadat!$J$2:$J$50),1),"")</f>
        <v/>
      </c>
      <c r="AI550" t="str">
        <f>IFERROR(INDEX(diakadat!$X$2:$X$50,MATCH(D550,diakadat!$J$2:$J$50),1),"")</f>
        <v/>
      </c>
      <c r="AK550">
        <f t="shared" si="8"/>
        <v>329</v>
      </c>
      <c r="AL550" t="str" cm="1">
        <f t="array" ref="AL550">ElsoBetuNagy(R550)</f>
        <v/>
      </c>
      <c r="AO550" t="str" cm="1">
        <f t="array" ref="AO550">DatumSzovegge5(AN550)</f>
        <v>1899.</v>
      </c>
      <c r="AP550" t="str" cm="1">
        <f t="array" ref="AP550">DatumSzovegge3(AN550)</f>
        <v>december</v>
      </c>
      <c r="AQ550" t="str" cm="1">
        <f t="array" ref="AQ550">DatumSzovegge4(AN550)</f>
        <v>30.</v>
      </c>
    </row>
    <row r="551" spans="4:43" x14ac:dyDescent="0.25">
      <c r="D551" t="str" cm="1">
        <f t="array" ref="D551">SzuressNev($B$1,ROW()-1)</f>
        <v/>
      </c>
      <c r="E551">
        <f>COUNTIF($D$2:D551,D551)</f>
        <v>530</v>
      </c>
      <c r="F551" t="str" cm="1">
        <f t="array" ref="F551">ElutasitasEgyOk2(D551,E551)</f>
        <v/>
      </c>
      <c r="G551" t="str">
        <f>IFERROR(INDEX(diakadat!$I$2:$I$50,MATCH(D551,diakadat!$J$2:$J$50,0),1),"")</f>
        <v/>
      </c>
      <c r="H551" t="str">
        <f>IFERROR(INDEX(diakadat!$O$2:$O$50,MATCH(D551,diakadat!$J$2:$J$50,0),1),"")</f>
        <v/>
      </c>
      <c r="I551" t="str">
        <f>IFERROR(INDEX(diakadat!#REF!,MATCH(D551,diakadat!$J$2:$J$50,0),1),"")</f>
        <v/>
      </c>
      <c r="J551" t="str">
        <f>IFERROR(INDEX(diakadat!$K$2:$K$50,MATCH(D551,diakadat!$J$2:$J$50,0),1),"")</f>
        <v/>
      </c>
      <c r="K551" t="str" cm="1">
        <f t="array" ref="K551">IFERROR(DatumSzovegge2(INDEX(diakadat!$L$2:$L$50,MATCH(D551,diakadat!$J$2:$J$50,0),1)),"")</f>
        <v/>
      </c>
      <c r="L551" t="str" cm="1">
        <f t="array" ref="L551">IFERROR(DatumSzovegge5(INDEX(diakadat!$L$2:$L$50,MATCH(D551,diakadat!$J$2:$J$50,0),1)),"")</f>
        <v/>
      </c>
      <c r="M551" t="str" cm="1">
        <f t="array" ref="M551">IFERROR(DatumSzovegge3(INDEX(diakadat!$L$2:$L$50,MATCH(D551,diakadat!$J$2:$J$50,0),1)),"")</f>
        <v/>
      </c>
      <c r="N551" t="str" cm="1">
        <f t="array" ref="N551">IFERROR(DatumSzovegge4(INDEX(diakadat!$L$2:$L$50,MATCH(D551,diakadat!$J$2:$J$50,0),1)),"")</f>
        <v/>
      </c>
      <c r="O551" t="str">
        <f>IFERROR(INDEX(diakadat!$R$2:$R$50,MATCH(D551,diakadat!$J$2:$J$50,0),1),"")</f>
        <v/>
      </c>
      <c r="P551" t="str">
        <f>IFERROR(INDEX(diakadat!$AI$2:$AI$50,MATCH(D551,diakadat!$J$2:$J$50,0),1),"")</f>
        <v/>
      </c>
      <c r="Q551" t="str">
        <f>IFERROR(INDEX('rangsor'!$C$2:$C$343,MATCH(D551,'rangsor'!$A$2:$A$343,0),1),"")</f>
        <v/>
      </c>
      <c r="T551" t="s">
        <v>831</v>
      </c>
      <c r="U551" t="str" cm="1">
        <f t="array" ref="U551">Határozat(D551)</f>
        <v/>
      </c>
      <c r="AC551" t="str">
        <f>IFERROR(INDEX(diakadat!$U$2:$U$50,MATCH(D551,diakadat!$J$2:$J$50),1),"")</f>
        <v/>
      </c>
      <c r="AD551" t="str">
        <f>IFERROR(INDEX(diakadat!$V$2:$V$50,MATCH(D551,diakadat!$J$2:$J$50),1),"")</f>
        <v/>
      </c>
      <c r="AE551" t="str">
        <f>IFERROR(INDEX(diakadat!$W$2:$W$50,MATCH(D551,diakadat!$J$2:$J$50),1),"")</f>
        <v/>
      </c>
      <c r="AI551" t="str">
        <f>IFERROR(INDEX(diakadat!$X$2:$X$50,MATCH(D551,diakadat!$J$2:$J$50),1),"")</f>
        <v/>
      </c>
      <c r="AK551">
        <f t="shared" si="8"/>
        <v>329</v>
      </c>
      <c r="AL551" t="str" cm="1">
        <f t="array" ref="AL551">ElsoBetuNagy(R551)</f>
        <v/>
      </c>
      <c r="AO551" t="str" cm="1">
        <f t="array" ref="AO551">DatumSzovegge5(AN551)</f>
        <v>1899.</v>
      </c>
      <c r="AP551" t="str" cm="1">
        <f t="array" ref="AP551">DatumSzovegge3(AN551)</f>
        <v>december</v>
      </c>
      <c r="AQ551" t="str" cm="1">
        <f t="array" ref="AQ551">DatumSzovegge4(AN551)</f>
        <v>30.</v>
      </c>
    </row>
    <row r="552" spans="4:43" x14ac:dyDescent="0.25">
      <c r="D552" t="str" cm="1">
        <f t="array" ref="D552">SzuressNev($B$1,ROW()-1)</f>
        <v/>
      </c>
      <c r="E552">
        <f>COUNTIF($D$2:D552,D552)</f>
        <v>531</v>
      </c>
      <c r="F552" t="str" cm="1">
        <f t="array" ref="F552">ElutasitasEgyOk2(D552,E552)</f>
        <v/>
      </c>
      <c r="G552" t="str">
        <f>IFERROR(INDEX(diakadat!$I$2:$I$50,MATCH(D552,diakadat!$J$2:$J$50,0),1),"")</f>
        <v/>
      </c>
      <c r="H552" t="str">
        <f>IFERROR(INDEX(diakadat!$O$2:$O$50,MATCH(D552,diakadat!$J$2:$J$50,0),1),"")</f>
        <v/>
      </c>
      <c r="I552" t="str">
        <f>IFERROR(INDEX(diakadat!#REF!,MATCH(D552,diakadat!$J$2:$J$50,0),1),"")</f>
        <v/>
      </c>
      <c r="J552" t="str">
        <f>IFERROR(INDEX(diakadat!$K$2:$K$50,MATCH(D552,diakadat!$J$2:$J$50,0),1),"")</f>
        <v/>
      </c>
      <c r="K552" t="str" cm="1">
        <f t="array" ref="K552">IFERROR(DatumSzovegge2(INDEX(diakadat!$L$2:$L$50,MATCH(D552,diakadat!$J$2:$J$50,0),1)),"")</f>
        <v/>
      </c>
      <c r="L552" t="str" cm="1">
        <f t="array" ref="L552">IFERROR(DatumSzovegge5(INDEX(diakadat!$L$2:$L$50,MATCH(D552,diakadat!$J$2:$J$50,0),1)),"")</f>
        <v/>
      </c>
      <c r="M552" t="str" cm="1">
        <f t="array" ref="M552">IFERROR(DatumSzovegge3(INDEX(diakadat!$L$2:$L$50,MATCH(D552,diakadat!$J$2:$J$50,0),1)),"")</f>
        <v/>
      </c>
      <c r="N552" t="str" cm="1">
        <f t="array" ref="N552">IFERROR(DatumSzovegge4(INDEX(diakadat!$L$2:$L$50,MATCH(D552,diakadat!$J$2:$J$50,0),1)),"")</f>
        <v/>
      </c>
      <c r="O552" t="str">
        <f>IFERROR(INDEX(diakadat!$R$2:$R$50,MATCH(D552,diakadat!$J$2:$J$50,0),1),"")</f>
        <v/>
      </c>
      <c r="P552" t="str">
        <f>IFERROR(INDEX(diakadat!$AI$2:$AI$50,MATCH(D552,diakadat!$J$2:$J$50,0),1),"")</f>
        <v/>
      </c>
      <c r="Q552" t="str">
        <f>IFERROR(INDEX('rangsor'!$C$2:$C$343,MATCH(D552,'rangsor'!$A$2:$A$343,0),1),"")</f>
        <v/>
      </c>
      <c r="T552" t="s">
        <v>831</v>
      </c>
      <c r="U552" t="str" cm="1">
        <f t="array" ref="U552">Határozat(D552)</f>
        <v/>
      </c>
      <c r="AC552" t="str">
        <f>IFERROR(INDEX(diakadat!$U$2:$U$50,MATCH(D552,diakadat!$J$2:$J$50),1),"")</f>
        <v/>
      </c>
      <c r="AD552" t="str">
        <f>IFERROR(INDEX(diakadat!$V$2:$V$50,MATCH(D552,diakadat!$J$2:$J$50),1),"")</f>
        <v/>
      </c>
      <c r="AE552" t="str">
        <f>IFERROR(INDEX(diakadat!$W$2:$W$50,MATCH(D552,diakadat!$J$2:$J$50),1),"")</f>
        <v/>
      </c>
      <c r="AI552" t="str">
        <f>IFERROR(INDEX(diakadat!$X$2:$X$50,MATCH(D552,diakadat!$J$2:$J$50),1),"")</f>
        <v/>
      </c>
      <c r="AK552">
        <f t="shared" si="8"/>
        <v>329</v>
      </c>
      <c r="AL552" t="str" cm="1">
        <f t="array" ref="AL552">ElsoBetuNagy(R552)</f>
        <v/>
      </c>
      <c r="AO552" t="str" cm="1">
        <f t="array" ref="AO552">DatumSzovegge5(AN552)</f>
        <v>1899.</v>
      </c>
      <c r="AP552" t="str" cm="1">
        <f t="array" ref="AP552">DatumSzovegge3(AN552)</f>
        <v>december</v>
      </c>
      <c r="AQ552" t="str" cm="1">
        <f t="array" ref="AQ552">DatumSzovegge4(AN552)</f>
        <v>30.</v>
      </c>
    </row>
    <row r="553" spans="4:43" x14ac:dyDescent="0.25">
      <c r="D553" t="str" cm="1">
        <f t="array" ref="D553">SzuressNev($B$1,ROW()-1)</f>
        <v/>
      </c>
      <c r="E553">
        <f>COUNTIF($D$2:D553,D553)</f>
        <v>532</v>
      </c>
      <c r="F553" t="str" cm="1">
        <f t="array" ref="F553">ElutasitasEgyOk2(D553,E553)</f>
        <v/>
      </c>
      <c r="G553" t="str">
        <f>IFERROR(INDEX(diakadat!$I$2:$I$50,MATCH(D553,diakadat!$J$2:$J$50,0),1),"")</f>
        <v/>
      </c>
      <c r="H553" t="str">
        <f>IFERROR(INDEX(diakadat!$O$2:$O$50,MATCH(D553,diakadat!$J$2:$J$50,0),1),"")</f>
        <v/>
      </c>
      <c r="I553" t="str">
        <f>IFERROR(INDEX(diakadat!#REF!,MATCH(D553,diakadat!$J$2:$J$50,0),1),"")</f>
        <v/>
      </c>
      <c r="J553" t="str">
        <f>IFERROR(INDEX(diakadat!$K$2:$K$50,MATCH(D553,diakadat!$J$2:$J$50,0),1),"")</f>
        <v/>
      </c>
      <c r="K553" t="str" cm="1">
        <f t="array" ref="K553">IFERROR(DatumSzovegge2(INDEX(diakadat!$L$2:$L$50,MATCH(D553,diakadat!$J$2:$J$50,0),1)),"")</f>
        <v/>
      </c>
      <c r="L553" t="str" cm="1">
        <f t="array" ref="L553">IFERROR(DatumSzovegge5(INDEX(diakadat!$L$2:$L$50,MATCH(D553,diakadat!$J$2:$J$50,0),1)),"")</f>
        <v/>
      </c>
      <c r="M553" t="str" cm="1">
        <f t="array" ref="M553">IFERROR(DatumSzovegge3(INDEX(diakadat!$L$2:$L$50,MATCH(D553,diakadat!$J$2:$J$50,0),1)),"")</f>
        <v/>
      </c>
      <c r="N553" t="str" cm="1">
        <f t="array" ref="N553">IFERROR(DatumSzovegge4(INDEX(diakadat!$L$2:$L$50,MATCH(D553,diakadat!$J$2:$J$50,0),1)),"")</f>
        <v/>
      </c>
      <c r="O553" t="str">
        <f>IFERROR(INDEX(diakadat!$R$2:$R$50,MATCH(D553,diakadat!$J$2:$J$50,0),1),"")</f>
        <v/>
      </c>
      <c r="P553" t="str">
        <f>IFERROR(INDEX(diakadat!$AI$2:$AI$50,MATCH(D553,diakadat!$J$2:$J$50,0),1),"")</f>
        <v/>
      </c>
      <c r="Q553" t="str">
        <f>IFERROR(INDEX('rangsor'!$C$2:$C$343,MATCH(D553,'rangsor'!$A$2:$A$343,0),1),"")</f>
        <v/>
      </c>
      <c r="T553" t="s">
        <v>831</v>
      </c>
      <c r="U553" t="str" cm="1">
        <f t="array" ref="U553">Határozat(D553)</f>
        <v/>
      </c>
      <c r="AC553" t="str">
        <f>IFERROR(INDEX(diakadat!$U$2:$U$50,MATCH(D553,diakadat!$J$2:$J$50),1),"")</f>
        <v/>
      </c>
      <c r="AD553" t="str">
        <f>IFERROR(INDEX(diakadat!$V$2:$V$50,MATCH(D553,diakadat!$J$2:$J$50),1),"")</f>
        <v/>
      </c>
      <c r="AE553" t="str">
        <f>IFERROR(INDEX(diakadat!$W$2:$W$50,MATCH(D553,diakadat!$J$2:$J$50),1),"")</f>
        <v/>
      </c>
      <c r="AI553" t="str">
        <f>IFERROR(INDEX(diakadat!$X$2:$X$50,MATCH(D553,diakadat!$J$2:$J$50),1),"")</f>
        <v/>
      </c>
      <c r="AK553">
        <f t="shared" si="8"/>
        <v>329</v>
      </c>
      <c r="AL553" t="str" cm="1">
        <f t="array" ref="AL553">ElsoBetuNagy(R553)</f>
        <v/>
      </c>
      <c r="AO553" t="str" cm="1">
        <f t="array" ref="AO553">DatumSzovegge5(AN553)</f>
        <v>1899.</v>
      </c>
      <c r="AP553" t="str" cm="1">
        <f t="array" ref="AP553">DatumSzovegge3(AN553)</f>
        <v>december</v>
      </c>
      <c r="AQ553" t="str" cm="1">
        <f t="array" ref="AQ553">DatumSzovegge4(AN553)</f>
        <v>30.</v>
      </c>
    </row>
    <row r="554" spans="4:43" x14ac:dyDescent="0.25">
      <c r="D554" t="str" cm="1">
        <f t="array" ref="D554">SzuressNev($B$1,ROW()-1)</f>
        <v/>
      </c>
      <c r="E554">
        <f>COUNTIF($D$2:D554,D554)</f>
        <v>533</v>
      </c>
      <c r="F554" t="str" cm="1">
        <f t="array" ref="F554">ElutasitasEgyOk2(D554,E554)</f>
        <v/>
      </c>
      <c r="G554" t="str">
        <f>IFERROR(INDEX(diakadat!$I$2:$I$50,MATCH(D554,diakadat!$J$2:$J$50,0),1),"")</f>
        <v/>
      </c>
      <c r="H554" t="str">
        <f>IFERROR(INDEX(diakadat!$O$2:$O$50,MATCH(D554,diakadat!$J$2:$J$50,0),1),"")</f>
        <v/>
      </c>
      <c r="I554" t="str">
        <f>IFERROR(INDEX(diakadat!#REF!,MATCH(D554,diakadat!$J$2:$J$50,0),1),"")</f>
        <v/>
      </c>
      <c r="J554" t="str">
        <f>IFERROR(INDEX(diakadat!$K$2:$K$50,MATCH(D554,diakadat!$J$2:$J$50,0),1),"")</f>
        <v/>
      </c>
      <c r="K554" t="str" cm="1">
        <f t="array" ref="K554">IFERROR(DatumSzovegge2(INDEX(diakadat!$L$2:$L$50,MATCH(D554,diakadat!$J$2:$J$50,0),1)),"")</f>
        <v/>
      </c>
      <c r="L554" t="str" cm="1">
        <f t="array" ref="L554">IFERROR(DatumSzovegge5(INDEX(diakadat!$L$2:$L$50,MATCH(D554,diakadat!$J$2:$J$50,0),1)),"")</f>
        <v/>
      </c>
      <c r="M554" t="str" cm="1">
        <f t="array" ref="M554">IFERROR(DatumSzovegge3(INDEX(diakadat!$L$2:$L$50,MATCH(D554,diakadat!$J$2:$J$50,0),1)),"")</f>
        <v/>
      </c>
      <c r="N554" t="str" cm="1">
        <f t="array" ref="N554">IFERROR(DatumSzovegge4(INDEX(diakadat!$L$2:$L$50,MATCH(D554,diakadat!$J$2:$J$50,0),1)),"")</f>
        <v/>
      </c>
      <c r="O554" t="str">
        <f>IFERROR(INDEX(diakadat!$R$2:$R$50,MATCH(D554,diakadat!$J$2:$J$50,0),1),"")</f>
        <v/>
      </c>
      <c r="P554" t="str">
        <f>IFERROR(INDEX(diakadat!$AI$2:$AI$50,MATCH(D554,diakadat!$J$2:$J$50,0),1),"")</f>
        <v/>
      </c>
      <c r="Q554" t="str">
        <f>IFERROR(INDEX('rangsor'!$C$2:$C$343,MATCH(D554,'rangsor'!$A$2:$A$343,0),1),"")</f>
        <v/>
      </c>
      <c r="T554" t="s">
        <v>831</v>
      </c>
      <c r="U554" t="str" cm="1">
        <f t="array" ref="U554">Határozat(D554)</f>
        <v/>
      </c>
      <c r="AC554" t="str">
        <f>IFERROR(INDEX(diakadat!$U$2:$U$50,MATCH(D554,diakadat!$J$2:$J$50),1),"")</f>
        <v/>
      </c>
      <c r="AD554" t="str">
        <f>IFERROR(INDEX(diakadat!$V$2:$V$50,MATCH(D554,diakadat!$J$2:$J$50),1),"")</f>
        <v/>
      </c>
      <c r="AE554" t="str">
        <f>IFERROR(INDEX(diakadat!$W$2:$W$50,MATCH(D554,diakadat!$J$2:$J$50),1),"")</f>
        <v/>
      </c>
      <c r="AI554" t="str">
        <f>IFERROR(INDEX(diakadat!$X$2:$X$50,MATCH(D554,diakadat!$J$2:$J$50),1),"")</f>
        <v/>
      </c>
      <c r="AK554">
        <f t="shared" si="8"/>
        <v>329</v>
      </c>
      <c r="AL554" t="str" cm="1">
        <f t="array" ref="AL554">ElsoBetuNagy(R554)</f>
        <v/>
      </c>
      <c r="AO554" t="str" cm="1">
        <f t="array" ref="AO554">DatumSzovegge5(AN554)</f>
        <v>1899.</v>
      </c>
      <c r="AP554" t="str" cm="1">
        <f t="array" ref="AP554">DatumSzovegge3(AN554)</f>
        <v>december</v>
      </c>
      <c r="AQ554" t="str" cm="1">
        <f t="array" ref="AQ554">DatumSzovegge4(AN554)</f>
        <v>30.</v>
      </c>
    </row>
    <row r="555" spans="4:43" x14ac:dyDescent="0.25">
      <c r="D555" t="str" cm="1">
        <f t="array" ref="D555">SzuressNev($B$1,ROW()-1)</f>
        <v/>
      </c>
      <c r="E555">
        <f>COUNTIF($D$2:D555,D555)</f>
        <v>534</v>
      </c>
      <c r="F555" t="str" cm="1">
        <f t="array" ref="F555">ElutasitasEgyOk2(D555,E555)</f>
        <v/>
      </c>
      <c r="G555" t="str">
        <f>IFERROR(INDEX(diakadat!$I$2:$I$50,MATCH(D555,diakadat!$J$2:$J$50,0),1),"")</f>
        <v/>
      </c>
      <c r="H555" t="str">
        <f>IFERROR(INDEX(diakadat!$O$2:$O$50,MATCH(D555,diakadat!$J$2:$J$50,0),1),"")</f>
        <v/>
      </c>
      <c r="I555" t="str">
        <f>IFERROR(INDEX(diakadat!#REF!,MATCH(D555,diakadat!$J$2:$J$50,0),1),"")</f>
        <v/>
      </c>
      <c r="J555" t="str">
        <f>IFERROR(INDEX(diakadat!$K$2:$K$50,MATCH(D555,diakadat!$J$2:$J$50,0),1),"")</f>
        <v/>
      </c>
      <c r="K555" t="str" cm="1">
        <f t="array" ref="K555">IFERROR(DatumSzovegge2(INDEX(diakadat!$L$2:$L$50,MATCH(D555,diakadat!$J$2:$J$50,0),1)),"")</f>
        <v/>
      </c>
      <c r="L555" t="str" cm="1">
        <f t="array" ref="L555">IFERROR(DatumSzovegge5(INDEX(diakadat!$L$2:$L$50,MATCH(D555,diakadat!$J$2:$J$50,0),1)),"")</f>
        <v/>
      </c>
      <c r="M555" t="str" cm="1">
        <f t="array" ref="M555">IFERROR(DatumSzovegge3(INDEX(diakadat!$L$2:$L$50,MATCH(D555,diakadat!$J$2:$J$50,0),1)),"")</f>
        <v/>
      </c>
      <c r="N555" t="str" cm="1">
        <f t="array" ref="N555">IFERROR(DatumSzovegge4(INDEX(diakadat!$L$2:$L$50,MATCH(D555,diakadat!$J$2:$J$50,0),1)),"")</f>
        <v/>
      </c>
      <c r="O555" t="str">
        <f>IFERROR(INDEX(diakadat!$R$2:$R$50,MATCH(D555,diakadat!$J$2:$J$50,0),1),"")</f>
        <v/>
      </c>
      <c r="P555" t="str">
        <f>IFERROR(INDEX(diakadat!$AI$2:$AI$50,MATCH(D555,diakadat!$J$2:$J$50,0),1),"")</f>
        <v/>
      </c>
      <c r="Q555" t="str">
        <f>IFERROR(INDEX('rangsor'!$C$2:$C$343,MATCH(D555,'rangsor'!$A$2:$A$343,0),1),"")</f>
        <v/>
      </c>
      <c r="T555" t="s">
        <v>831</v>
      </c>
      <c r="U555" t="str" cm="1">
        <f t="array" ref="U555">Határozat(D555)</f>
        <v/>
      </c>
      <c r="AC555" t="str">
        <f>IFERROR(INDEX(diakadat!$U$2:$U$50,MATCH(D555,diakadat!$J$2:$J$50),1),"")</f>
        <v/>
      </c>
      <c r="AD555" t="str">
        <f>IFERROR(INDEX(diakadat!$V$2:$V$50,MATCH(D555,diakadat!$J$2:$J$50),1),"")</f>
        <v/>
      </c>
      <c r="AE555" t="str">
        <f>IFERROR(INDEX(diakadat!$W$2:$W$50,MATCH(D555,diakadat!$J$2:$J$50),1),"")</f>
        <v/>
      </c>
      <c r="AI555" t="str">
        <f>IFERROR(INDEX(diakadat!$X$2:$X$50,MATCH(D555,diakadat!$J$2:$J$50),1),"")</f>
        <v/>
      </c>
      <c r="AK555">
        <f t="shared" si="8"/>
        <v>329</v>
      </c>
      <c r="AL555" t="str" cm="1">
        <f t="array" ref="AL555">ElsoBetuNagy(R555)</f>
        <v/>
      </c>
      <c r="AO555" t="str" cm="1">
        <f t="array" ref="AO555">DatumSzovegge5(AN555)</f>
        <v>1899.</v>
      </c>
      <c r="AP555" t="str" cm="1">
        <f t="array" ref="AP555">DatumSzovegge3(AN555)</f>
        <v>december</v>
      </c>
      <c r="AQ555" t="str" cm="1">
        <f t="array" ref="AQ555">DatumSzovegge4(AN555)</f>
        <v>30.</v>
      </c>
    </row>
    <row r="556" spans="4:43" x14ac:dyDescent="0.25">
      <c r="D556" t="str" cm="1">
        <f t="array" ref="D556">SzuressNev($B$1,ROW()-1)</f>
        <v/>
      </c>
      <c r="E556">
        <f>COUNTIF($D$2:D556,D556)</f>
        <v>535</v>
      </c>
      <c r="F556" t="str" cm="1">
        <f t="array" ref="F556">ElutasitasEgyOk2(D556,E556)</f>
        <v/>
      </c>
      <c r="G556" t="str">
        <f>IFERROR(INDEX(diakadat!$I$2:$I$50,MATCH(D556,diakadat!$J$2:$J$50,0),1),"")</f>
        <v/>
      </c>
      <c r="H556" t="str">
        <f>IFERROR(INDEX(diakadat!$O$2:$O$50,MATCH(D556,diakadat!$J$2:$J$50,0),1),"")</f>
        <v/>
      </c>
      <c r="I556" t="str">
        <f>IFERROR(INDEX(diakadat!#REF!,MATCH(D556,diakadat!$J$2:$J$50,0),1),"")</f>
        <v/>
      </c>
      <c r="J556" t="str">
        <f>IFERROR(INDEX(diakadat!$K$2:$K$50,MATCH(D556,diakadat!$J$2:$J$50,0),1),"")</f>
        <v/>
      </c>
      <c r="K556" t="str" cm="1">
        <f t="array" ref="K556">IFERROR(DatumSzovegge2(INDEX(diakadat!$L$2:$L$50,MATCH(D556,diakadat!$J$2:$J$50,0),1)),"")</f>
        <v/>
      </c>
      <c r="L556" t="str" cm="1">
        <f t="array" ref="L556">IFERROR(DatumSzovegge5(INDEX(diakadat!$L$2:$L$50,MATCH(D556,diakadat!$J$2:$J$50,0),1)),"")</f>
        <v/>
      </c>
      <c r="M556" t="str" cm="1">
        <f t="array" ref="M556">IFERROR(DatumSzovegge3(INDEX(diakadat!$L$2:$L$50,MATCH(D556,diakadat!$J$2:$J$50,0),1)),"")</f>
        <v/>
      </c>
      <c r="N556" t="str" cm="1">
        <f t="array" ref="N556">IFERROR(DatumSzovegge4(INDEX(diakadat!$L$2:$L$50,MATCH(D556,diakadat!$J$2:$J$50,0),1)),"")</f>
        <v/>
      </c>
      <c r="O556" t="str">
        <f>IFERROR(INDEX(diakadat!$R$2:$R$50,MATCH(D556,diakadat!$J$2:$J$50,0),1),"")</f>
        <v/>
      </c>
      <c r="P556" t="str">
        <f>IFERROR(INDEX(diakadat!$AI$2:$AI$50,MATCH(D556,diakadat!$J$2:$J$50,0),1),"")</f>
        <v/>
      </c>
      <c r="Q556" t="str">
        <f>IFERROR(INDEX('rangsor'!$C$2:$C$343,MATCH(D556,'rangsor'!$A$2:$A$343,0),1),"")</f>
        <v/>
      </c>
      <c r="T556" t="s">
        <v>831</v>
      </c>
      <c r="U556" t="str" cm="1">
        <f t="array" ref="U556">Határozat(D556)</f>
        <v/>
      </c>
      <c r="AC556" t="str">
        <f>IFERROR(INDEX(diakadat!$U$2:$U$50,MATCH(D556,diakadat!$J$2:$J$50),1),"")</f>
        <v/>
      </c>
      <c r="AD556" t="str">
        <f>IFERROR(INDEX(diakadat!$V$2:$V$50,MATCH(D556,diakadat!$J$2:$J$50),1),"")</f>
        <v/>
      </c>
      <c r="AE556" t="str">
        <f>IFERROR(INDEX(diakadat!$W$2:$W$50,MATCH(D556,diakadat!$J$2:$J$50),1),"")</f>
        <v/>
      </c>
      <c r="AI556" t="str">
        <f>IFERROR(INDEX(diakadat!$X$2:$X$50,MATCH(D556,diakadat!$J$2:$J$50),1),"")</f>
        <v/>
      </c>
      <c r="AK556">
        <f t="shared" si="8"/>
        <v>329</v>
      </c>
      <c r="AL556" t="str" cm="1">
        <f t="array" ref="AL556">ElsoBetuNagy(R556)</f>
        <v/>
      </c>
      <c r="AO556" t="str" cm="1">
        <f t="array" ref="AO556">DatumSzovegge5(AN556)</f>
        <v>1899.</v>
      </c>
      <c r="AP556" t="str" cm="1">
        <f t="array" ref="AP556">DatumSzovegge3(AN556)</f>
        <v>december</v>
      </c>
      <c r="AQ556" t="str" cm="1">
        <f t="array" ref="AQ556">DatumSzovegge4(AN556)</f>
        <v>30.</v>
      </c>
    </row>
    <row r="557" spans="4:43" x14ac:dyDescent="0.25">
      <c r="D557" t="str" cm="1">
        <f t="array" ref="D557">SzuressNev($B$1,ROW()-1)</f>
        <v/>
      </c>
      <c r="E557">
        <f>COUNTIF($D$2:D557,D557)</f>
        <v>536</v>
      </c>
      <c r="F557" t="str" cm="1">
        <f t="array" ref="F557">ElutasitasEgyOk2(D557,E557)</f>
        <v/>
      </c>
      <c r="G557" t="str">
        <f>IFERROR(INDEX(diakadat!$I$2:$I$50,MATCH(D557,diakadat!$J$2:$J$50,0),1),"")</f>
        <v/>
      </c>
      <c r="H557" t="str">
        <f>IFERROR(INDEX(diakadat!$O$2:$O$50,MATCH(D557,diakadat!$J$2:$J$50,0),1),"")</f>
        <v/>
      </c>
      <c r="I557" t="str">
        <f>IFERROR(INDEX(diakadat!#REF!,MATCH(D557,diakadat!$J$2:$J$50,0),1),"")</f>
        <v/>
      </c>
      <c r="J557" t="str">
        <f>IFERROR(INDEX(diakadat!$K$2:$K$50,MATCH(D557,diakadat!$J$2:$J$50,0),1),"")</f>
        <v/>
      </c>
      <c r="K557" t="str" cm="1">
        <f t="array" ref="K557">IFERROR(DatumSzovegge2(INDEX(diakadat!$L$2:$L$50,MATCH(D557,diakadat!$J$2:$J$50,0),1)),"")</f>
        <v/>
      </c>
      <c r="L557" t="str" cm="1">
        <f t="array" ref="L557">IFERROR(DatumSzovegge5(INDEX(diakadat!$L$2:$L$50,MATCH(D557,diakadat!$J$2:$J$50,0),1)),"")</f>
        <v/>
      </c>
      <c r="M557" t="str" cm="1">
        <f t="array" ref="M557">IFERROR(DatumSzovegge3(INDEX(diakadat!$L$2:$L$50,MATCH(D557,diakadat!$J$2:$J$50,0),1)),"")</f>
        <v/>
      </c>
      <c r="N557" t="str" cm="1">
        <f t="array" ref="N557">IFERROR(DatumSzovegge4(INDEX(diakadat!$L$2:$L$50,MATCH(D557,diakadat!$J$2:$J$50,0),1)),"")</f>
        <v/>
      </c>
      <c r="O557" t="str">
        <f>IFERROR(INDEX(diakadat!$R$2:$R$50,MATCH(D557,diakadat!$J$2:$J$50,0),1),"")</f>
        <v/>
      </c>
      <c r="P557" t="str">
        <f>IFERROR(INDEX(diakadat!$AI$2:$AI$50,MATCH(D557,diakadat!$J$2:$J$50,0),1),"")</f>
        <v/>
      </c>
      <c r="Q557" t="str">
        <f>IFERROR(INDEX('rangsor'!$C$2:$C$343,MATCH(D557,'rangsor'!$A$2:$A$343,0),1),"")</f>
        <v/>
      </c>
      <c r="T557" t="s">
        <v>831</v>
      </c>
      <c r="U557" t="str" cm="1">
        <f t="array" ref="U557">Határozat(D557)</f>
        <v/>
      </c>
      <c r="AC557" t="str">
        <f>IFERROR(INDEX(diakadat!$U$2:$U$50,MATCH(D557,diakadat!$J$2:$J$50),1),"")</f>
        <v/>
      </c>
      <c r="AD557" t="str">
        <f>IFERROR(INDEX(diakadat!$V$2:$V$50,MATCH(D557,diakadat!$J$2:$J$50),1),"")</f>
        <v/>
      </c>
      <c r="AE557" t="str">
        <f>IFERROR(INDEX(diakadat!$W$2:$W$50,MATCH(D557,diakadat!$J$2:$J$50),1),"")</f>
        <v/>
      </c>
      <c r="AI557" t="str">
        <f>IFERROR(INDEX(diakadat!$X$2:$X$50,MATCH(D557,diakadat!$J$2:$J$50),1),"")</f>
        <v/>
      </c>
      <c r="AK557">
        <f t="shared" si="8"/>
        <v>329</v>
      </c>
      <c r="AL557" t="str" cm="1">
        <f t="array" ref="AL557">ElsoBetuNagy(R557)</f>
        <v/>
      </c>
      <c r="AO557" t="str" cm="1">
        <f t="array" ref="AO557">DatumSzovegge5(AN557)</f>
        <v>1899.</v>
      </c>
      <c r="AP557" t="str" cm="1">
        <f t="array" ref="AP557">DatumSzovegge3(AN557)</f>
        <v>december</v>
      </c>
      <c r="AQ557" t="str" cm="1">
        <f t="array" ref="AQ557">DatumSzovegge4(AN557)</f>
        <v>30.</v>
      </c>
    </row>
    <row r="558" spans="4:43" x14ac:dyDescent="0.25">
      <c r="D558" t="str" cm="1">
        <f t="array" ref="D558">SzuressNev($B$1,ROW()-1)</f>
        <v/>
      </c>
      <c r="E558">
        <f>COUNTIF($D$2:D558,D558)</f>
        <v>537</v>
      </c>
      <c r="F558" t="str" cm="1">
        <f t="array" ref="F558">ElutasitasEgyOk2(D558,E558)</f>
        <v/>
      </c>
      <c r="G558" t="str">
        <f>IFERROR(INDEX(diakadat!$I$2:$I$50,MATCH(D558,diakadat!$J$2:$J$50,0),1),"")</f>
        <v/>
      </c>
      <c r="H558" t="str">
        <f>IFERROR(INDEX(diakadat!$O$2:$O$50,MATCH(D558,diakadat!$J$2:$J$50,0),1),"")</f>
        <v/>
      </c>
      <c r="I558" t="str">
        <f>IFERROR(INDEX(diakadat!#REF!,MATCH(D558,diakadat!$J$2:$J$50,0),1),"")</f>
        <v/>
      </c>
      <c r="J558" t="str">
        <f>IFERROR(INDEX(diakadat!$K$2:$K$50,MATCH(D558,diakadat!$J$2:$J$50,0),1),"")</f>
        <v/>
      </c>
      <c r="K558" t="str" cm="1">
        <f t="array" ref="K558">IFERROR(DatumSzovegge2(INDEX(diakadat!$L$2:$L$50,MATCH(D558,diakadat!$J$2:$J$50,0),1)),"")</f>
        <v/>
      </c>
      <c r="L558" t="str" cm="1">
        <f t="array" ref="L558">IFERROR(DatumSzovegge5(INDEX(diakadat!$L$2:$L$50,MATCH(D558,diakadat!$J$2:$J$50,0),1)),"")</f>
        <v/>
      </c>
      <c r="M558" t="str" cm="1">
        <f t="array" ref="M558">IFERROR(DatumSzovegge3(INDEX(diakadat!$L$2:$L$50,MATCH(D558,diakadat!$J$2:$J$50,0),1)),"")</f>
        <v/>
      </c>
      <c r="N558" t="str" cm="1">
        <f t="array" ref="N558">IFERROR(DatumSzovegge4(INDEX(diakadat!$L$2:$L$50,MATCH(D558,diakadat!$J$2:$J$50,0),1)),"")</f>
        <v/>
      </c>
      <c r="O558" t="str">
        <f>IFERROR(INDEX(diakadat!$R$2:$R$50,MATCH(D558,diakadat!$J$2:$J$50,0),1),"")</f>
        <v/>
      </c>
      <c r="P558" t="str">
        <f>IFERROR(INDEX(diakadat!$AI$2:$AI$50,MATCH(D558,diakadat!$J$2:$J$50,0),1),"")</f>
        <v/>
      </c>
      <c r="Q558" t="str">
        <f>IFERROR(INDEX('rangsor'!$C$2:$C$343,MATCH(D558,'rangsor'!$A$2:$A$343,0),1),"")</f>
        <v/>
      </c>
      <c r="T558" t="s">
        <v>831</v>
      </c>
      <c r="U558" t="str" cm="1">
        <f t="array" ref="U558">Határozat(D558)</f>
        <v/>
      </c>
      <c r="AC558" t="str">
        <f>IFERROR(INDEX(diakadat!$U$2:$U$50,MATCH(D558,diakadat!$J$2:$J$50),1),"")</f>
        <v/>
      </c>
      <c r="AD558" t="str">
        <f>IFERROR(INDEX(diakadat!$V$2:$V$50,MATCH(D558,diakadat!$J$2:$J$50),1),"")</f>
        <v/>
      </c>
      <c r="AE558" t="str">
        <f>IFERROR(INDEX(diakadat!$W$2:$W$50,MATCH(D558,diakadat!$J$2:$J$50),1),"")</f>
        <v/>
      </c>
      <c r="AI558" t="str">
        <f>IFERROR(INDEX(diakadat!$X$2:$X$50,MATCH(D558,diakadat!$J$2:$J$50),1),"")</f>
        <v/>
      </c>
      <c r="AK558">
        <f t="shared" si="8"/>
        <v>329</v>
      </c>
      <c r="AL558" t="str" cm="1">
        <f t="array" ref="AL558">ElsoBetuNagy(R558)</f>
        <v/>
      </c>
      <c r="AO558" t="str" cm="1">
        <f t="array" ref="AO558">DatumSzovegge5(AN558)</f>
        <v>1899.</v>
      </c>
      <c r="AP558" t="str" cm="1">
        <f t="array" ref="AP558">DatumSzovegge3(AN558)</f>
        <v>december</v>
      </c>
      <c r="AQ558" t="str" cm="1">
        <f t="array" ref="AQ558">DatumSzovegge4(AN558)</f>
        <v>30.</v>
      </c>
    </row>
    <row r="559" spans="4:43" x14ac:dyDescent="0.25">
      <c r="D559" t="str" cm="1">
        <f t="array" ref="D559">SzuressNev($B$1,ROW()-1)</f>
        <v/>
      </c>
      <c r="E559">
        <f>COUNTIF($D$2:D559,D559)</f>
        <v>538</v>
      </c>
      <c r="F559" t="str" cm="1">
        <f t="array" ref="F559">ElutasitasEgyOk2(D559,E559)</f>
        <v/>
      </c>
      <c r="G559" t="str">
        <f>IFERROR(INDEX(diakadat!$I$2:$I$50,MATCH(D559,diakadat!$J$2:$J$50,0),1),"")</f>
        <v/>
      </c>
      <c r="H559" t="str">
        <f>IFERROR(INDEX(diakadat!$O$2:$O$50,MATCH(D559,diakadat!$J$2:$J$50,0),1),"")</f>
        <v/>
      </c>
      <c r="I559" t="str">
        <f>IFERROR(INDEX(diakadat!#REF!,MATCH(D559,diakadat!$J$2:$J$50,0),1),"")</f>
        <v/>
      </c>
      <c r="J559" t="str">
        <f>IFERROR(INDEX(diakadat!$K$2:$K$50,MATCH(D559,diakadat!$J$2:$J$50,0),1),"")</f>
        <v/>
      </c>
      <c r="K559" t="str" cm="1">
        <f t="array" ref="K559">IFERROR(DatumSzovegge2(INDEX(diakadat!$L$2:$L$50,MATCH(D559,diakadat!$J$2:$J$50,0),1)),"")</f>
        <v/>
      </c>
      <c r="L559" t="str" cm="1">
        <f t="array" ref="L559">IFERROR(DatumSzovegge5(INDEX(diakadat!$L$2:$L$50,MATCH(D559,diakadat!$J$2:$J$50,0),1)),"")</f>
        <v/>
      </c>
      <c r="M559" t="str" cm="1">
        <f t="array" ref="M559">IFERROR(DatumSzovegge3(INDEX(diakadat!$L$2:$L$50,MATCH(D559,diakadat!$J$2:$J$50,0),1)),"")</f>
        <v/>
      </c>
      <c r="N559" t="str" cm="1">
        <f t="array" ref="N559">IFERROR(DatumSzovegge4(INDEX(diakadat!$L$2:$L$50,MATCH(D559,diakadat!$J$2:$J$50,0),1)),"")</f>
        <v/>
      </c>
      <c r="O559" t="str">
        <f>IFERROR(INDEX(diakadat!$R$2:$R$50,MATCH(D559,diakadat!$J$2:$J$50,0),1),"")</f>
        <v/>
      </c>
      <c r="P559" t="str">
        <f>IFERROR(INDEX(diakadat!$AI$2:$AI$50,MATCH(D559,diakadat!$J$2:$J$50,0),1),"")</f>
        <v/>
      </c>
      <c r="Q559" t="str">
        <f>IFERROR(INDEX('rangsor'!$C$2:$C$343,MATCH(D559,'rangsor'!$A$2:$A$343,0),1),"")</f>
        <v/>
      </c>
      <c r="T559" t="s">
        <v>831</v>
      </c>
      <c r="U559" t="str" cm="1">
        <f t="array" ref="U559">Határozat(D559)</f>
        <v/>
      </c>
      <c r="AC559" t="str">
        <f>IFERROR(INDEX(diakadat!$U$2:$U$50,MATCH(D559,diakadat!$J$2:$J$50),1),"")</f>
        <v/>
      </c>
      <c r="AD559" t="str">
        <f>IFERROR(INDEX(diakadat!$V$2:$V$50,MATCH(D559,diakadat!$J$2:$J$50),1),"")</f>
        <v/>
      </c>
      <c r="AE559" t="str">
        <f>IFERROR(INDEX(diakadat!$W$2:$W$50,MATCH(D559,diakadat!$J$2:$J$50),1),"")</f>
        <v/>
      </c>
      <c r="AI559" t="str">
        <f>IFERROR(INDEX(diakadat!$X$2:$X$50,MATCH(D559,diakadat!$J$2:$J$50),1),"")</f>
        <v/>
      </c>
      <c r="AK559">
        <f t="shared" si="8"/>
        <v>329</v>
      </c>
      <c r="AL559" t="str" cm="1">
        <f t="array" ref="AL559">ElsoBetuNagy(R559)</f>
        <v/>
      </c>
      <c r="AO559" t="str" cm="1">
        <f t="array" ref="AO559">DatumSzovegge5(AN559)</f>
        <v>1899.</v>
      </c>
      <c r="AP559" t="str" cm="1">
        <f t="array" ref="AP559">DatumSzovegge3(AN559)</f>
        <v>december</v>
      </c>
      <c r="AQ559" t="str" cm="1">
        <f t="array" ref="AQ559">DatumSzovegge4(AN559)</f>
        <v>30.</v>
      </c>
    </row>
    <row r="560" spans="4:43" x14ac:dyDescent="0.25">
      <c r="D560" t="str" cm="1">
        <f t="array" ref="D560">SzuressNev($B$1,ROW()-1)</f>
        <v/>
      </c>
      <c r="E560">
        <f>COUNTIF($D$2:D560,D560)</f>
        <v>539</v>
      </c>
      <c r="F560" t="str" cm="1">
        <f t="array" ref="F560">ElutasitasEgyOk2(D560,E560)</f>
        <v/>
      </c>
      <c r="G560" t="str">
        <f>IFERROR(INDEX(diakadat!$I$2:$I$50,MATCH(D560,diakadat!$J$2:$J$50,0),1),"")</f>
        <v/>
      </c>
      <c r="H560" t="str">
        <f>IFERROR(INDEX(diakadat!$O$2:$O$50,MATCH(D560,diakadat!$J$2:$J$50,0),1),"")</f>
        <v/>
      </c>
      <c r="I560" t="str">
        <f>IFERROR(INDEX(diakadat!#REF!,MATCH(D560,diakadat!$J$2:$J$50,0),1),"")</f>
        <v/>
      </c>
      <c r="J560" t="str">
        <f>IFERROR(INDEX(diakadat!$K$2:$K$50,MATCH(D560,diakadat!$J$2:$J$50,0),1),"")</f>
        <v/>
      </c>
      <c r="K560" t="str" cm="1">
        <f t="array" ref="K560">IFERROR(DatumSzovegge2(INDEX(diakadat!$L$2:$L$50,MATCH(D560,diakadat!$J$2:$J$50,0),1)),"")</f>
        <v/>
      </c>
      <c r="L560" t="str" cm="1">
        <f t="array" ref="L560">IFERROR(DatumSzovegge5(INDEX(diakadat!$L$2:$L$50,MATCH(D560,diakadat!$J$2:$J$50,0),1)),"")</f>
        <v/>
      </c>
      <c r="M560" t="str" cm="1">
        <f t="array" ref="M560">IFERROR(DatumSzovegge3(INDEX(diakadat!$L$2:$L$50,MATCH(D560,diakadat!$J$2:$J$50,0),1)),"")</f>
        <v/>
      </c>
      <c r="N560" t="str" cm="1">
        <f t="array" ref="N560">IFERROR(DatumSzovegge4(INDEX(diakadat!$L$2:$L$50,MATCH(D560,diakadat!$J$2:$J$50,0),1)),"")</f>
        <v/>
      </c>
      <c r="O560" t="str">
        <f>IFERROR(INDEX(diakadat!$R$2:$R$50,MATCH(D560,diakadat!$J$2:$J$50,0),1),"")</f>
        <v/>
      </c>
      <c r="P560" t="str">
        <f>IFERROR(INDEX(diakadat!$AI$2:$AI$50,MATCH(D560,diakadat!$J$2:$J$50,0),1),"")</f>
        <v/>
      </c>
      <c r="Q560" t="str">
        <f>IFERROR(INDEX('rangsor'!$C$2:$C$343,MATCH(D560,'rangsor'!$A$2:$A$343,0),1),"")</f>
        <v/>
      </c>
      <c r="T560" t="s">
        <v>831</v>
      </c>
      <c r="U560" t="str" cm="1">
        <f t="array" ref="U560">Határozat(D560)</f>
        <v/>
      </c>
      <c r="AC560" t="str">
        <f>IFERROR(INDEX(diakadat!$U$2:$U$50,MATCH(D560,diakadat!$J$2:$J$50),1),"")</f>
        <v/>
      </c>
      <c r="AD560" t="str">
        <f>IFERROR(INDEX(diakadat!$V$2:$V$50,MATCH(D560,diakadat!$J$2:$J$50),1),"")</f>
        <v/>
      </c>
      <c r="AE560" t="str">
        <f>IFERROR(INDEX(diakadat!$W$2:$W$50,MATCH(D560,diakadat!$J$2:$J$50),1),"")</f>
        <v/>
      </c>
      <c r="AI560" t="str">
        <f>IFERROR(INDEX(diakadat!$X$2:$X$50,MATCH(D560,diakadat!$J$2:$J$50),1),"")</f>
        <v/>
      </c>
      <c r="AK560">
        <f t="shared" si="8"/>
        <v>329</v>
      </c>
      <c r="AL560" t="str" cm="1">
        <f t="array" ref="AL560">ElsoBetuNagy(R560)</f>
        <v/>
      </c>
      <c r="AO560" t="str" cm="1">
        <f t="array" ref="AO560">DatumSzovegge5(AN560)</f>
        <v>1899.</v>
      </c>
      <c r="AP560" t="str" cm="1">
        <f t="array" ref="AP560">DatumSzovegge3(AN560)</f>
        <v>december</v>
      </c>
      <c r="AQ560" t="str" cm="1">
        <f t="array" ref="AQ560">DatumSzovegge4(AN560)</f>
        <v>30.</v>
      </c>
    </row>
    <row r="561" spans="4:43" x14ac:dyDescent="0.25">
      <c r="D561" t="str" cm="1">
        <f t="array" ref="D561">SzuressNev($B$1,ROW()-1)</f>
        <v/>
      </c>
      <c r="E561">
        <f>COUNTIF($D$2:D561,D561)</f>
        <v>540</v>
      </c>
      <c r="F561" t="str" cm="1">
        <f t="array" ref="F561">ElutasitasEgyOk2(D561,E561)</f>
        <v/>
      </c>
      <c r="G561" t="str">
        <f>IFERROR(INDEX(diakadat!$I$2:$I$50,MATCH(D561,diakadat!$J$2:$J$50,0),1),"")</f>
        <v/>
      </c>
      <c r="H561" t="str">
        <f>IFERROR(INDEX(diakadat!$O$2:$O$50,MATCH(D561,diakadat!$J$2:$J$50,0),1),"")</f>
        <v/>
      </c>
      <c r="I561" t="str">
        <f>IFERROR(INDEX(diakadat!#REF!,MATCH(D561,diakadat!$J$2:$J$50,0),1),"")</f>
        <v/>
      </c>
      <c r="J561" t="str">
        <f>IFERROR(INDEX(diakadat!$K$2:$K$50,MATCH(D561,diakadat!$J$2:$J$50,0),1),"")</f>
        <v/>
      </c>
      <c r="K561" t="str" cm="1">
        <f t="array" ref="K561">IFERROR(DatumSzovegge2(INDEX(diakadat!$L$2:$L$50,MATCH(D561,diakadat!$J$2:$J$50,0),1)),"")</f>
        <v/>
      </c>
      <c r="L561" t="str" cm="1">
        <f t="array" ref="L561">IFERROR(DatumSzovegge5(INDEX(diakadat!$L$2:$L$50,MATCH(D561,diakadat!$J$2:$J$50,0),1)),"")</f>
        <v/>
      </c>
      <c r="M561" t="str" cm="1">
        <f t="array" ref="M561">IFERROR(DatumSzovegge3(INDEX(diakadat!$L$2:$L$50,MATCH(D561,diakadat!$J$2:$J$50,0),1)),"")</f>
        <v/>
      </c>
      <c r="N561" t="str" cm="1">
        <f t="array" ref="N561">IFERROR(DatumSzovegge4(INDEX(diakadat!$L$2:$L$50,MATCH(D561,diakadat!$J$2:$J$50,0),1)),"")</f>
        <v/>
      </c>
      <c r="O561" t="str">
        <f>IFERROR(INDEX(diakadat!$R$2:$R$50,MATCH(D561,diakadat!$J$2:$J$50,0),1),"")</f>
        <v/>
      </c>
      <c r="P561" t="str">
        <f>IFERROR(INDEX(diakadat!$AI$2:$AI$50,MATCH(D561,diakadat!$J$2:$J$50,0),1),"")</f>
        <v/>
      </c>
      <c r="Q561" t="str">
        <f>IFERROR(INDEX('rangsor'!$C$2:$C$343,MATCH(D561,'rangsor'!$A$2:$A$343,0),1),"")</f>
        <v/>
      </c>
      <c r="T561" t="s">
        <v>831</v>
      </c>
      <c r="U561" t="str" cm="1">
        <f t="array" ref="U561">Határozat(D561)</f>
        <v/>
      </c>
      <c r="AC561" t="str">
        <f>IFERROR(INDEX(diakadat!$U$2:$U$50,MATCH(D561,diakadat!$J$2:$J$50),1),"")</f>
        <v/>
      </c>
      <c r="AD561" t="str">
        <f>IFERROR(INDEX(diakadat!$V$2:$V$50,MATCH(D561,diakadat!$J$2:$J$50),1),"")</f>
        <v/>
      </c>
      <c r="AE561" t="str">
        <f>IFERROR(INDEX(diakadat!$W$2:$W$50,MATCH(D561,diakadat!$J$2:$J$50),1),"")</f>
        <v/>
      </c>
      <c r="AI561" t="str">
        <f>IFERROR(INDEX(diakadat!$X$2:$X$50,MATCH(D561,diakadat!$J$2:$J$50),1),"")</f>
        <v/>
      </c>
      <c r="AK561">
        <f t="shared" si="8"/>
        <v>329</v>
      </c>
      <c r="AL561" t="str" cm="1">
        <f t="array" ref="AL561">ElsoBetuNagy(R561)</f>
        <v/>
      </c>
      <c r="AO561" t="str" cm="1">
        <f t="array" ref="AO561">DatumSzovegge5(AN561)</f>
        <v>1899.</v>
      </c>
      <c r="AP561" t="str" cm="1">
        <f t="array" ref="AP561">DatumSzovegge3(AN561)</f>
        <v>december</v>
      </c>
      <c r="AQ561" t="str" cm="1">
        <f t="array" ref="AQ561">DatumSzovegge4(AN561)</f>
        <v>30.</v>
      </c>
    </row>
    <row r="562" spans="4:43" x14ac:dyDescent="0.25">
      <c r="D562" t="str" cm="1">
        <f t="array" ref="D562">SzuressNev($B$1,ROW()-1)</f>
        <v/>
      </c>
      <c r="E562">
        <f>COUNTIF($D$2:D562,D562)</f>
        <v>541</v>
      </c>
      <c r="F562" t="str" cm="1">
        <f t="array" ref="F562">ElutasitasEgyOk2(D562,E562)</f>
        <v/>
      </c>
      <c r="G562" t="str">
        <f>IFERROR(INDEX(diakadat!$I$2:$I$50,MATCH(D562,diakadat!$J$2:$J$50,0),1),"")</f>
        <v/>
      </c>
      <c r="H562" t="str">
        <f>IFERROR(INDEX(diakadat!$O$2:$O$50,MATCH(D562,diakadat!$J$2:$J$50,0),1),"")</f>
        <v/>
      </c>
      <c r="I562" t="str">
        <f>IFERROR(INDEX(diakadat!#REF!,MATCH(D562,diakadat!$J$2:$J$50,0),1),"")</f>
        <v/>
      </c>
      <c r="J562" t="str">
        <f>IFERROR(INDEX(diakadat!$K$2:$K$50,MATCH(D562,diakadat!$J$2:$J$50,0),1),"")</f>
        <v/>
      </c>
      <c r="K562" t="str" cm="1">
        <f t="array" ref="K562">IFERROR(DatumSzovegge2(INDEX(diakadat!$L$2:$L$50,MATCH(D562,diakadat!$J$2:$J$50,0),1)),"")</f>
        <v/>
      </c>
      <c r="L562" t="str" cm="1">
        <f t="array" ref="L562">IFERROR(DatumSzovegge5(INDEX(diakadat!$L$2:$L$50,MATCH(D562,diakadat!$J$2:$J$50,0),1)),"")</f>
        <v/>
      </c>
      <c r="M562" t="str" cm="1">
        <f t="array" ref="M562">IFERROR(DatumSzovegge3(INDEX(diakadat!$L$2:$L$50,MATCH(D562,diakadat!$J$2:$J$50,0),1)),"")</f>
        <v/>
      </c>
      <c r="N562" t="str" cm="1">
        <f t="array" ref="N562">IFERROR(DatumSzovegge4(INDEX(diakadat!$L$2:$L$50,MATCH(D562,diakadat!$J$2:$J$50,0),1)),"")</f>
        <v/>
      </c>
      <c r="O562" t="str">
        <f>IFERROR(INDEX(diakadat!$R$2:$R$50,MATCH(D562,diakadat!$J$2:$J$50,0),1),"")</f>
        <v/>
      </c>
      <c r="P562" t="str">
        <f>IFERROR(INDEX(diakadat!$AI$2:$AI$50,MATCH(D562,diakadat!$J$2:$J$50,0),1),"")</f>
        <v/>
      </c>
      <c r="Q562" t="str">
        <f>IFERROR(INDEX('rangsor'!$C$2:$C$343,MATCH(D562,'rangsor'!$A$2:$A$343,0),1),"")</f>
        <v/>
      </c>
      <c r="T562" t="s">
        <v>831</v>
      </c>
      <c r="U562" t="str" cm="1">
        <f t="array" ref="U562">Határozat(D562)</f>
        <v/>
      </c>
      <c r="AC562" t="str">
        <f>IFERROR(INDEX(diakadat!$U$2:$U$50,MATCH(D562,diakadat!$J$2:$J$50),1),"")</f>
        <v/>
      </c>
      <c r="AD562" t="str">
        <f>IFERROR(INDEX(diakadat!$V$2:$V$50,MATCH(D562,diakadat!$J$2:$J$50),1),"")</f>
        <v/>
      </c>
      <c r="AE562" t="str">
        <f>IFERROR(INDEX(diakadat!$W$2:$W$50,MATCH(D562,diakadat!$J$2:$J$50),1),"")</f>
        <v/>
      </c>
      <c r="AI562" t="str">
        <f>IFERROR(INDEX(diakadat!$X$2:$X$50,MATCH(D562,diakadat!$J$2:$J$50),1),"")</f>
        <v/>
      </c>
      <c r="AK562">
        <f t="shared" si="8"/>
        <v>329</v>
      </c>
      <c r="AL562" t="str" cm="1">
        <f t="array" ref="AL562">ElsoBetuNagy(R562)</f>
        <v/>
      </c>
      <c r="AO562" t="str" cm="1">
        <f t="array" ref="AO562">DatumSzovegge5(AN562)</f>
        <v>1899.</v>
      </c>
      <c r="AP562" t="str" cm="1">
        <f t="array" ref="AP562">DatumSzovegge3(AN562)</f>
        <v>december</v>
      </c>
      <c r="AQ562" t="str" cm="1">
        <f t="array" ref="AQ562">DatumSzovegge4(AN562)</f>
        <v>30.</v>
      </c>
    </row>
    <row r="563" spans="4:43" x14ac:dyDescent="0.25">
      <c r="D563" t="str" cm="1">
        <f t="array" ref="D563">SzuressNev($B$1,ROW()-1)</f>
        <v/>
      </c>
      <c r="E563">
        <f>COUNTIF($D$2:D593,D563)</f>
        <v>572</v>
      </c>
      <c r="F563" t="str" cm="1">
        <f t="array" ref="F563">ElutasitasEgyOk2(D563,E563)</f>
        <v/>
      </c>
      <c r="G563" t="str">
        <f>IFERROR(INDEX(diakadat!$I$2:$I$50,MATCH(D563,diakadat!$J$2:$J$50,0),1),"")</f>
        <v/>
      </c>
      <c r="H563" t="str">
        <f>IFERROR(INDEX(diakadat!$O$2:$O$50,MATCH(D563,diakadat!$J$2:$J$50,0),1),"")</f>
        <v/>
      </c>
      <c r="I563" t="str">
        <f>IFERROR(INDEX(diakadat!#REF!,MATCH(D563,diakadat!$J$2:$J$50,0),1),"")</f>
        <v/>
      </c>
      <c r="J563" t="str">
        <f>IFERROR(INDEX(diakadat!$K$2:$K$50,MATCH(D563,diakadat!$J$2:$J$50,0),1),"")</f>
        <v/>
      </c>
      <c r="K563" t="str" cm="1">
        <f t="array" ref="K563">IFERROR(DatumSzovegge2(INDEX(diakadat!$L$2:$L$50,MATCH(D563,diakadat!$J$2:$J$50,0),1)),"")</f>
        <v/>
      </c>
      <c r="L563" t="str" cm="1">
        <f t="array" ref="L563">IFERROR(DatumSzovegge5(INDEX(diakadat!$L$2:$L$50,MATCH(D563,diakadat!$J$2:$J$50,0),1)),"")</f>
        <v/>
      </c>
      <c r="M563" t="str" cm="1">
        <f t="array" ref="M563">IFERROR(DatumSzovegge3(INDEX(diakadat!$L$2:$L$50,MATCH(D563,diakadat!$J$2:$J$50,0),1)),"")</f>
        <v/>
      </c>
      <c r="N563" t="str" cm="1">
        <f t="array" ref="N563">IFERROR(DatumSzovegge4(INDEX(diakadat!$L$2:$L$50,MATCH(D563,diakadat!$J$2:$J$50,0),1)),"")</f>
        <v/>
      </c>
      <c r="O563" t="str">
        <f>IFERROR(INDEX(diakadat!$R$2:$R$50,MATCH(D563,diakadat!$J$2:$J$50,0),1),"")</f>
        <v/>
      </c>
      <c r="P563" t="str">
        <f>IFERROR(INDEX(diakadat!$AI$2:$AI$50,MATCH(D563,diakadat!$J$2:$J$50,0),1),"")</f>
        <v/>
      </c>
      <c r="Q563" t="str">
        <f>IFERROR(INDEX('rangsor'!$C$2:$C$343,MATCH(D563,'rangsor'!$A$2:$A$343,0),1),"")</f>
        <v/>
      </c>
      <c r="T563" t="s">
        <v>831</v>
      </c>
      <c r="U563" t="str" cm="1">
        <f t="array" ref="U563">Határozat(D563)</f>
        <v/>
      </c>
      <c r="AC563" t="str">
        <f>IFERROR(INDEX(diakadat!$U$2:$U$50,MATCH(D563,diakadat!$J$2:$J$50),1),"")</f>
        <v/>
      </c>
      <c r="AD563" t="str">
        <f>IFERROR(INDEX(diakadat!$V$2:$V$50,MATCH(D563,diakadat!$J$2:$J$50),1),"")</f>
        <v/>
      </c>
      <c r="AE563" t="str">
        <f>IFERROR(INDEX(diakadat!$W$2:$W$50,MATCH(D563,diakadat!$J$2:$J$50),1),"")</f>
        <v/>
      </c>
      <c r="AI563" t="str">
        <f>IFERROR(INDEX(diakadat!$X$2:$X$50,MATCH(D563,diakadat!$J$2:$J$50),1),"")</f>
        <v/>
      </c>
      <c r="AK563">
        <f t="shared" si="8"/>
        <v>329</v>
      </c>
      <c r="AL563" t="str" cm="1">
        <f t="array" ref="AL563">ElsoBetuNagy(R563)</f>
        <v/>
      </c>
      <c r="AO563" t="str" cm="1">
        <f t="array" ref="AO563">DatumSzovegge5(AN563)</f>
        <v>1899.</v>
      </c>
      <c r="AP563" t="str" cm="1">
        <f t="array" ref="AP563">DatumSzovegge3(AN563)</f>
        <v>december</v>
      </c>
      <c r="AQ563" t="str" cm="1">
        <f t="array" ref="AQ563">DatumSzovegge4(AN563)</f>
        <v>30.</v>
      </c>
    </row>
    <row r="564" spans="4:43" x14ac:dyDescent="0.25">
      <c r="D564" t="str" cm="1">
        <f t="array" ref="D564">SzuressNev($B$1,ROW()-1)</f>
        <v/>
      </c>
      <c r="E564">
        <f>COUNTIF($D$2:D564,D564)</f>
        <v>543</v>
      </c>
      <c r="F564" t="str" cm="1">
        <f t="array" ref="F564">ElutasitasEgyOk2(D564,E564)</f>
        <v/>
      </c>
      <c r="G564" t="str">
        <f>IFERROR(INDEX(diakadat!$I$2:$I$50,MATCH(D564,diakadat!$J$2:$J$50,0),1),"")</f>
        <v/>
      </c>
      <c r="H564" t="str">
        <f>IFERROR(INDEX(diakadat!$O$2:$O$50,MATCH(D564,diakadat!$J$2:$J$50,0),1),"")</f>
        <v/>
      </c>
      <c r="I564" t="str">
        <f>IFERROR(INDEX(diakadat!#REF!,MATCH(D564,diakadat!$J$2:$J$50,0),1),"")</f>
        <v/>
      </c>
      <c r="J564" t="str">
        <f>IFERROR(INDEX(diakadat!$K$2:$K$50,MATCH(D564,diakadat!$J$2:$J$50,0),1),"")</f>
        <v/>
      </c>
      <c r="K564" t="str" cm="1">
        <f t="array" ref="K564">IFERROR(DatumSzovegge2(INDEX(diakadat!$L$2:$L$50,MATCH(D564,diakadat!$J$2:$J$50,0),1)),"")</f>
        <v/>
      </c>
      <c r="L564" t="str" cm="1">
        <f t="array" ref="L564">IFERROR(DatumSzovegge5(INDEX(diakadat!$L$2:$L$50,MATCH(D564,diakadat!$J$2:$J$50,0),1)),"")</f>
        <v/>
      </c>
      <c r="M564" t="str" cm="1">
        <f t="array" ref="M564">IFERROR(DatumSzovegge3(INDEX(diakadat!$L$2:$L$50,MATCH(D564,diakadat!$J$2:$J$50,0),1)),"")</f>
        <v/>
      </c>
      <c r="N564" t="str" cm="1">
        <f t="array" ref="N564">IFERROR(DatumSzovegge4(INDEX(diakadat!$L$2:$L$50,MATCH(D564,diakadat!$J$2:$J$50,0),1)),"")</f>
        <v/>
      </c>
      <c r="O564" t="str">
        <f>IFERROR(INDEX(diakadat!$R$2:$R$50,MATCH(D564,diakadat!$J$2:$J$50,0),1),"")</f>
        <v/>
      </c>
      <c r="P564" t="str">
        <f>IFERROR(INDEX(diakadat!$AI$2:$AI$50,MATCH(D564,diakadat!$J$2:$J$50,0),1),"")</f>
        <v/>
      </c>
      <c r="Q564" t="str">
        <f>IFERROR(INDEX('rangsor'!$C$2:$C$343,MATCH(D564,'rangsor'!$A$2:$A$343,0),1),"")</f>
        <v/>
      </c>
      <c r="T564" t="s">
        <v>831</v>
      </c>
      <c r="U564" t="str" cm="1">
        <f t="array" ref="U564">Határozat(D564)</f>
        <v/>
      </c>
      <c r="AC564" t="str">
        <f>IFERROR(INDEX(diakadat!$U$2:$U$50,MATCH(D564,diakadat!$J$2:$J$50),1),"")</f>
        <v/>
      </c>
      <c r="AD564" t="str">
        <f>IFERROR(INDEX(diakadat!$V$2:$V$50,MATCH(D564,diakadat!$J$2:$J$50),1),"")</f>
        <v/>
      </c>
      <c r="AE564" t="str">
        <f>IFERROR(INDEX(diakadat!$W$2:$W$50,MATCH(D564,diakadat!$J$2:$J$50),1),"")</f>
        <v/>
      </c>
      <c r="AI564" t="str">
        <f>IFERROR(INDEX(diakadat!$X$2:$X$50,MATCH(D564,diakadat!$J$2:$J$50),1),"")</f>
        <v/>
      </c>
      <c r="AK564">
        <f t="shared" si="8"/>
        <v>329</v>
      </c>
      <c r="AL564" t="str" cm="1">
        <f t="array" ref="AL564">ElsoBetuNagy(R564)</f>
        <v/>
      </c>
      <c r="AO564" t="str" cm="1">
        <f t="array" ref="AO564">DatumSzovegge5(AN564)</f>
        <v>1899.</v>
      </c>
      <c r="AP564" t="str" cm="1">
        <f t="array" ref="AP564">DatumSzovegge3(AN564)</f>
        <v>december</v>
      </c>
      <c r="AQ564" t="str" cm="1">
        <f t="array" ref="AQ564">DatumSzovegge4(AN564)</f>
        <v>30.</v>
      </c>
    </row>
    <row r="565" spans="4:43" x14ac:dyDescent="0.25">
      <c r="D565" t="str" cm="1">
        <f t="array" ref="D565">SzuressNev($B$1,ROW()-1)</f>
        <v/>
      </c>
      <c r="E565">
        <f>COUNTIF($D$2:D565,D565)</f>
        <v>544</v>
      </c>
      <c r="F565" t="str" cm="1">
        <f t="array" ref="F565">ElutasitasEgyOk2(D565,E565)</f>
        <v/>
      </c>
      <c r="G565" t="str">
        <f>IFERROR(INDEX(diakadat!$I$2:$I$50,MATCH(D565,diakadat!$J$2:$J$50,0),1),"")</f>
        <v/>
      </c>
      <c r="H565" t="str">
        <f>IFERROR(INDEX(diakadat!$O$2:$O$50,MATCH(D565,diakadat!$J$2:$J$50,0),1),"")</f>
        <v/>
      </c>
      <c r="I565" t="str">
        <f>IFERROR(INDEX(diakadat!#REF!,MATCH(D565,diakadat!$J$2:$J$50,0),1),"")</f>
        <v/>
      </c>
      <c r="J565" t="str">
        <f>IFERROR(INDEX(diakadat!$K$2:$K$50,MATCH(D565,diakadat!$J$2:$J$50,0),1),"")</f>
        <v/>
      </c>
      <c r="K565" t="str" cm="1">
        <f t="array" ref="K565">IFERROR(DatumSzovegge2(INDEX(diakadat!$L$2:$L$50,MATCH(D565,diakadat!$J$2:$J$50,0),1)),"")</f>
        <v/>
      </c>
      <c r="L565" t="str" cm="1">
        <f t="array" ref="L565">IFERROR(DatumSzovegge5(INDEX(diakadat!$L$2:$L$50,MATCH(D565,diakadat!$J$2:$J$50,0),1)),"")</f>
        <v/>
      </c>
      <c r="M565" t="str" cm="1">
        <f t="array" ref="M565">IFERROR(DatumSzovegge3(INDEX(diakadat!$L$2:$L$50,MATCH(D565,diakadat!$J$2:$J$50,0),1)),"")</f>
        <v/>
      </c>
      <c r="N565" t="str" cm="1">
        <f t="array" ref="N565">IFERROR(DatumSzovegge4(INDEX(diakadat!$L$2:$L$50,MATCH(D565,diakadat!$J$2:$J$50,0),1)),"")</f>
        <v/>
      </c>
      <c r="O565" t="str">
        <f>IFERROR(INDEX(diakadat!$R$2:$R$50,MATCH(D565,diakadat!$J$2:$J$50,0),1),"")</f>
        <v/>
      </c>
      <c r="P565" t="str">
        <f>IFERROR(INDEX(diakadat!$AI$2:$AI$50,MATCH(D565,diakadat!$J$2:$J$50,0),1),"")</f>
        <v/>
      </c>
      <c r="Q565" t="str">
        <f>IFERROR(INDEX('rangsor'!$C$2:$C$343,MATCH(D565,'rangsor'!$A$2:$A$343,0),1),"")</f>
        <v/>
      </c>
      <c r="T565" t="s">
        <v>831</v>
      </c>
      <c r="U565" t="str" cm="1">
        <f t="array" ref="U565">Határozat(D565)</f>
        <v/>
      </c>
      <c r="AC565" t="str">
        <f>IFERROR(INDEX(diakadat!$U$2:$U$50,MATCH(D565,diakadat!$J$2:$J$50),1),"")</f>
        <v/>
      </c>
      <c r="AD565" t="str">
        <f>IFERROR(INDEX(diakadat!$V$2:$V$50,MATCH(D565,diakadat!$J$2:$J$50),1),"")</f>
        <v/>
      </c>
      <c r="AE565" t="str">
        <f>IFERROR(INDEX(diakadat!$W$2:$W$50,MATCH(D565,diakadat!$J$2:$J$50),1),"")</f>
        <v/>
      </c>
      <c r="AI565" t="str">
        <f>IFERROR(INDEX(diakadat!$X$2:$X$50,MATCH(D565,diakadat!$J$2:$J$50),1),"")</f>
        <v/>
      </c>
      <c r="AK565">
        <f t="shared" si="8"/>
        <v>329</v>
      </c>
      <c r="AL565" t="str" cm="1">
        <f t="array" ref="AL565">ElsoBetuNagy(R565)</f>
        <v/>
      </c>
      <c r="AO565" t="str" cm="1">
        <f t="array" ref="AO565">DatumSzovegge5(AN565)</f>
        <v>1899.</v>
      </c>
      <c r="AP565" t="str" cm="1">
        <f t="array" ref="AP565">DatumSzovegge3(AN565)</f>
        <v>december</v>
      </c>
      <c r="AQ565" t="str" cm="1">
        <f t="array" ref="AQ565">DatumSzovegge4(AN565)</f>
        <v>30.</v>
      </c>
    </row>
    <row r="566" spans="4:43" x14ac:dyDescent="0.25">
      <c r="D566" t="str" cm="1">
        <f t="array" ref="D566">SzuressNev($B$1,ROW()-1)</f>
        <v/>
      </c>
      <c r="E566">
        <f>COUNTIF($D$2:D566,D566)</f>
        <v>545</v>
      </c>
      <c r="F566" t="str" cm="1">
        <f t="array" ref="F566">ElutasitasEgyOk2(D566,E566)</f>
        <v/>
      </c>
      <c r="G566" t="str">
        <f>IFERROR(INDEX(diakadat!$I$2:$I$50,MATCH(D566,diakadat!$J$2:$J$50,0),1),"")</f>
        <v/>
      </c>
      <c r="H566" t="str">
        <f>IFERROR(INDEX(diakadat!$O$2:$O$50,MATCH(D566,diakadat!$J$2:$J$50,0),1),"")</f>
        <v/>
      </c>
      <c r="I566" t="str">
        <f>IFERROR(INDEX(diakadat!#REF!,MATCH(D566,diakadat!$J$2:$J$50,0),1),"")</f>
        <v/>
      </c>
      <c r="J566" t="str">
        <f>IFERROR(INDEX(diakadat!$K$2:$K$50,MATCH(D566,diakadat!$J$2:$J$50,0),1),"")</f>
        <v/>
      </c>
      <c r="K566" t="str" cm="1">
        <f t="array" ref="K566">IFERROR(DatumSzovegge2(INDEX(diakadat!$L$2:$L$50,MATCH(D566,diakadat!$J$2:$J$50,0),1)),"")</f>
        <v/>
      </c>
      <c r="L566" t="str" cm="1">
        <f t="array" ref="L566">IFERROR(DatumSzovegge5(INDEX(diakadat!$L$2:$L$50,MATCH(D566,diakadat!$J$2:$J$50,0),1)),"")</f>
        <v/>
      </c>
      <c r="M566" t="str" cm="1">
        <f t="array" ref="M566">IFERROR(DatumSzovegge3(INDEX(diakadat!$L$2:$L$50,MATCH(D566,diakadat!$J$2:$J$50,0),1)),"")</f>
        <v/>
      </c>
      <c r="N566" t="str" cm="1">
        <f t="array" ref="N566">IFERROR(DatumSzovegge4(INDEX(diakadat!$L$2:$L$50,MATCH(D566,diakadat!$J$2:$J$50,0),1)),"")</f>
        <v/>
      </c>
      <c r="O566" t="str">
        <f>IFERROR(INDEX(diakadat!$R$2:$R$50,MATCH(D566,diakadat!$J$2:$J$50,0),1),"")</f>
        <v/>
      </c>
      <c r="P566" t="str">
        <f>IFERROR(INDEX(diakadat!$AI$2:$AI$50,MATCH(D566,diakadat!$J$2:$J$50,0),1),"")</f>
        <v/>
      </c>
      <c r="Q566" t="str">
        <f>IFERROR(INDEX('rangsor'!$C$2:$C$343,MATCH(D566,'rangsor'!$A$2:$A$343,0),1),"")</f>
        <v/>
      </c>
      <c r="T566" t="s">
        <v>831</v>
      </c>
      <c r="U566" t="str" cm="1">
        <f t="array" ref="U566">Határozat(D566)</f>
        <v/>
      </c>
      <c r="AC566" t="str">
        <f>IFERROR(INDEX(diakadat!$U$2:$U$50,MATCH(D566,diakadat!$J$2:$J$50),1),"")</f>
        <v/>
      </c>
      <c r="AD566" t="str">
        <f>IFERROR(INDEX(diakadat!$V$2:$V$50,MATCH(D566,diakadat!$J$2:$J$50),1),"")</f>
        <v/>
      </c>
      <c r="AE566" t="str">
        <f>IFERROR(INDEX(diakadat!$W$2:$W$50,MATCH(D566,diakadat!$J$2:$J$50),1),"")</f>
        <v/>
      </c>
      <c r="AI566" t="str">
        <f>IFERROR(INDEX(diakadat!$X$2:$X$50,MATCH(D566,diakadat!$J$2:$J$50),1),"")</f>
        <v/>
      </c>
      <c r="AK566">
        <f t="shared" si="8"/>
        <v>329</v>
      </c>
      <c r="AL566" t="str" cm="1">
        <f t="array" ref="AL566">ElsoBetuNagy(R566)</f>
        <v/>
      </c>
      <c r="AO566" t="str" cm="1">
        <f t="array" ref="AO566">DatumSzovegge5(AN566)</f>
        <v>1899.</v>
      </c>
      <c r="AP566" t="str" cm="1">
        <f t="array" ref="AP566">DatumSzovegge3(AN566)</f>
        <v>december</v>
      </c>
      <c r="AQ566" t="str" cm="1">
        <f t="array" ref="AQ566">DatumSzovegge4(AN566)</f>
        <v>30.</v>
      </c>
    </row>
    <row r="567" spans="4:43" x14ac:dyDescent="0.25">
      <c r="D567" t="str" cm="1">
        <f t="array" ref="D567">SzuressNev($B$1,ROW()-1)</f>
        <v/>
      </c>
      <c r="E567">
        <f>COUNTIF($D$2:D567,D567)</f>
        <v>546</v>
      </c>
      <c r="F567" t="str" cm="1">
        <f t="array" ref="F567">ElutasitasEgyOk2(D567,E567)</f>
        <v/>
      </c>
      <c r="G567" t="str">
        <f>IFERROR(INDEX(diakadat!$I$2:$I$50,MATCH(D567,diakadat!$J$2:$J$50,0),1),"")</f>
        <v/>
      </c>
      <c r="H567" t="str">
        <f>IFERROR(INDEX(diakadat!$O$2:$O$50,MATCH(D567,diakadat!$J$2:$J$50,0),1),"")</f>
        <v/>
      </c>
      <c r="I567" t="str">
        <f>IFERROR(INDEX(diakadat!#REF!,MATCH(D567,diakadat!$J$2:$J$50,0),1),"")</f>
        <v/>
      </c>
      <c r="J567" t="str">
        <f>IFERROR(INDEX(diakadat!$K$2:$K$50,MATCH(D567,diakadat!$J$2:$J$50,0),1),"")</f>
        <v/>
      </c>
      <c r="K567" t="str" cm="1">
        <f t="array" ref="K567">IFERROR(DatumSzovegge2(INDEX(diakadat!$L$2:$L$50,MATCH(D567,diakadat!$J$2:$J$50,0),1)),"")</f>
        <v/>
      </c>
      <c r="L567" t="str" cm="1">
        <f t="array" ref="L567">IFERROR(DatumSzovegge5(INDEX(diakadat!$L$2:$L$50,MATCH(D567,diakadat!$J$2:$J$50,0),1)),"")</f>
        <v/>
      </c>
      <c r="M567" t="str" cm="1">
        <f t="array" ref="M567">IFERROR(DatumSzovegge3(INDEX(diakadat!$L$2:$L$50,MATCH(D567,diakadat!$J$2:$J$50,0),1)),"")</f>
        <v/>
      </c>
      <c r="N567" t="str" cm="1">
        <f t="array" ref="N567">IFERROR(DatumSzovegge4(INDEX(diakadat!$L$2:$L$50,MATCH(D567,diakadat!$J$2:$J$50,0),1)),"")</f>
        <v/>
      </c>
      <c r="O567" t="str">
        <f>IFERROR(INDEX(diakadat!$R$2:$R$50,MATCH(D567,diakadat!$J$2:$J$50,0),1),"")</f>
        <v/>
      </c>
      <c r="P567" t="str">
        <f>IFERROR(INDEX(diakadat!$AI$2:$AI$50,MATCH(D567,diakadat!$J$2:$J$50,0),1),"")</f>
        <v/>
      </c>
      <c r="Q567" t="str">
        <f>IFERROR(INDEX('rangsor'!$C$2:$C$343,MATCH(D567,'rangsor'!$A$2:$A$343,0),1),"")</f>
        <v/>
      </c>
      <c r="T567" t="s">
        <v>831</v>
      </c>
      <c r="U567" t="str" cm="1">
        <f t="array" ref="U567">Határozat(D567)</f>
        <v/>
      </c>
      <c r="AC567" t="str">
        <f>IFERROR(INDEX(diakadat!$U$2:$U$50,MATCH(D567,diakadat!$J$2:$J$50),1),"")</f>
        <v/>
      </c>
      <c r="AD567" t="str">
        <f>IFERROR(INDEX(diakadat!$V$2:$V$50,MATCH(D567,diakadat!$J$2:$J$50),1),"")</f>
        <v/>
      </c>
      <c r="AE567" t="str">
        <f>IFERROR(INDEX(diakadat!$W$2:$W$50,MATCH(D567,diakadat!$J$2:$J$50),1),"")</f>
        <v/>
      </c>
      <c r="AI567" t="str">
        <f>IFERROR(INDEX(diakadat!$X$2:$X$50,MATCH(D567,diakadat!$J$2:$J$50),1),"")</f>
        <v/>
      </c>
      <c r="AK567">
        <f t="shared" si="8"/>
        <v>329</v>
      </c>
      <c r="AL567" t="str" cm="1">
        <f t="array" ref="AL567">ElsoBetuNagy(R567)</f>
        <v/>
      </c>
      <c r="AO567" t="str" cm="1">
        <f t="array" ref="AO567">DatumSzovegge5(AN567)</f>
        <v>1899.</v>
      </c>
      <c r="AP567" t="str" cm="1">
        <f t="array" ref="AP567">DatumSzovegge3(AN567)</f>
        <v>december</v>
      </c>
      <c r="AQ567" t="str" cm="1">
        <f t="array" ref="AQ567">DatumSzovegge4(AN567)</f>
        <v>30.</v>
      </c>
    </row>
    <row r="568" spans="4:43" x14ac:dyDescent="0.25">
      <c r="D568" t="str" cm="1">
        <f t="array" ref="D568">SzuressNev($B$1,ROW()-1)</f>
        <v/>
      </c>
      <c r="E568">
        <f>COUNTIF($D$2:D568,D568)</f>
        <v>547</v>
      </c>
      <c r="F568" t="str" cm="1">
        <f t="array" ref="F568">ElutasitasEgyOk2(D568,E568)</f>
        <v/>
      </c>
      <c r="G568" t="str">
        <f>IFERROR(INDEX(diakadat!$I$2:$I$50,MATCH(D568,diakadat!$J$2:$J$50,0),1),"")</f>
        <v/>
      </c>
      <c r="H568" t="str">
        <f>IFERROR(INDEX(diakadat!$O$2:$O$50,MATCH(D568,diakadat!$J$2:$J$50,0),1),"")</f>
        <v/>
      </c>
      <c r="I568" t="str">
        <f>IFERROR(INDEX(diakadat!#REF!,MATCH(D568,diakadat!$J$2:$J$50,0),1),"")</f>
        <v/>
      </c>
      <c r="J568" t="str">
        <f>IFERROR(INDEX(diakadat!$K$2:$K$50,MATCH(D568,diakadat!$J$2:$J$50,0),1),"")</f>
        <v/>
      </c>
      <c r="K568" t="str" cm="1">
        <f t="array" ref="K568">IFERROR(DatumSzovegge2(INDEX(diakadat!$L$2:$L$50,MATCH(D568,diakadat!$J$2:$J$50,0),1)),"")</f>
        <v/>
      </c>
      <c r="L568" t="str" cm="1">
        <f t="array" ref="L568">IFERROR(DatumSzovegge5(INDEX(diakadat!$L$2:$L$50,MATCH(D568,diakadat!$J$2:$J$50,0),1)),"")</f>
        <v/>
      </c>
      <c r="M568" t="str" cm="1">
        <f t="array" ref="M568">IFERROR(DatumSzovegge3(INDEX(diakadat!$L$2:$L$50,MATCH(D568,diakadat!$J$2:$J$50,0),1)),"")</f>
        <v/>
      </c>
      <c r="N568" t="str" cm="1">
        <f t="array" ref="N568">IFERROR(DatumSzovegge4(INDEX(diakadat!$L$2:$L$50,MATCH(D568,diakadat!$J$2:$J$50,0),1)),"")</f>
        <v/>
      </c>
      <c r="O568" t="str">
        <f>IFERROR(INDEX(diakadat!$R$2:$R$50,MATCH(D568,diakadat!$J$2:$J$50,0),1),"")</f>
        <v/>
      </c>
      <c r="P568" t="str">
        <f>IFERROR(INDEX(diakadat!$AI$2:$AI$50,MATCH(D568,diakadat!$J$2:$J$50,0),1),"")</f>
        <v/>
      </c>
      <c r="Q568" t="str">
        <f>IFERROR(INDEX('rangsor'!$C$2:$C$343,MATCH(D568,'rangsor'!$A$2:$A$343,0),1),"")</f>
        <v/>
      </c>
      <c r="T568" t="s">
        <v>831</v>
      </c>
      <c r="U568" t="str" cm="1">
        <f t="array" ref="U568">Határozat(D568)</f>
        <v/>
      </c>
      <c r="AC568" t="str">
        <f>IFERROR(INDEX(diakadat!$U$2:$U$50,MATCH(D568,diakadat!$J$2:$J$50),1),"")</f>
        <v/>
      </c>
      <c r="AD568" t="str">
        <f>IFERROR(INDEX(diakadat!$V$2:$V$50,MATCH(D568,diakadat!$J$2:$J$50),1),"")</f>
        <v/>
      </c>
      <c r="AE568" t="str">
        <f>IFERROR(INDEX(diakadat!$W$2:$W$50,MATCH(D568,diakadat!$J$2:$J$50),1),"")</f>
        <v/>
      </c>
      <c r="AI568" t="str">
        <f>IFERROR(INDEX(diakadat!$X$2:$X$50,MATCH(D568,diakadat!$J$2:$J$50),1),"")</f>
        <v/>
      </c>
      <c r="AK568">
        <f t="shared" si="8"/>
        <v>329</v>
      </c>
      <c r="AL568" t="str" cm="1">
        <f t="array" ref="AL568">ElsoBetuNagy(R568)</f>
        <v/>
      </c>
      <c r="AO568" t="str" cm="1">
        <f t="array" ref="AO568">DatumSzovegge5(AN568)</f>
        <v>1899.</v>
      </c>
      <c r="AP568" t="str" cm="1">
        <f t="array" ref="AP568">DatumSzovegge3(AN568)</f>
        <v>december</v>
      </c>
      <c r="AQ568" t="str" cm="1">
        <f t="array" ref="AQ568">DatumSzovegge4(AN568)</f>
        <v>30.</v>
      </c>
    </row>
    <row r="569" spans="4:43" x14ac:dyDescent="0.25">
      <c r="D569" t="str" cm="1">
        <f t="array" ref="D569">SzuressNev($B$1,ROW()-1)</f>
        <v/>
      </c>
      <c r="E569">
        <f>COUNTIF($D$2:D569,D569)</f>
        <v>548</v>
      </c>
      <c r="F569" t="str" cm="1">
        <f t="array" ref="F569">ElutasitasEgyOk2(D569,E569)</f>
        <v/>
      </c>
      <c r="G569" t="str">
        <f>IFERROR(INDEX(diakadat!$I$2:$I$50,MATCH(D569,diakadat!$J$2:$J$50,0),1),"")</f>
        <v/>
      </c>
      <c r="H569" t="str">
        <f>IFERROR(INDEX(diakadat!$O$2:$O$50,MATCH(D569,diakadat!$J$2:$J$50,0),1),"")</f>
        <v/>
      </c>
      <c r="I569" t="str">
        <f>IFERROR(INDEX(diakadat!#REF!,MATCH(D569,diakadat!$J$2:$J$50,0),1),"")</f>
        <v/>
      </c>
      <c r="J569" t="str">
        <f>IFERROR(INDEX(diakadat!$K$2:$K$50,MATCH(D569,diakadat!$J$2:$J$50,0),1),"")</f>
        <v/>
      </c>
      <c r="K569" t="str" cm="1">
        <f t="array" ref="K569">IFERROR(DatumSzovegge2(INDEX(diakadat!$L$2:$L$50,MATCH(D569,diakadat!$J$2:$J$50,0),1)),"")</f>
        <v/>
      </c>
      <c r="L569" t="str" cm="1">
        <f t="array" ref="L569">IFERROR(DatumSzovegge5(INDEX(diakadat!$L$2:$L$50,MATCH(D569,diakadat!$J$2:$J$50,0),1)),"")</f>
        <v/>
      </c>
      <c r="M569" t="str" cm="1">
        <f t="array" ref="M569">IFERROR(DatumSzovegge3(INDEX(diakadat!$L$2:$L$50,MATCH(D569,diakadat!$J$2:$J$50,0),1)),"")</f>
        <v/>
      </c>
      <c r="N569" t="str" cm="1">
        <f t="array" ref="N569">IFERROR(DatumSzovegge4(INDEX(diakadat!$L$2:$L$50,MATCH(D569,diakadat!$J$2:$J$50,0),1)),"")</f>
        <v/>
      </c>
      <c r="O569" t="str">
        <f>IFERROR(INDEX(diakadat!$R$2:$R$50,MATCH(D569,diakadat!$J$2:$J$50,0),1),"")</f>
        <v/>
      </c>
      <c r="P569" t="str">
        <f>IFERROR(INDEX(diakadat!$AI$2:$AI$50,MATCH(D569,diakadat!$J$2:$J$50,0),1),"")</f>
        <v/>
      </c>
      <c r="Q569" t="str">
        <f>IFERROR(INDEX('rangsor'!$C$2:$C$343,MATCH(D569,'rangsor'!$A$2:$A$343,0),1),"")</f>
        <v/>
      </c>
      <c r="T569" t="s">
        <v>831</v>
      </c>
      <c r="U569" t="str" cm="1">
        <f t="array" ref="U569">Határozat(D569)</f>
        <v/>
      </c>
      <c r="AC569" t="str">
        <f>IFERROR(INDEX(diakadat!$U$2:$U$50,MATCH(D569,diakadat!$J$2:$J$50),1),"")</f>
        <v/>
      </c>
      <c r="AD569" t="str">
        <f>IFERROR(INDEX(diakadat!$V$2:$V$50,MATCH(D569,diakadat!$J$2:$J$50),1),"")</f>
        <v/>
      </c>
      <c r="AE569" t="str">
        <f>IFERROR(INDEX(diakadat!$W$2:$W$50,MATCH(D569,diakadat!$J$2:$J$50),1),"")</f>
        <v/>
      </c>
      <c r="AI569" t="str">
        <f>IFERROR(INDEX(diakadat!$X$2:$X$50,MATCH(D569,diakadat!$J$2:$J$50),1),"")</f>
        <v/>
      </c>
      <c r="AK569">
        <f t="shared" si="8"/>
        <v>329</v>
      </c>
      <c r="AL569" t="str" cm="1">
        <f t="array" ref="AL569">ElsoBetuNagy(R569)</f>
        <v/>
      </c>
      <c r="AO569" t="str" cm="1">
        <f t="array" ref="AO569">DatumSzovegge5(AN569)</f>
        <v>1899.</v>
      </c>
      <c r="AP569" t="str" cm="1">
        <f t="array" ref="AP569">DatumSzovegge3(AN569)</f>
        <v>december</v>
      </c>
      <c r="AQ569" t="str" cm="1">
        <f t="array" ref="AQ569">DatumSzovegge4(AN569)</f>
        <v>30.</v>
      </c>
    </row>
    <row r="570" spans="4:43" x14ac:dyDescent="0.25">
      <c r="D570" t="str" cm="1">
        <f t="array" ref="D570">SzuressNev($B$1,ROW()-1)</f>
        <v/>
      </c>
      <c r="E570">
        <f>COUNTIF($D$2:D570,D570)</f>
        <v>549</v>
      </c>
      <c r="F570" t="str" cm="1">
        <f t="array" ref="F570">ElutasitasEgyOk2(D570,E570)</f>
        <v/>
      </c>
      <c r="G570" t="str">
        <f>IFERROR(INDEX(diakadat!$I$2:$I$50,MATCH(D570,diakadat!$J$2:$J$50,0),1),"")</f>
        <v/>
      </c>
      <c r="H570" t="str">
        <f>IFERROR(INDEX(diakadat!$O$2:$O$50,MATCH(D570,diakadat!$J$2:$J$50,0),1),"")</f>
        <v/>
      </c>
      <c r="I570" t="str">
        <f>IFERROR(INDEX(diakadat!#REF!,MATCH(D570,diakadat!$J$2:$J$50,0),1),"")</f>
        <v/>
      </c>
      <c r="J570" t="str">
        <f>IFERROR(INDEX(diakadat!$K$2:$K$50,MATCH(D570,diakadat!$J$2:$J$50,0),1),"")</f>
        <v/>
      </c>
      <c r="K570" t="str" cm="1">
        <f t="array" ref="K570">IFERROR(DatumSzovegge2(INDEX(diakadat!$L$2:$L$50,MATCH(D570,diakadat!$J$2:$J$50,0),1)),"")</f>
        <v/>
      </c>
      <c r="L570" t="str" cm="1">
        <f t="array" ref="L570">IFERROR(DatumSzovegge5(INDEX(diakadat!$L$2:$L$50,MATCH(D570,diakadat!$J$2:$J$50,0),1)),"")</f>
        <v/>
      </c>
      <c r="M570" t="str" cm="1">
        <f t="array" ref="M570">IFERROR(DatumSzovegge3(INDEX(diakadat!$L$2:$L$50,MATCH(D570,diakadat!$J$2:$J$50,0),1)),"")</f>
        <v/>
      </c>
      <c r="N570" t="str" cm="1">
        <f t="array" ref="N570">IFERROR(DatumSzovegge4(INDEX(diakadat!$L$2:$L$50,MATCH(D570,diakadat!$J$2:$J$50,0),1)),"")</f>
        <v/>
      </c>
      <c r="O570" t="str">
        <f>IFERROR(INDEX(diakadat!$R$2:$R$50,MATCH(D570,diakadat!$J$2:$J$50,0),1),"")</f>
        <v/>
      </c>
      <c r="P570" t="str">
        <f>IFERROR(INDEX(diakadat!$AI$2:$AI$50,MATCH(D570,diakadat!$J$2:$J$50,0),1),"")</f>
        <v/>
      </c>
      <c r="Q570" t="str">
        <f>IFERROR(INDEX('rangsor'!$C$2:$C$343,MATCH(D570,'rangsor'!$A$2:$A$343,0),1),"")</f>
        <v/>
      </c>
      <c r="T570" t="s">
        <v>831</v>
      </c>
      <c r="U570" t="str" cm="1">
        <f t="array" ref="U570">Határozat(D570)</f>
        <v/>
      </c>
      <c r="AC570" t="str">
        <f>IFERROR(INDEX(diakadat!$U$2:$U$50,MATCH(D570,diakadat!$J$2:$J$50),1),"")</f>
        <v/>
      </c>
      <c r="AD570" t="str">
        <f>IFERROR(INDEX(diakadat!$V$2:$V$50,MATCH(D570,diakadat!$J$2:$J$50),1),"")</f>
        <v/>
      </c>
      <c r="AE570" t="str">
        <f>IFERROR(INDEX(diakadat!$W$2:$W$50,MATCH(D570,diakadat!$J$2:$J$50),1),"")</f>
        <v/>
      </c>
      <c r="AI570" t="str">
        <f>IFERROR(INDEX(diakadat!$X$2:$X$50,MATCH(D570,diakadat!$J$2:$J$50),1),"")</f>
        <v/>
      </c>
      <c r="AK570">
        <f t="shared" si="8"/>
        <v>329</v>
      </c>
      <c r="AL570" t="str" cm="1">
        <f t="array" ref="AL570">ElsoBetuNagy(R570)</f>
        <v/>
      </c>
      <c r="AO570" t="str" cm="1">
        <f t="array" ref="AO570">DatumSzovegge5(AN570)</f>
        <v>1899.</v>
      </c>
      <c r="AP570" t="str" cm="1">
        <f t="array" ref="AP570">DatumSzovegge3(AN570)</f>
        <v>december</v>
      </c>
      <c r="AQ570" t="str" cm="1">
        <f t="array" ref="AQ570">DatumSzovegge4(AN570)</f>
        <v>30.</v>
      </c>
    </row>
    <row r="571" spans="4:43" x14ac:dyDescent="0.25">
      <c r="D571" t="str" cm="1">
        <f t="array" ref="D571">SzuressNev($B$1,ROW()-1)</f>
        <v/>
      </c>
      <c r="E571">
        <f>COUNTIF($D$2:D571,D571)</f>
        <v>550</v>
      </c>
      <c r="F571" t="str" cm="1">
        <f t="array" ref="F571">ElutasitasEgyOk2(D571,E571)</f>
        <v/>
      </c>
      <c r="G571" t="str">
        <f>IFERROR(INDEX(diakadat!$I$2:$I$50,MATCH(D571,diakadat!$J$2:$J$50,0),1),"")</f>
        <v/>
      </c>
      <c r="H571" t="str">
        <f>IFERROR(INDEX(diakadat!$O$2:$O$50,MATCH(D571,diakadat!$J$2:$J$50,0),1),"")</f>
        <v/>
      </c>
      <c r="I571" t="str">
        <f>IFERROR(INDEX(diakadat!#REF!,MATCH(D571,diakadat!$J$2:$J$50,0),1),"")</f>
        <v/>
      </c>
      <c r="J571" t="str">
        <f>IFERROR(INDEX(diakadat!$K$2:$K$50,MATCH(D571,diakadat!$J$2:$J$50,0),1),"")</f>
        <v/>
      </c>
      <c r="K571" t="str" cm="1">
        <f t="array" ref="K571">IFERROR(DatumSzovegge2(INDEX(diakadat!$L$2:$L$50,MATCH(D571,diakadat!$J$2:$J$50,0),1)),"")</f>
        <v/>
      </c>
      <c r="L571" t="str" cm="1">
        <f t="array" ref="L571">IFERROR(DatumSzovegge5(INDEX(diakadat!$L$2:$L$50,MATCH(D571,diakadat!$J$2:$J$50,0),1)),"")</f>
        <v/>
      </c>
      <c r="M571" t="str" cm="1">
        <f t="array" ref="M571">IFERROR(DatumSzovegge3(INDEX(diakadat!$L$2:$L$50,MATCH(D571,diakadat!$J$2:$J$50,0),1)),"")</f>
        <v/>
      </c>
      <c r="N571" t="str" cm="1">
        <f t="array" ref="N571">IFERROR(DatumSzovegge4(INDEX(diakadat!$L$2:$L$50,MATCH(D571,diakadat!$J$2:$J$50,0),1)),"")</f>
        <v/>
      </c>
      <c r="O571" t="str">
        <f>IFERROR(INDEX(diakadat!$R$2:$R$50,MATCH(D571,diakadat!$J$2:$J$50,0),1),"")</f>
        <v/>
      </c>
      <c r="P571" t="str">
        <f>IFERROR(INDEX(diakadat!$AI$2:$AI$50,MATCH(D571,diakadat!$J$2:$J$50,0),1),"")</f>
        <v/>
      </c>
      <c r="Q571" t="str">
        <f>IFERROR(INDEX('rangsor'!$C$2:$C$343,MATCH(D571,'rangsor'!$A$2:$A$343,0),1),"")</f>
        <v/>
      </c>
      <c r="T571" t="s">
        <v>831</v>
      </c>
      <c r="U571" t="str" cm="1">
        <f t="array" ref="U571">Határozat(D571)</f>
        <v/>
      </c>
      <c r="AC571" t="str">
        <f>IFERROR(INDEX(diakadat!$U$2:$U$50,MATCH(D571,diakadat!$J$2:$J$50),1),"")</f>
        <v/>
      </c>
      <c r="AD571" t="str">
        <f>IFERROR(INDEX(diakadat!$V$2:$V$50,MATCH(D571,diakadat!$J$2:$J$50),1),"")</f>
        <v/>
      </c>
      <c r="AE571" t="str">
        <f>IFERROR(INDEX(diakadat!$W$2:$W$50,MATCH(D571,diakadat!$J$2:$J$50),1),"")</f>
        <v/>
      </c>
      <c r="AI571" t="str">
        <f>IFERROR(INDEX(diakadat!$X$2:$X$50,MATCH(D571,diakadat!$J$2:$J$50),1),"")</f>
        <v/>
      </c>
      <c r="AK571">
        <f t="shared" si="8"/>
        <v>329</v>
      </c>
      <c r="AL571" t="str" cm="1">
        <f t="array" ref="AL571">ElsoBetuNagy(R571)</f>
        <v/>
      </c>
      <c r="AO571" t="str" cm="1">
        <f t="array" ref="AO571">DatumSzovegge5(AN571)</f>
        <v>1899.</v>
      </c>
      <c r="AP571" t="str" cm="1">
        <f t="array" ref="AP571">DatumSzovegge3(AN571)</f>
        <v>december</v>
      </c>
      <c r="AQ571" t="str" cm="1">
        <f t="array" ref="AQ571">DatumSzovegge4(AN571)</f>
        <v>30.</v>
      </c>
    </row>
    <row r="572" spans="4:43" x14ac:dyDescent="0.25">
      <c r="D572" t="str" cm="1">
        <f t="array" ref="D572">SzuressNev($B$1,ROW()-1)</f>
        <v/>
      </c>
      <c r="E572">
        <f>COUNTIF($D$2:D572,D572)</f>
        <v>551</v>
      </c>
      <c r="F572" t="str" cm="1">
        <f t="array" ref="F572">ElutasitasEgyOk2(D572,E572)</f>
        <v/>
      </c>
      <c r="G572" t="str">
        <f>IFERROR(INDEX(diakadat!$I$2:$I$50,MATCH(D572,diakadat!$J$2:$J$50,0),1),"")</f>
        <v/>
      </c>
      <c r="H572" t="str">
        <f>IFERROR(INDEX(diakadat!$O$2:$O$50,MATCH(D572,diakadat!$J$2:$J$50,0),1),"")</f>
        <v/>
      </c>
      <c r="I572" t="str">
        <f>IFERROR(INDEX(diakadat!#REF!,MATCH(D572,diakadat!$J$2:$J$50,0),1),"")</f>
        <v/>
      </c>
      <c r="J572" t="str">
        <f>IFERROR(INDEX(diakadat!$K$2:$K$50,MATCH(D572,diakadat!$J$2:$J$50,0),1),"")</f>
        <v/>
      </c>
      <c r="K572" t="str" cm="1">
        <f t="array" ref="K572">IFERROR(DatumSzovegge2(INDEX(diakadat!$L$2:$L$50,MATCH(D572,diakadat!$J$2:$J$50,0),1)),"")</f>
        <v/>
      </c>
      <c r="L572" t="str" cm="1">
        <f t="array" ref="L572">IFERROR(DatumSzovegge5(INDEX(diakadat!$L$2:$L$50,MATCH(D572,diakadat!$J$2:$J$50,0),1)),"")</f>
        <v/>
      </c>
      <c r="M572" t="str" cm="1">
        <f t="array" ref="M572">IFERROR(DatumSzovegge3(INDEX(diakadat!$L$2:$L$50,MATCH(D572,diakadat!$J$2:$J$50,0),1)),"")</f>
        <v/>
      </c>
      <c r="N572" t="str" cm="1">
        <f t="array" ref="N572">IFERROR(DatumSzovegge4(INDEX(diakadat!$L$2:$L$50,MATCH(D572,diakadat!$J$2:$J$50,0),1)),"")</f>
        <v/>
      </c>
      <c r="O572" t="str">
        <f>IFERROR(INDEX(diakadat!$R$2:$R$50,MATCH(D572,diakadat!$J$2:$J$50,0),1),"")</f>
        <v/>
      </c>
      <c r="P572" t="str">
        <f>IFERROR(INDEX(diakadat!$AI$2:$AI$50,MATCH(D572,diakadat!$J$2:$J$50,0),1),"")</f>
        <v/>
      </c>
      <c r="Q572" t="str">
        <f>IFERROR(INDEX('rangsor'!$C$2:$C$343,MATCH(D572,'rangsor'!$A$2:$A$343,0),1),"")</f>
        <v/>
      </c>
      <c r="T572" t="s">
        <v>831</v>
      </c>
      <c r="U572" t="str" cm="1">
        <f t="array" ref="U572">Határozat(D572)</f>
        <v/>
      </c>
      <c r="AC572" t="str">
        <f>IFERROR(INDEX(diakadat!$U$2:$U$50,MATCH(D572,diakadat!$J$2:$J$50),1),"")</f>
        <v/>
      </c>
      <c r="AD572" t="str">
        <f>IFERROR(INDEX(diakadat!$V$2:$V$50,MATCH(D572,diakadat!$J$2:$J$50),1),"")</f>
        <v/>
      </c>
      <c r="AE572" t="str">
        <f>IFERROR(INDEX(diakadat!$W$2:$W$50,MATCH(D572,diakadat!$J$2:$J$50),1),"")</f>
        <v/>
      </c>
      <c r="AI572" t="str">
        <f>IFERROR(INDEX(diakadat!$X$2:$X$50,MATCH(D572,diakadat!$J$2:$J$50),1),"")</f>
        <v/>
      </c>
      <c r="AK572">
        <f t="shared" si="8"/>
        <v>329</v>
      </c>
      <c r="AL572" t="str" cm="1">
        <f t="array" ref="AL572">ElsoBetuNagy(R572)</f>
        <v/>
      </c>
      <c r="AO572" t="str" cm="1">
        <f t="array" ref="AO572">DatumSzovegge5(AN572)</f>
        <v>1899.</v>
      </c>
      <c r="AP572" t="str" cm="1">
        <f t="array" ref="AP572">DatumSzovegge3(AN572)</f>
        <v>december</v>
      </c>
      <c r="AQ572" t="str" cm="1">
        <f t="array" ref="AQ572">DatumSzovegge4(AN572)</f>
        <v>30.</v>
      </c>
    </row>
    <row r="573" spans="4:43" x14ac:dyDescent="0.25">
      <c r="D573" t="str" cm="1">
        <f t="array" ref="D573">SzuressNev($B$1,ROW()-1)</f>
        <v/>
      </c>
      <c r="E573">
        <f>COUNTIF($D$2:D573,D573)</f>
        <v>552</v>
      </c>
      <c r="F573" t="str" cm="1">
        <f t="array" ref="F573">ElutasitasEgyOk2(D573,E573)</f>
        <v/>
      </c>
      <c r="G573" t="str">
        <f>IFERROR(INDEX(diakadat!$I$2:$I$50,MATCH(D573,diakadat!$J$2:$J$50,0),1),"")</f>
        <v/>
      </c>
      <c r="H573" t="str">
        <f>IFERROR(INDEX(diakadat!$O$2:$O$50,MATCH(D573,diakadat!$J$2:$J$50,0),1),"")</f>
        <v/>
      </c>
      <c r="I573" t="str">
        <f>IFERROR(INDEX(diakadat!#REF!,MATCH(D573,diakadat!$J$2:$J$50,0),1),"")</f>
        <v/>
      </c>
      <c r="J573" t="str">
        <f>IFERROR(INDEX(diakadat!$K$2:$K$50,MATCH(D573,diakadat!$J$2:$J$50,0),1),"")</f>
        <v/>
      </c>
      <c r="K573" t="str" cm="1">
        <f t="array" ref="K573">IFERROR(DatumSzovegge2(INDEX(diakadat!$L$2:$L$50,MATCH(D573,diakadat!$J$2:$J$50,0),1)),"")</f>
        <v/>
      </c>
      <c r="L573" t="str" cm="1">
        <f t="array" ref="L573">IFERROR(DatumSzovegge5(INDEX(diakadat!$L$2:$L$50,MATCH(D573,diakadat!$J$2:$J$50,0),1)),"")</f>
        <v/>
      </c>
      <c r="M573" t="str" cm="1">
        <f t="array" ref="M573">IFERROR(DatumSzovegge3(INDEX(diakadat!$L$2:$L$50,MATCH(D573,diakadat!$J$2:$J$50,0),1)),"")</f>
        <v/>
      </c>
      <c r="N573" t="str" cm="1">
        <f t="array" ref="N573">IFERROR(DatumSzovegge4(INDEX(diakadat!$L$2:$L$50,MATCH(D573,diakadat!$J$2:$J$50,0),1)),"")</f>
        <v/>
      </c>
      <c r="O573" t="str">
        <f>IFERROR(INDEX(diakadat!$R$2:$R$50,MATCH(D573,diakadat!$J$2:$J$50,0),1),"")</f>
        <v/>
      </c>
      <c r="P573" t="str">
        <f>IFERROR(INDEX(diakadat!$AI$2:$AI$50,MATCH(D573,diakadat!$J$2:$J$50,0),1),"")</f>
        <v/>
      </c>
      <c r="Q573" t="str">
        <f>IFERROR(INDEX('rangsor'!$C$2:$C$343,MATCH(D573,'rangsor'!$A$2:$A$343,0),1),"")</f>
        <v/>
      </c>
      <c r="T573" t="s">
        <v>831</v>
      </c>
      <c r="U573" t="str" cm="1">
        <f t="array" ref="U573">Határozat(D573)</f>
        <v/>
      </c>
      <c r="AC573" t="str">
        <f>IFERROR(INDEX(diakadat!$U$2:$U$50,MATCH(D573,diakadat!$J$2:$J$50),1),"")</f>
        <v/>
      </c>
      <c r="AD573" t="str">
        <f>IFERROR(INDEX(diakadat!$V$2:$V$50,MATCH(D573,diakadat!$J$2:$J$50),1),"")</f>
        <v/>
      </c>
      <c r="AE573" t="str">
        <f>IFERROR(INDEX(diakadat!$W$2:$W$50,MATCH(D573,diakadat!$J$2:$J$50),1),"")</f>
        <v/>
      </c>
      <c r="AI573" t="str">
        <f>IFERROR(INDEX(diakadat!$X$2:$X$50,MATCH(D573,diakadat!$J$2:$J$50),1),"")</f>
        <v/>
      </c>
      <c r="AK573">
        <f t="shared" si="8"/>
        <v>329</v>
      </c>
      <c r="AL573" t="str" cm="1">
        <f t="array" ref="AL573">ElsoBetuNagy(R573)</f>
        <v/>
      </c>
      <c r="AO573" t="str" cm="1">
        <f t="array" ref="AO573">DatumSzovegge5(AN573)</f>
        <v>1899.</v>
      </c>
      <c r="AP573" t="str" cm="1">
        <f t="array" ref="AP573">DatumSzovegge3(AN573)</f>
        <v>december</v>
      </c>
      <c r="AQ573" t="str" cm="1">
        <f t="array" ref="AQ573">DatumSzovegge4(AN573)</f>
        <v>30.</v>
      </c>
    </row>
    <row r="574" spans="4:43" x14ac:dyDescent="0.25">
      <c r="D574" t="str" cm="1">
        <f t="array" ref="D574">SzuressNev($B$1,ROW()-1)</f>
        <v/>
      </c>
      <c r="E574">
        <f>COUNTIF($D$2:D574,D574)</f>
        <v>553</v>
      </c>
      <c r="F574" t="str" cm="1">
        <f t="array" ref="F574">ElutasitasEgyOk2(D574,E574)</f>
        <v/>
      </c>
      <c r="G574" t="str">
        <f>IFERROR(INDEX(diakadat!$I$2:$I$50,MATCH(D574,diakadat!$J$2:$J$50,0),1),"")</f>
        <v/>
      </c>
      <c r="H574" t="str">
        <f>IFERROR(INDEX(diakadat!$O$2:$O$50,MATCH(D574,diakadat!$J$2:$J$50,0),1),"")</f>
        <v/>
      </c>
      <c r="I574" t="str">
        <f>IFERROR(INDEX(diakadat!#REF!,MATCH(D574,diakadat!$J$2:$J$50,0),1),"")</f>
        <v/>
      </c>
      <c r="J574" t="str">
        <f>IFERROR(INDEX(diakadat!$K$2:$K$50,MATCH(D574,diakadat!$J$2:$J$50,0),1),"")</f>
        <v/>
      </c>
      <c r="K574" t="str" cm="1">
        <f t="array" ref="K574">IFERROR(DatumSzovegge2(INDEX(diakadat!$L$2:$L$50,MATCH(D574,diakadat!$J$2:$J$50,0),1)),"")</f>
        <v/>
      </c>
      <c r="L574" t="str" cm="1">
        <f t="array" ref="L574">IFERROR(DatumSzovegge5(INDEX(diakadat!$L$2:$L$50,MATCH(D574,diakadat!$J$2:$J$50,0),1)),"")</f>
        <v/>
      </c>
      <c r="M574" t="str" cm="1">
        <f t="array" ref="M574">IFERROR(DatumSzovegge3(INDEX(diakadat!$L$2:$L$50,MATCH(D574,diakadat!$J$2:$J$50,0),1)),"")</f>
        <v/>
      </c>
      <c r="N574" t="str" cm="1">
        <f t="array" ref="N574">IFERROR(DatumSzovegge4(INDEX(diakadat!$L$2:$L$50,MATCH(D574,diakadat!$J$2:$J$50,0),1)),"")</f>
        <v/>
      </c>
      <c r="O574" t="str">
        <f>IFERROR(INDEX(diakadat!$R$2:$R$50,MATCH(D574,diakadat!$J$2:$J$50,0),1),"")</f>
        <v/>
      </c>
      <c r="P574" t="str">
        <f>IFERROR(INDEX(diakadat!$AI$2:$AI$50,MATCH(D574,diakadat!$J$2:$J$50,0),1),"")</f>
        <v/>
      </c>
      <c r="Q574" t="str">
        <f>IFERROR(INDEX('rangsor'!$C$2:$C$343,MATCH(D574,'rangsor'!$A$2:$A$343,0),1),"")</f>
        <v/>
      </c>
      <c r="T574" t="s">
        <v>831</v>
      </c>
      <c r="U574" t="str" cm="1">
        <f t="array" ref="U574">Határozat(D574)</f>
        <v/>
      </c>
      <c r="AC574" t="str">
        <f>IFERROR(INDEX(diakadat!$U$2:$U$50,MATCH(D574,diakadat!$J$2:$J$50),1),"")</f>
        <v/>
      </c>
      <c r="AD574" t="str">
        <f>IFERROR(INDEX(diakadat!$V$2:$V$50,MATCH(D574,diakadat!$J$2:$J$50),1),"")</f>
        <v/>
      </c>
      <c r="AE574" t="str">
        <f>IFERROR(INDEX(diakadat!$W$2:$W$50,MATCH(D574,diakadat!$J$2:$J$50),1),"")</f>
        <v/>
      </c>
      <c r="AI574" t="str">
        <f>IFERROR(INDEX(diakadat!$X$2:$X$50,MATCH(D574,diakadat!$J$2:$J$50),1),"")</f>
        <v/>
      </c>
      <c r="AK574">
        <f t="shared" si="8"/>
        <v>329</v>
      </c>
      <c r="AL574" t="str" cm="1">
        <f t="array" ref="AL574">ElsoBetuNagy(R574)</f>
        <v/>
      </c>
      <c r="AO574" t="str" cm="1">
        <f t="array" ref="AO574">DatumSzovegge5(AN574)</f>
        <v>1899.</v>
      </c>
      <c r="AP574" t="str" cm="1">
        <f t="array" ref="AP574">DatumSzovegge3(AN574)</f>
        <v>december</v>
      </c>
      <c r="AQ574" t="str" cm="1">
        <f t="array" ref="AQ574">DatumSzovegge4(AN574)</f>
        <v>30.</v>
      </c>
    </row>
    <row r="575" spans="4:43" x14ac:dyDescent="0.25">
      <c r="D575" t="str" cm="1">
        <f t="array" ref="D575">SzuressNev($B$1,ROW()-1)</f>
        <v/>
      </c>
      <c r="E575">
        <f>COUNTIF($D$2:D575,D575)</f>
        <v>554</v>
      </c>
      <c r="F575" t="str" cm="1">
        <f t="array" ref="F575">ElutasitasEgyOk2(D575,E575)</f>
        <v/>
      </c>
      <c r="G575" t="str">
        <f>IFERROR(INDEX(diakadat!$I$2:$I$50,MATCH(D575,diakadat!$J$2:$J$50,0),1),"")</f>
        <v/>
      </c>
      <c r="H575" t="str">
        <f>IFERROR(INDEX(diakadat!$O$2:$O$50,MATCH(D575,diakadat!$J$2:$J$50,0),1),"")</f>
        <v/>
      </c>
      <c r="I575" t="str">
        <f>IFERROR(INDEX(diakadat!#REF!,MATCH(D575,diakadat!$J$2:$J$50,0),1),"")</f>
        <v/>
      </c>
      <c r="J575" t="str">
        <f>IFERROR(INDEX(diakadat!$K$2:$K$50,MATCH(D575,diakadat!$J$2:$J$50,0),1),"")</f>
        <v/>
      </c>
      <c r="K575" t="str" cm="1">
        <f t="array" ref="K575">IFERROR(DatumSzovegge2(INDEX(diakadat!$L$2:$L$50,MATCH(D575,diakadat!$J$2:$J$50,0),1)),"")</f>
        <v/>
      </c>
      <c r="L575" t="str" cm="1">
        <f t="array" ref="L575">IFERROR(DatumSzovegge5(INDEX(diakadat!$L$2:$L$50,MATCH(D575,diakadat!$J$2:$J$50,0),1)),"")</f>
        <v/>
      </c>
      <c r="M575" t="str" cm="1">
        <f t="array" ref="M575">IFERROR(DatumSzovegge3(INDEX(diakadat!$L$2:$L$50,MATCH(D575,diakadat!$J$2:$J$50,0),1)),"")</f>
        <v/>
      </c>
      <c r="N575" t="str" cm="1">
        <f t="array" ref="N575">IFERROR(DatumSzovegge4(INDEX(diakadat!$L$2:$L$50,MATCH(D575,diakadat!$J$2:$J$50,0),1)),"")</f>
        <v/>
      </c>
      <c r="O575" t="str">
        <f>IFERROR(INDEX(diakadat!$R$2:$R$50,MATCH(D575,diakadat!$J$2:$J$50,0),1),"")</f>
        <v/>
      </c>
      <c r="P575" t="str">
        <f>IFERROR(INDEX(diakadat!$AI$2:$AI$50,MATCH(D575,diakadat!$J$2:$J$50,0),1),"")</f>
        <v/>
      </c>
      <c r="Q575" t="str">
        <f>IFERROR(INDEX('rangsor'!$C$2:$C$343,MATCH(D575,'rangsor'!$A$2:$A$343,0),1),"")</f>
        <v/>
      </c>
      <c r="T575" t="s">
        <v>831</v>
      </c>
      <c r="U575" t="str" cm="1">
        <f t="array" ref="U575">Határozat(D575)</f>
        <v/>
      </c>
      <c r="AC575" t="str">
        <f>IFERROR(INDEX(diakadat!$U$2:$U$50,MATCH(D575,diakadat!$J$2:$J$50),1),"")</f>
        <v/>
      </c>
      <c r="AD575" t="str">
        <f>IFERROR(INDEX(diakadat!$V$2:$V$50,MATCH(D575,diakadat!$J$2:$J$50),1),"")</f>
        <v/>
      </c>
      <c r="AE575" t="str">
        <f>IFERROR(INDEX(diakadat!$W$2:$W$50,MATCH(D575,diakadat!$J$2:$J$50),1),"")</f>
        <v/>
      </c>
      <c r="AI575" t="str">
        <f>IFERROR(INDEX(diakadat!$X$2:$X$50,MATCH(D575,diakadat!$J$2:$J$50),1),"")</f>
        <v/>
      </c>
      <c r="AK575">
        <f t="shared" si="8"/>
        <v>329</v>
      </c>
      <c r="AL575" t="str" cm="1">
        <f t="array" ref="AL575">ElsoBetuNagy(R575)</f>
        <v/>
      </c>
      <c r="AO575" t="str" cm="1">
        <f t="array" ref="AO575">DatumSzovegge5(AN575)</f>
        <v>1899.</v>
      </c>
      <c r="AP575" t="str" cm="1">
        <f t="array" ref="AP575">DatumSzovegge3(AN575)</f>
        <v>december</v>
      </c>
      <c r="AQ575" t="str" cm="1">
        <f t="array" ref="AQ575">DatumSzovegge4(AN575)</f>
        <v>30.</v>
      </c>
    </row>
    <row r="576" spans="4:43" x14ac:dyDescent="0.25">
      <c r="D576" t="str" cm="1">
        <f t="array" ref="D576">SzuressNev($B$1,ROW()-1)</f>
        <v/>
      </c>
      <c r="E576">
        <f>COUNTIF($D$2:D576,D576)</f>
        <v>555</v>
      </c>
      <c r="F576" t="str" cm="1">
        <f t="array" ref="F576">ElutasitasEgyOk2(D576,E576)</f>
        <v/>
      </c>
      <c r="G576" t="str">
        <f>IFERROR(INDEX(diakadat!$I$2:$I$50,MATCH(D576,diakadat!$J$2:$J$50,0),1),"")</f>
        <v/>
      </c>
      <c r="H576" t="str">
        <f>IFERROR(INDEX(diakadat!$O$2:$O$50,MATCH(D576,diakadat!$J$2:$J$50,0),1),"")</f>
        <v/>
      </c>
      <c r="I576" t="str">
        <f>IFERROR(INDEX(diakadat!#REF!,MATCH(D576,diakadat!$J$2:$J$50,0),1),"")</f>
        <v/>
      </c>
      <c r="J576" t="str">
        <f>IFERROR(INDEX(diakadat!$K$2:$K$50,MATCH(D576,diakadat!$J$2:$J$50,0),1),"")</f>
        <v/>
      </c>
      <c r="K576" t="str" cm="1">
        <f t="array" ref="K576">IFERROR(DatumSzovegge2(INDEX(diakadat!$L$2:$L$50,MATCH(D576,diakadat!$J$2:$J$50,0),1)),"")</f>
        <v/>
      </c>
      <c r="L576" t="str" cm="1">
        <f t="array" ref="L576">IFERROR(DatumSzovegge5(INDEX(diakadat!$L$2:$L$50,MATCH(D576,diakadat!$J$2:$J$50,0),1)),"")</f>
        <v/>
      </c>
      <c r="M576" t="str" cm="1">
        <f t="array" ref="M576">IFERROR(DatumSzovegge3(INDEX(diakadat!$L$2:$L$50,MATCH(D576,diakadat!$J$2:$J$50,0),1)),"")</f>
        <v/>
      </c>
      <c r="N576" t="str" cm="1">
        <f t="array" ref="N576">IFERROR(DatumSzovegge4(INDEX(diakadat!$L$2:$L$50,MATCH(D576,diakadat!$J$2:$J$50,0),1)),"")</f>
        <v/>
      </c>
      <c r="O576" t="str">
        <f>IFERROR(INDEX(diakadat!$R$2:$R$50,MATCH(D576,diakadat!$J$2:$J$50,0),1),"")</f>
        <v/>
      </c>
      <c r="P576" t="str">
        <f>IFERROR(INDEX(diakadat!$AI$2:$AI$50,MATCH(D576,diakadat!$J$2:$J$50,0),1),"")</f>
        <v/>
      </c>
      <c r="Q576" t="str">
        <f>IFERROR(INDEX('rangsor'!$C$2:$C$343,MATCH(D576,'rangsor'!$A$2:$A$343,0),1),"")</f>
        <v/>
      </c>
      <c r="T576" t="s">
        <v>831</v>
      </c>
      <c r="U576" t="str" cm="1">
        <f t="array" ref="U576">Határozat(D576)</f>
        <v/>
      </c>
      <c r="AC576" t="str">
        <f>IFERROR(INDEX(diakadat!$U$2:$U$50,MATCH(D576,diakadat!$J$2:$J$50),1),"")</f>
        <v/>
      </c>
      <c r="AD576" t="str">
        <f>IFERROR(INDEX(diakadat!$V$2:$V$50,MATCH(D576,diakadat!$J$2:$J$50),1),"")</f>
        <v/>
      </c>
      <c r="AE576" t="str">
        <f>IFERROR(INDEX(diakadat!$W$2:$W$50,MATCH(D576,diakadat!$J$2:$J$50),1),"")</f>
        <v/>
      </c>
      <c r="AI576" t="str">
        <f>IFERROR(INDEX(diakadat!$X$2:$X$50,MATCH(D576,diakadat!$J$2:$J$50),1),"")</f>
        <v/>
      </c>
      <c r="AK576">
        <f t="shared" si="8"/>
        <v>329</v>
      </c>
      <c r="AL576" t="str" cm="1">
        <f t="array" ref="AL576">ElsoBetuNagy(R576)</f>
        <v/>
      </c>
      <c r="AO576" t="str" cm="1">
        <f t="array" ref="AO576">DatumSzovegge5(AN576)</f>
        <v>1899.</v>
      </c>
      <c r="AP576" t="str" cm="1">
        <f t="array" ref="AP576">DatumSzovegge3(AN576)</f>
        <v>december</v>
      </c>
      <c r="AQ576" t="str" cm="1">
        <f t="array" ref="AQ576">DatumSzovegge4(AN576)</f>
        <v>30.</v>
      </c>
    </row>
    <row r="577" spans="4:43" x14ac:dyDescent="0.25">
      <c r="D577" t="str" cm="1">
        <f t="array" ref="D577">SzuressNev($B$1,ROW()-1)</f>
        <v/>
      </c>
      <c r="E577">
        <f>COUNTIF($D$2:D577,D577)</f>
        <v>556</v>
      </c>
      <c r="F577" t="str" cm="1">
        <f t="array" ref="F577">ElutasitasEgyOk2(D577,E577)</f>
        <v/>
      </c>
      <c r="G577" t="str">
        <f>IFERROR(INDEX(diakadat!$I$2:$I$50,MATCH(D577,diakadat!$J$2:$J$50,0),1),"")</f>
        <v/>
      </c>
      <c r="H577" t="str">
        <f>IFERROR(INDEX(diakadat!$O$2:$O$50,MATCH(D577,diakadat!$J$2:$J$50,0),1),"")</f>
        <v/>
      </c>
      <c r="I577" t="str">
        <f>IFERROR(INDEX(diakadat!#REF!,MATCH(D577,diakadat!$J$2:$J$50,0),1),"")</f>
        <v/>
      </c>
      <c r="J577" t="str">
        <f>IFERROR(INDEX(diakadat!$K$2:$K$50,MATCH(D577,diakadat!$J$2:$J$50,0),1),"")</f>
        <v/>
      </c>
      <c r="K577" t="str" cm="1">
        <f t="array" ref="K577">IFERROR(DatumSzovegge2(INDEX(diakadat!$L$2:$L$50,MATCH(D577,diakadat!$J$2:$J$50,0),1)),"")</f>
        <v/>
      </c>
      <c r="L577" t="str" cm="1">
        <f t="array" ref="L577">IFERROR(DatumSzovegge5(INDEX(diakadat!$L$2:$L$50,MATCH(D577,diakadat!$J$2:$J$50,0),1)),"")</f>
        <v/>
      </c>
      <c r="M577" t="str" cm="1">
        <f t="array" ref="M577">IFERROR(DatumSzovegge3(INDEX(diakadat!$L$2:$L$50,MATCH(D577,diakadat!$J$2:$J$50,0),1)),"")</f>
        <v/>
      </c>
      <c r="N577" t="str" cm="1">
        <f t="array" ref="N577">IFERROR(DatumSzovegge4(INDEX(diakadat!$L$2:$L$50,MATCH(D577,diakadat!$J$2:$J$50,0),1)),"")</f>
        <v/>
      </c>
      <c r="O577" t="str">
        <f>IFERROR(INDEX(diakadat!$R$2:$R$50,MATCH(D577,diakadat!$J$2:$J$50,0),1),"")</f>
        <v/>
      </c>
      <c r="P577" t="str">
        <f>IFERROR(INDEX(diakadat!$AI$2:$AI$50,MATCH(D577,diakadat!$J$2:$J$50,0),1),"")</f>
        <v/>
      </c>
      <c r="Q577" t="str">
        <f>IFERROR(INDEX('rangsor'!$C$2:$C$343,MATCH(D577,'rangsor'!$A$2:$A$343,0),1),"")</f>
        <v/>
      </c>
      <c r="T577" t="s">
        <v>831</v>
      </c>
      <c r="U577" t="str" cm="1">
        <f t="array" ref="U577">Határozat(D577)</f>
        <v/>
      </c>
      <c r="AC577" t="str">
        <f>IFERROR(INDEX(diakadat!$U$2:$U$50,MATCH(D577,diakadat!$J$2:$J$50),1),"")</f>
        <v/>
      </c>
      <c r="AD577" t="str">
        <f>IFERROR(INDEX(diakadat!$V$2:$V$50,MATCH(D577,diakadat!$J$2:$J$50),1),"")</f>
        <v/>
      </c>
      <c r="AE577" t="str">
        <f>IFERROR(INDEX(diakadat!$W$2:$W$50,MATCH(D577,diakadat!$J$2:$J$50),1),"")</f>
        <v/>
      </c>
      <c r="AI577" t="str">
        <f>IFERROR(INDEX(diakadat!$X$2:$X$50,MATCH(D577,diakadat!$J$2:$J$50),1),"")</f>
        <v/>
      </c>
      <c r="AK577">
        <f t="shared" si="8"/>
        <v>329</v>
      </c>
      <c r="AL577" t="str" cm="1">
        <f t="array" ref="AL577">ElsoBetuNagy(R577)</f>
        <v/>
      </c>
      <c r="AO577" t="str" cm="1">
        <f t="array" ref="AO577">DatumSzovegge5(AN577)</f>
        <v>1899.</v>
      </c>
      <c r="AP577" t="str" cm="1">
        <f t="array" ref="AP577">DatumSzovegge3(AN577)</f>
        <v>december</v>
      </c>
      <c r="AQ577" t="str" cm="1">
        <f t="array" ref="AQ577">DatumSzovegge4(AN577)</f>
        <v>30.</v>
      </c>
    </row>
    <row r="578" spans="4:43" x14ac:dyDescent="0.25">
      <c r="D578" t="str" cm="1">
        <f t="array" ref="D578">SzuressNev($B$1,ROW()-1)</f>
        <v/>
      </c>
      <c r="E578">
        <f>COUNTIF($D$2:D578,D578)</f>
        <v>557</v>
      </c>
      <c r="F578" t="str" cm="1">
        <f t="array" ref="F578">ElutasitasEgyOk2(D578,E578)</f>
        <v/>
      </c>
      <c r="G578" t="str">
        <f>IFERROR(INDEX(diakadat!$I$2:$I$50,MATCH(D578,diakadat!$J$2:$J$50,0),1),"")</f>
        <v/>
      </c>
      <c r="H578" t="str">
        <f>IFERROR(INDEX(diakadat!$O$2:$O$50,MATCH(D578,diakadat!$J$2:$J$50,0),1),"")</f>
        <v/>
      </c>
      <c r="I578" t="str">
        <f>IFERROR(INDEX(diakadat!#REF!,MATCH(D578,diakadat!$J$2:$J$50,0),1),"")</f>
        <v/>
      </c>
      <c r="J578" t="str">
        <f>IFERROR(INDEX(diakadat!$K$2:$K$50,MATCH(D578,diakadat!$J$2:$J$50,0),1),"")</f>
        <v/>
      </c>
      <c r="K578" t="str" cm="1">
        <f t="array" ref="K578">IFERROR(DatumSzovegge2(INDEX(diakadat!$L$2:$L$50,MATCH(D578,diakadat!$J$2:$J$50,0),1)),"")</f>
        <v/>
      </c>
      <c r="L578" t="str" cm="1">
        <f t="array" ref="L578">IFERROR(DatumSzovegge5(INDEX(diakadat!$L$2:$L$50,MATCH(D578,diakadat!$J$2:$J$50,0),1)),"")</f>
        <v/>
      </c>
      <c r="M578" t="str" cm="1">
        <f t="array" ref="M578">IFERROR(DatumSzovegge3(INDEX(diakadat!$L$2:$L$50,MATCH(D578,diakadat!$J$2:$J$50,0),1)),"")</f>
        <v/>
      </c>
      <c r="N578" t="str" cm="1">
        <f t="array" ref="N578">IFERROR(DatumSzovegge4(INDEX(diakadat!$L$2:$L$50,MATCH(D578,diakadat!$J$2:$J$50,0),1)),"")</f>
        <v/>
      </c>
      <c r="O578" t="str">
        <f>IFERROR(INDEX(diakadat!$R$2:$R$50,MATCH(D578,diakadat!$J$2:$J$50,0),1),"")</f>
        <v/>
      </c>
      <c r="P578" t="str">
        <f>IFERROR(INDEX(diakadat!$AI$2:$AI$50,MATCH(D578,diakadat!$J$2:$J$50,0),1),"")</f>
        <v/>
      </c>
      <c r="Q578" t="str">
        <f>IFERROR(INDEX('rangsor'!$C$2:$C$343,MATCH(D578,'rangsor'!$A$2:$A$343,0),1),"")</f>
        <v/>
      </c>
      <c r="T578" t="s">
        <v>831</v>
      </c>
      <c r="U578" t="str" cm="1">
        <f t="array" ref="U578">Határozat(D578)</f>
        <v/>
      </c>
      <c r="AC578" t="str">
        <f>IFERROR(INDEX(diakadat!$U$2:$U$50,MATCH(D578,diakadat!$J$2:$J$50),1),"")</f>
        <v/>
      </c>
      <c r="AD578" t="str">
        <f>IFERROR(INDEX(diakadat!$V$2:$V$50,MATCH(D578,diakadat!$J$2:$J$50),1),"")</f>
        <v/>
      </c>
      <c r="AE578" t="str">
        <f>IFERROR(INDEX(diakadat!$W$2:$W$50,MATCH(D578,diakadat!$J$2:$J$50),1),"")</f>
        <v/>
      </c>
      <c r="AI578" t="str">
        <f>IFERROR(INDEX(diakadat!$X$2:$X$50,MATCH(D578,diakadat!$J$2:$J$50),1),"")</f>
        <v/>
      </c>
      <c r="AK578">
        <f t="shared" ref="AK578:AK593" si="9">COUNTIF($AD$2:$AD$350,AD578)</f>
        <v>329</v>
      </c>
      <c r="AL578" t="str" cm="1">
        <f t="array" ref="AL578">ElsoBetuNagy(R578)</f>
        <v/>
      </c>
      <c r="AO578" t="str" cm="1">
        <f t="array" ref="AO578">DatumSzovegge5(AN578)</f>
        <v>1899.</v>
      </c>
      <c r="AP578" t="str" cm="1">
        <f t="array" ref="AP578">DatumSzovegge3(AN578)</f>
        <v>december</v>
      </c>
      <c r="AQ578" t="str" cm="1">
        <f t="array" ref="AQ578">DatumSzovegge4(AN578)</f>
        <v>30.</v>
      </c>
    </row>
    <row r="579" spans="4:43" x14ac:dyDescent="0.25">
      <c r="D579" t="str" cm="1">
        <f t="array" ref="D579">SzuressNev($B$1,ROW()-1)</f>
        <v/>
      </c>
      <c r="E579">
        <f>COUNTIF($D$2:D579,D579)</f>
        <v>558</v>
      </c>
      <c r="F579" t="str" cm="1">
        <f t="array" ref="F579">ElutasitasEgyOk2(D579,E579)</f>
        <v/>
      </c>
      <c r="G579" t="str">
        <f>IFERROR(INDEX(diakadat!$I$2:$I$50,MATCH(D579,diakadat!$J$2:$J$50,0),1),"")</f>
        <v/>
      </c>
      <c r="H579" t="str">
        <f>IFERROR(INDEX(diakadat!$O$2:$O$50,MATCH(D579,diakadat!$J$2:$J$50,0),1),"")</f>
        <v/>
      </c>
      <c r="I579" t="str">
        <f>IFERROR(INDEX(diakadat!#REF!,MATCH(D579,diakadat!$J$2:$J$50,0),1),"")</f>
        <v/>
      </c>
      <c r="J579" t="str">
        <f>IFERROR(INDEX(diakadat!$K$2:$K$50,MATCH(D579,diakadat!$J$2:$J$50,0),1),"")</f>
        <v/>
      </c>
      <c r="K579" t="str" cm="1">
        <f t="array" ref="K579">IFERROR(DatumSzovegge2(INDEX(diakadat!$L$2:$L$50,MATCH(D579,diakadat!$J$2:$J$50,0),1)),"")</f>
        <v/>
      </c>
      <c r="L579" t="str" cm="1">
        <f t="array" ref="L579">IFERROR(DatumSzovegge5(INDEX(diakadat!$L$2:$L$50,MATCH(D579,diakadat!$J$2:$J$50,0),1)),"")</f>
        <v/>
      </c>
      <c r="M579" t="str" cm="1">
        <f t="array" ref="M579">IFERROR(DatumSzovegge3(INDEX(diakadat!$L$2:$L$50,MATCH(D579,diakadat!$J$2:$J$50,0),1)),"")</f>
        <v/>
      </c>
      <c r="N579" t="str" cm="1">
        <f t="array" ref="N579">IFERROR(DatumSzovegge4(INDEX(diakadat!$L$2:$L$50,MATCH(D579,diakadat!$J$2:$J$50,0),1)),"")</f>
        <v/>
      </c>
      <c r="O579" t="str">
        <f>IFERROR(INDEX(diakadat!$R$2:$R$50,MATCH(D579,diakadat!$J$2:$J$50,0),1),"")</f>
        <v/>
      </c>
      <c r="P579" t="str">
        <f>IFERROR(INDEX(diakadat!$AI$2:$AI$50,MATCH(D579,diakadat!$J$2:$J$50,0),1),"")</f>
        <v/>
      </c>
      <c r="Q579" t="str">
        <f>IFERROR(INDEX('rangsor'!$C$2:$C$343,MATCH(D579,'rangsor'!$A$2:$A$343,0),1),"")</f>
        <v/>
      </c>
      <c r="T579" t="s">
        <v>831</v>
      </c>
      <c r="U579" t="str" cm="1">
        <f t="array" ref="U579">Határozat(D579)</f>
        <v/>
      </c>
      <c r="AC579" t="str">
        <f>IFERROR(INDEX(diakadat!$U$2:$U$50,MATCH(D579,diakadat!$J$2:$J$50),1),"")</f>
        <v/>
      </c>
      <c r="AD579" t="str">
        <f>IFERROR(INDEX(diakadat!$V$2:$V$50,MATCH(D579,diakadat!$J$2:$J$50),1),"")</f>
        <v/>
      </c>
      <c r="AE579" t="str">
        <f>IFERROR(INDEX(diakadat!$W$2:$W$50,MATCH(D579,diakadat!$J$2:$J$50),1),"")</f>
        <v/>
      </c>
      <c r="AI579" t="str">
        <f>IFERROR(INDEX(diakadat!$X$2:$X$50,MATCH(D579,diakadat!$J$2:$J$50),1),"")</f>
        <v/>
      </c>
      <c r="AK579">
        <f t="shared" si="9"/>
        <v>329</v>
      </c>
      <c r="AL579" t="str" cm="1">
        <f t="array" ref="AL579">ElsoBetuNagy(R579)</f>
        <v/>
      </c>
      <c r="AO579" t="str" cm="1">
        <f t="array" ref="AO579">DatumSzovegge5(AN579)</f>
        <v>1899.</v>
      </c>
      <c r="AP579" t="str" cm="1">
        <f t="array" ref="AP579">DatumSzovegge3(AN579)</f>
        <v>december</v>
      </c>
      <c r="AQ579" t="str" cm="1">
        <f t="array" ref="AQ579">DatumSzovegge4(AN579)</f>
        <v>30.</v>
      </c>
    </row>
    <row r="580" spans="4:43" x14ac:dyDescent="0.25">
      <c r="D580" t="str" cm="1">
        <f t="array" ref="D580">SzuressNev($B$1,ROW()-1)</f>
        <v/>
      </c>
      <c r="E580">
        <f>COUNTIF($D$2:D580,D580)</f>
        <v>559</v>
      </c>
      <c r="F580" t="str" cm="1">
        <f t="array" ref="F580">ElutasitasEgyOk2(D580,E580)</f>
        <v/>
      </c>
      <c r="G580" t="str">
        <f>IFERROR(INDEX(diakadat!$I$2:$I$50,MATCH(D580,diakadat!$J$2:$J$50,0),1),"")</f>
        <v/>
      </c>
      <c r="H580" t="str">
        <f>IFERROR(INDEX(diakadat!$O$2:$O$50,MATCH(D580,diakadat!$J$2:$J$50,0),1),"")</f>
        <v/>
      </c>
      <c r="I580" t="str">
        <f>IFERROR(INDEX(diakadat!#REF!,MATCH(D580,diakadat!$J$2:$J$50,0),1),"")</f>
        <v/>
      </c>
      <c r="J580" t="str">
        <f>IFERROR(INDEX(diakadat!$K$2:$K$50,MATCH(D580,diakadat!$J$2:$J$50,0),1),"")</f>
        <v/>
      </c>
      <c r="K580" t="str" cm="1">
        <f t="array" ref="K580">IFERROR(DatumSzovegge2(INDEX(diakadat!$L$2:$L$50,MATCH(D580,diakadat!$J$2:$J$50,0),1)),"")</f>
        <v/>
      </c>
      <c r="L580" t="str" cm="1">
        <f t="array" ref="L580">IFERROR(DatumSzovegge5(INDEX(diakadat!$L$2:$L$50,MATCH(D580,diakadat!$J$2:$J$50,0),1)),"")</f>
        <v/>
      </c>
      <c r="M580" t="str" cm="1">
        <f t="array" ref="M580">IFERROR(DatumSzovegge3(INDEX(diakadat!$L$2:$L$50,MATCH(D580,diakadat!$J$2:$J$50,0),1)),"")</f>
        <v/>
      </c>
      <c r="N580" t="str" cm="1">
        <f t="array" ref="N580">IFERROR(DatumSzovegge4(INDEX(diakadat!$L$2:$L$50,MATCH(D580,diakadat!$J$2:$J$50,0),1)),"")</f>
        <v/>
      </c>
      <c r="O580" t="str">
        <f>IFERROR(INDEX(diakadat!$R$2:$R$50,MATCH(D580,diakadat!$J$2:$J$50,0),1),"")</f>
        <v/>
      </c>
      <c r="P580" t="str">
        <f>IFERROR(INDEX(diakadat!$AI$2:$AI$50,MATCH(D580,diakadat!$J$2:$J$50,0),1),"")</f>
        <v/>
      </c>
      <c r="Q580" t="str">
        <f>IFERROR(INDEX('rangsor'!$C$2:$C$343,MATCH(D580,'rangsor'!$A$2:$A$343,0),1),"")</f>
        <v/>
      </c>
      <c r="T580" t="s">
        <v>831</v>
      </c>
      <c r="U580" t="str" cm="1">
        <f t="array" ref="U580">Határozat(D580)</f>
        <v/>
      </c>
      <c r="AC580" t="str">
        <f>IFERROR(INDEX(diakadat!$U$2:$U$50,MATCH(D580,diakadat!$J$2:$J$50),1),"")</f>
        <v/>
      </c>
      <c r="AD580" t="str">
        <f>IFERROR(INDEX(diakadat!$V$2:$V$50,MATCH(D580,diakadat!$J$2:$J$50),1),"")</f>
        <v/>
      </c>
      <c r="AE580" t="str">
        <f>IFERROR(INDEX(diakadat!$W$2:$W$50,MATCH(D580,diakadat!$J$2:$J$50),1),"")</f>
        <v/>
      </c>
      <c r="AI580" t="str">
        <f>IFERROR(INDEX(diakadat!$X$2:$X$50,MATCH(D580,diakadat!$J$2:$J$50),1),"")</f>
        <v/>
      </c>
      <c r="AK580">
        <f t="shared" si="9"/>
        <v>329</v>
      </c>
      <c r="AL580" t="str" cm="1">
        <f t="array" ref="AL580">ElsoBetuNagy(R580)</f>
        <v/>
      </c>
      <c r="AO580" t="str" cm="1">
        <f t="array" ref="AO580">DatumSzovegge5(AN580)</f>
        <v>1899.</v>
      </c>
      <c r="AP580" t="str" cm="1">
        <f t="array" ref="AP580">DatumSzovegge3(AN580)</f>
        <v>december</v>
      </c>
      <c r="AQ580" t="str" cm="1">
        <f t="array" ref="AQ580">DatumSzovegge4(AN580)</f>
        <v>30.</v>
      </c>
    </row>
    <row r="581" spans="4:43" x14ac:dyDescent="0.25">
      <c r="D581" t="str" cm="1">
        <f t="array" ref="D581">SzuressNev($B$1,ROW()-1)</f>
        <v/>
      </c>
      <c r="E581">
        <f>COUNTIF($D$2:D581,D581)</f>
        <v>560</v>
      </c>
      <c r="F581" t="str" cm="1">
        <f t="array" ref="F581">ElutasitasEgyOk2(D581,E581)</f>
        <v/>
      </c>
      <c r="G581" t="str">
        <f>IFERROR(INDEX(diakadat!$I$2:$I$50,MATCH(D581,diakadat!$J$2:$J$50,0),1),"")</f>
        <v/>
      </c>
      <c r="H581" t="str">
        <f>IFERROR(INDEX(diakadat!$O$2:$O$50,MATCH(D581,diakadat!$J$2:$J$50,0),1),"")</f>
        <v/>
      </c>
      <c r="I581" t="str">
        <f>IFERROR(INDEX(diakadat!#REF!,MATCH(D581,diakadat!$J$2:$J$50,0),1),"")</f>
        <v/>
      </c>
      <c r="J581" t="str">
        <f>IFERROR(INDEX(diakadat!$K$2:$K$50,MATCH(D581,diakadat!$J$2:$J$50,0),1),"")</f>
        <v/>
      </c>
      <c r="K581" t="str" cm="1">
        <f t="array" ref="K581">IFERROR(DatumSzovegge2(INDEX(diakadat!$L$2:$L$50,MATCH(D581,diakadat!$J$2:$J$50,0),1)),"")</f>
        <v/>
      </c>
      <c r="L581" t="str" cm="1">
        <f t="array" ref="L581">IFERROR(DatumSzovegge5(INDEX(diakadat!$L$2:$L$50,MATCH(D581,diakadat!$J$2:$J$50,0),1)),"")</f>
        <v/>
      </c>
      <c r="M581" t="str" cm="1">
        <f t="array" ref="M581">IFERROR(DatumSzovegge3(INDEX(diakadat!$L$2:$L$50,MATCH(D581,diakadat!$J$2:$J$50,0),1)),"")</f>
        <v/>
      </c>
      <c r="N581" t="str" cm="1">
        <f t="array" ref="N581">IFERROR(DatumSzovegge4(INDEX(diakadat!$L$2:$L$50,MATCH(D581,diakadat!$J$2:$J$50,0),1)),"")</f>
        <v/>
      </c>
      <c r="O581" t="str">
        <f>IFERROR(INDEX(diakadat!$R$2:$R$50,MATCH(D581,diakadat!$J$2:$J$50,0),1),"")</f>
        <v/>
      </c>
      <c r="P581" t="str">
        <f>IFERROR(INDEX(diakadat!$AI$2:$AI$50,MATCH(D581,diakadat!$J$2:$J$50,0),1),"")</f>
        <v/>
      </c>
      <c r="Q581" t="str">
        <f>IFERROR(INDEX('rangsor'!$C$2:$C$343,MATCH(D581,'rangsor'!$A$2:$A$343,0),1),"")</f>
        <v/>
      </c>
      <c r="T581" t="s">
        <v>831</v>
      </c>
      <c r="U581" t="str" cm="1">
        <f t="array" ref="U581">Határozat(D581)</f>
        <v/>
      </c>
      <c r="AC581" t="str">
        <f>IFERROR(INDEX(diakadat!$U$2:$U$50,MATCH(D581,diakadat!$J$2:$J$50),1),"")</f>
        <v/>
      </c>
      <c r="AD581" t="str">
        <f>IFERROR(INDEX(diakadat!$V$2:$V$50,MATCH(D581,diakadat!$J$2:$J$50),1),"")</f>
        <v/>
      </c>
      <c r="AE581" t="str">
        <f>IFERROR(INDEX(diakadat!$W$2:$W$50,MATCH(D581,diakadat!$J$2:$J$50),1),"")</f>
        <v/>
      </c>
      <c r="AI581" t="str">
        <f>IFERROR(INDEX(diakadat!$X$2:$X$50,MATCH(D581,diakadat!$J$2:$J$50),1),"")</f>
        <v/>
      </c>
      <c r="AK581">
        <f t="shared" si="9"/>
        <v>329</v>
      </c>
      <c r="AL581" t="str" cm="1">
        <f t="array" ref="AL581">ElsoBetuNagy(R581)</f>
        <v/>
      </c>
      <c r="AO581" t="str" cm="1">
        <f t="array" ref="AO581">DatumSzovegge5(AN581)</f>
        <v>1899.</v>
      </c>
      <c r="AP581" t="str" cm="1">
        <f t="array" ref="AP581">DatumSzovegge3(AN581)</f>
        <v>december</v>
      </c>
      <c r="AQ581" t="str" cm="1">
        <f t="array" ref="AQ581">DatumSzovegge4(AN581)</f>
        <v>30.</v>
      </c>
    </row>
    <row r="582" spans="4:43" x14ac:dyDescent="0.25">
      <c r="D582" t="str" cm="1">
        <f t="array" ref="D582">SzuressNev($B$1,ROW()-1)</f>
        <v/>
      </c>
      <c r="E582">
        <f>COUNTIF($D$2:D582,D582)</f>
        <v>561</v>
      </c>
      <c r="F582" t="str" cm="1">
        <f t="array" ref="F582">ElutasitasEgyOk2(D582,E582)</f>
        <v/>
      </c>
      <c r="G582" t="str">
        <f>IFERROR(INDEX(diakadat!$I$2:$I$50,MATCH(D582,diakadat!$J$2:$J$50,0),1),"")</f>
        <v/>
      </c>
      <c r="H582" t="str">
        <f>IFERROR(INDEX(diakadat!$O$2:$O$50,MATCH(D582,diakadat!$J$2:$J$50,0),1),"")</f>
        <v/>
      </c>
      <c r="I582" t="str">
        <f>IFERROR(INDEX(diakadat!#REF!,MATCH(D582,diakadat!$J$2:$J$50,0),1),"")</f>
        <v/>
      </c>
      <c r="J582" t="str">
        <f>IFERROR(INDEX(diakadat!$K$2:$K$50,MATCH(D582,diakadat!$J$2:$J$50,0),1),"")</f>
        <v/>
      </c>
      <c r="K582" t="str" cm="1">
        <f t="array" ref="K582">IFERROR(DatumSzovegge2(INDEX(diakadat!$L$2:$L$50,MATCH(D582,diakadat!$J$2:$J$50,0),1)),"")</f>
        <v/>
      </c>
      <c r="L582" t="str" cm="1">
        <f t="array" ref="L582">IFERROR(DatumSzovegge5(INDEX(diakadat!$L$2:$L$50,MATCH(D582,diakadat!$J$2:$J$50,0),1)),"")</f>
        <v/>
      </c>
      <c r="M582" t="str" cm="1">
        <f t="array" ref="M582">IFERROR(DatumSzovegge3(INDEX(diakadat!$L$2:$L$50,MATCH(D582,diakadat!$J$2:$J$50,0),1)),"")</f>
        <v/>
      </c>
      <c r="N582" t="str" cm="1">
        <f t="array" ref="N582">IFERROR(DatumSzovegge4(INDEX(diakadat!$L$2:$L$50,MATCH(D582,diakadat!$J$2:$J$50,0),1)),"")</f>
        <v/>
      </c>
      <c r="O582" t="str">
        <f>IFERROR(INDEX(diakadat!$R$2:$R$50,MATCH(D582,diakadat!$J$2:$J$50,0),1),"")</f>
        <v/>
      </c>
      <c r="P582" t="str">
        <f>IFERROR(INDEX(diakadat!$AI$2:$AI$50,MATCH(D582,diakadat!$J$2:$J$50,0),1),"")</f>
        <v/>
      </c>
      <c r="Q582" t="str">
        <f>IFERROR(INDEX('rangsor'!$C$2:$C$343,MATCH(D582,'rangsor'!$A$2:$A$343,0),1),"")</f>
        <v/>
      </c>
      <c r="T582" t="s">
        <v>831</v>
      </c>
      <c r="U582" t="str" cm="1">
        <f t="array" ref="U582">Határozat(D582)</f>
        <v/>
      </c>
      <c r="AC582" t="str">
        <f>IFERROR(INDEX(diakadat!$U$2:$U$50,MATCH(D582,diakadat!$J$2:$J$50),1),"")</f>
        <v/>
      </c>
      <c r="AD582" t="str">
        <f>IFERROR(INDEX(diakadat!$V$2:$V$50,MATCH(D582,diakadat!$J$2:$J$50),1),"")</f>
        <v/>
      </c>
      <c r="AE582" t="str">
        <f>IFERROR(INDEX(diakadat!$W$2:$W$50,MATCH(D582,diakadat!$J$2:$J$50),1),"")</f>
        <v/>
      </c>
      <c r="AI582" t="str">
        <f>IFERROR(INDEX(diakadat!$X$2:$X$50,MATCH(D582,diakadat!$J$2:$J$50),1),"")</f>
        <v/>
      </c>
      <c r="AK582">
        <f t="shared" si="9"/>
        <v>329</v>
      </c>
      <c r="AL582" t="str" cm="1">
        <f t="array" ref="AL582">ElsoBetuNagy(R582)</f>
        <v/>
      </c>
      <c r="AO582" t="str" cm="1">
        <f t="array" ref="AO582">DatumSzovegge5(AN582)</f>
        <v>1899.</v>
      </c>
      <c r="AP582" t="str" cm="1">
        <f t="array" ref="AP582">DatumSzovegge3(AN582)</f>
        <v>december</v>
      </c>
      <c r="AQ582" t="str" cm="1">
        <f t="array" ref="AQ582">DatumSzovegge4(AN582)</f>
        <v>30.</v>
      </c>
    </row>
    <row r="583" spans="4:43" x14ac:dyDescent="0.25">
      <c r="D583" t="str" cm="1">
        <f t="array" ref="D583">SzuressNev($B$1,ROW()-1)</f>
        <v/>
      </c>
      <c r="E583">
        <f>COUNTIF($D$2:D583,D583)</f>
        <v>562</v>
      </c>
      <c r="F583" t="str" cm="1">
        <f t="array" ref="F583">ElutasitasEgyOk2(D583,E583)</f>
        <v/>
      </c>
      <c r="G583" t="str">
        <f>IFERROR(INDEX(diakadat!$I$2:$I$50,MATCH(D583,diakadat!$J$2:$J$50,0),1),"")</f>
        <v/>
      </c>
      <c r="H583" t="str">
        <f>IFERROR(INDEX(diakadat!$O$2:$O$50,MATCH(D583,diakadat!$J$2:$J$50,0),1),"")</f>
        <v/>
      </c>
      <c r="I583" t="str">
        <f>IFERROR(INDEX(diakadat!#REF!,MATCH(D583,diakadat!$J$2:$J$50,0),1),"")</f>
        <v/>
      </c>
      <c r="J583" t="str">
        <f>IFERROR(INDEX(diakadat!$K$2:$K$50,MATCH(D583,diakadat!$J$2:$J$50,0),1),"")</f>
        <v/>
      </c>
      <c r="K583" t="str" cm="1">
        <f t="array" ref="K583">IFERROR(DatumSzovegge2(INDEX(diakadat!$L$2:$L$50,MATCH(D583,diakadat!$J$2:$J$50,0),1)),"")</f>
        <v/>
      </c>
      <c r="L583" t="str" cm="1">
        <f t="array" ref="L583">IFERROR(DatumSzovegge5(INDEX(diakadat!$L$2:$L$50,MATCH(D583,diakadat!$J$2:$J$50,0),1)),"")</f>
        <v/>
      </c>
      <c r="M583" t="str" cm="1">
        <f t="array" ref="M583">IFERROR(DatumSzovegge3(INDEX(diakadat!$L$2:$L$50,MATCH(D583,diakadat!$J$2:$J$50,0),1)),"")</f>
        <v/>
      </c>
      <c r="N583" t="str" cm="1">
        <f t="array" ref="N583">IFERROR(DatumSzovegge4(INDEX(diakadat!$L$2:$L$50,MATCH(D583,diakadat!$J$2:$J$50,0),1)),"")</f>
        <v/>
      </c>
      <c r="O583" t="str">
        <f>IFERROR(INDEX(diakadat!$R$2:$R$50,MATCH(D583,diakadat!$J$2:$J$50,0),1),"")</f>
        <v/>
      </c>
      <c r="P583" t="str">
        <f>IFERROR(INDEX(diakadat!$AI$2:$AI$50,MATCH(D583,diakadat!$J$2:$J$50,0),1),"")</f>
        <v/>
      </c>
      <c r="Q583" t="str">
        <f>IFERROR(INDEX('rangsor'!$C$2:$C$343,MATCH(D583,'rangsor'!$A$2:$A$343,0),1),"")</f>
        <v/>
      </c>
      <c r="T583" t="s">
        <v>831</v>
      </c>
      <c r="U583" t="str" cm="1">
        <f t="array" ref="U583">Határozat(D583)</f>
        <v/>
      </c>
      <c r="AC583" t="str">
        <f>IFERROR(INDEX(diakadat!$U$2:$U$50,MATCH(D583,diakadat!$J$2:$J$50),1),"")</f>
        <v/>
      </c>
      <c r="AD583" t="str">
        <f>IFERROR(INDEX(diakadat!$V$2:$V$50,MATCH(D583,diakadat!$J$2:$J$50),1),"")</f>
        <v/>
      </c>
      <c r="AE583" t="str">
        <f>IFERROR(INDEX(diakadat!$W$2:$W$50,MATCH(D583,diakadat!$J$2:$J$50),1),"")</f>
        <v/>
      </c>
      <c r="AI583" t="str">
        <f>IFERROR(INDEX(diakadat!$X$2:$X$50,MATCH(D583,diakadat!$J$2:$J$50),1),"")</f>
        <v/>
      </c>
      <c r="AK583">
        <f t="shared" si="9"/>
        <v>329</v>
      </c>
      <c r="AL583" t="str" cm="1">
        <f t="array" ref="AL583">ElsoBetuNagy(R583)</f>
        <v/>
      </c>
      <c r="AO583" t="str" cm="1">
        <f t="array" ref="AO583">DatumSzovegge5(AN583)</f>
        <v>1899.</v>
      </c>
      <c r="AP583" t="str" cm="1">
        <f t="array" ref="AP583">DatumSzovegge3(AN583)</f>
        <v>december</v>
      </c>
      <c r="AQ583" t="str" cm="1">
        <f t="array" ref="AQ583">DatumSzovegge4(AN583)</f>
        <v>30.</v>
      </c>
    </row>
    <row r="584" spans="4:43" x14ac:dyDescent="0.25">
      <c r="D584" t="str" cm="1">
        <f t="array" ref="D584">SzuressNev($B$1,ROW()-1)</f>
        <v/>
      </c>
      <c r="E584">
        <f>COUNTIF($D$2:D584,D584)</f>
        <v>563</v>
      </c>
      <c r="F584" t="str" cm="1">
        <f t="array" ref="F584">ElutasitasEgyOk2(D584,E584)</f>
        <v/>
      </c>
      <c r="G584" t="str">
        <f>IFERROR(INDEX(diakadat!$I$2:$I$50,MATCH(D584,diakadat!$J$2:$J$50,0),1),"")</f>
        <v/>
      </c>
      <c r="H584" t="str">
        <f>IFERROR(INDEX(diakadat!$O$2:$O$50,MATCH(D584,diakadat!$J$2:$J$50,0),1),"")</f>
        <v/>
      </c>
      <c r="I584" t="str">
        <f>IFERROR(INDEX(diakadat!#REF!,MATCH(D584,diakadat!$J$2:$J$50,0),1),"")</f>
        <v/>
      </c>
      <c r="J584" t="str">
        <f>IFERROR(INDEX(diakadat!$K$2:$K$50,MATCH(D584,diakadat!$J$2:$J$50,0),1),"")</f>
        <v/>
      </c>
      <c r="K584" t="str" cm="1">
        <f t="array" ref="K584">IFERROR(DatumSzovegge2(INDEX(diakadat!$L$2:$L$50,MATCH(D584,diakadat!$J$2:$J$50,0),1)),"")</f>
        <v/>
      </c>
      <c r="L584" t="str" cm="1">
        <f t="array" ref="L584">IFERROR(DatumSzovegge5(INDEX(diakadat!$L$2:$L$50,MATCH(D584,diakadat!$J$2:$J$50,0),1)),"")</f>
        <v/>
      </c>
      <c r="M584" t="str" cm="1">
        <f t="array" ref="M584">IFERROR(DatumSzovegge3(INDEX(diakadat!$L$2:$L$50,MATCH(D584,diakadat!$J$2:$J$50,0),1)),"")</f>
        <v/>
      </c>
      <c r="N584" t="str" cm="1">
        <f t="array" ref="N584">IFERROR(DatumSzovegge4(INDEX(diakadat!$L$2:$L$50,MATCH(D584,diakadat!$J$2:$J$50,0),1)),"")</f>
        <v/>
      </c>
      <c r="O584" t="str">
        <f>IFERROR(INDEX(diakadat!$R$2:$R$50,MATCH(D584,diakadat!$J$2:$J$50,0),1),"")</f>
        <v/>
      </c>
      <c r="P584" t="str">
        <f>IFERROR(INDEX(diakadat!$AI$2:$AI$50,MATCH(D584,diakadat!$J$2:$J$50,0),1),"")</f>
        <v/>
      </c>
      <c r="Q584" t="str">
        <f>IFERROR(INDEX('rangsor'!$C$2:$C$343,MATCH(D584,'rangsor'!$A$2:$A$343,0),1),"")</f>
        <v/>
      </c>
      <c r="T584" t="s">
        <v>831</v>
      </c>
      <c r="U584" t="str" cm="1">
        <f t="array" ref="U584">Határozat(D584)</f>
        <v/>
      </c>
      <c r="AC584" t="str">
        <f>IFERROR(INDEX(diakadat!$U$2:$U$50,MATCH(D584,diakadat!$J$2:$J$50),1),"")</f>
        <v/>
      </c>
      <c r="AD584" t="str">
        <f>IFERROR(INDEX(diakadat!$V$2:$V$50,MATCH(D584,diakadat!$J$2:$J$50),1),"")</f>
        <v/>
      </c>
      <c r="AE584" t="str">
        <f>IFERROR(INDEX(diakadat!$W$2:$W$50,MATCH(D584,diakadat!$J$2:$J$50),1),"")</f>
        <v/>
      </c>
      <c r="AI584" t="str">
        <f>IFERROR(INDEX(diakadat!$X$2:$X$50,MATCH(D584,diakadat!$J$2:$J$50),1),"")</f>
        <v/>
      </c>
      <c r="AK584">
        <f t="shared" si="9"/>
        <v>329</v>
      </c>
      <c r="AL584" t="str" cm="1">
        <f t="array" ref="AL584">ElsoBetuNagy(R584)</f>
        <v/>
      </c>
      <c r="AO584" t="str" cm="1">
        <f t="array" ref="AO584">DatumSzovegge5(AN584)</f>
        <v>1899.</v>
      </c>
      <c r="AP584" t="str" cm="1">
        <f t="array" ref="AP584">DatumSzovegge3(AN584)</f>
        <v>december</v>
      </c>
      <c r="AQ584" t="str" cm="1">
        <f t="array" ref="AQ584">DatumSzovegge4(AN584)</f>
        <v>30.</v>
      </c>
    </row>
    <row r="585" spans="4:43" x14ac:dyDescent="0.25">
      <c r="D585" t="str" cm="1">
        <f t="array" ref="D585">SzuressNev($B$1,ROW()-1)</f>
        <v/>
      </c>
      <c r="E585">
        <f>COUNTIF($D$2:D593,D585)</f>
        <v>572</v>
      </c>
      <c r="F585" t="str" cm="1">
        <f t="array" ref="F585">ElutasitasEgyOk2(D585,E585)</f>
        <v/>
      </c>
      <c r="G585" t="str">
        <f>IFERROR(INDEX(diakadat!$I$2:$I$50,MATCH(D585,diakadat!$J$2:$J$50,0),1),"")</f>
        <v/>
      </c>
      <c r="H585" t="str">
        <f>IFERROR(INDEX(diakadat!$O$2:$O$50,MATCH(D585,diakadat!$J$2:$J$50,0),1),"")</f>
        <v/>
      </c>
      <c r="I585" t="str">
        <f>IFERROR(INDEX(diakadat!#REF!,MATCH(D585,diakadat!$J$2:$J$50,0),1),"")</f>
        <v/>
      </c>
      <c r="J585" t="str">
        <f>IFERROR(INDEX(diakadat!$K$2:$K$50,MATCH(D585,diakadat!$J$2:$J$50,0),1),"")</f>
        <v/>
      </c>
      <c r="K585" t="str" cm="1">
        <f t="array" ref="K585">IFERROR(DatumSzovegge2(INDEX(diakadat!$L$2:$L$50,MATCH(D585,diakadat!$J$2:$J$50,0),1)),"")</f>
        <v/>
      </c>
      <c r="L585" t="str" cm="1">
        <f t="array" ref="L585">IFERROR(DatumSzovegge5(INDEX(diakadat!$L$2:$L$50,MATCH(D585,diakadat!$J$2:$J$50,0),1)),"")</f>
        <v/>
      </c>
      <c r="M585" t="str" cm="1">
        <f t="array" ref="M585">IFERROR(DatumSzovegge3(INDEX(diakadat!$L$2:$L$50,MATCH(D585,diakadat!$J$2:$J$50,0),1)),"")</f>
        <v/>
      </c>
      <c r="N585" t="str" cm="1">
        <f t="array" ref="N585">IFERROR(DatumSzovegge4(INDEX(diakadat!$L$2:$L$50,MATCH(D585,diakadat!$J$2:$J$50,0),1)),"")</f>
        <v/>
      </c>
      <c r="O585" t="str">
        <f>IFERROR(INDEX(diakadat!$R$2:$R$50,MATCH(D585,diakadat!$J$2:$J$50,0),1),"")</f>
        <v/>
      </c>
      <c r="P585" t="str">
        <f>IFERROR(INDEX(diakadat!$AI$2:$AI$50,MATCH(D585,diakadat!$J$2:$J$50,0),1),"")</f>
        <v/>
      </c>
      <c r="Q585" t="str">
        <f>IFERROR(INDEX('rangsor'!$C$2:$C$343,MATCH(D585,'rangsor'!$A$2:$A$343,0),1),"")</f>
        <v/>
      </c>
      <c r="T585" t="s">
        <v>831</v>
      </c>
      <c r="U585" t="str" cm="1">
        <f t="array" ref="U585">Határozat(D585)</f>
        <v/>
      </c>
      <c r="AC585" t="str">
        <f>IFERROR(INDEX(diakadat!$U$2:$U$50,MATCH(D585,diakadat!$J$2:$J$50),1),"")</f>
        <v/>
      </c>
      <c r="AD585" t="str">
        <f>IFERROR(INDEX(diakadat!$V$2:$V$50,MATCH(D585,diakadat!$J$2:$J$50),1),"")</f>
        <v/>
      </c>
      <c r="AE585" t="str">
        <f>IFERROR(INDEX(diakadat!$W$2:$W$50,MATCH(D585,diakadat!$J$2:$J$50),1),"")</f>
        <v/>
      </c>
      <c r="AI585" t="str">
        <f>IFERROR(INDEX(diakadat!$X$2:$X$50,MATCH(D585,diakadat!$J$2:$J$50),1),"")</f>
        <v/>
      </c>
      <c r="AK585">
        <f t="shared" si="9"/>
        <v>329</v>
      </c>
      <c r="AL585" t="str" cm="1">
        <f t="array" ref="AL585">ElsoBetuNagy(R585)</f>
        <v/>
      </c>
      <c r="AO585" t="str" cm="1">
        <f t="array" ref="AO585">DatumSzovegge5(AN585)</f>
        <v>1899.</v>
      </c>
      <c r="AP585" t="str" cm="1">
        <f t="array" ref="AP585">DatumSzovegge3(AN585)</f>
        <v>december</v>
      </c>
      <c r="AQ585" t="str" cm="1">
        <f t="array" ref="AQ585">DatumSzovegge4(AN585)</f>
        <v>30.</v>
      </c>
    </row>
    <row r="586" spans="4:43" x14ac:dyDescent="0.25">
      <c r="D586" t="str" cm="1">
        <f t="array" ref="D586">SzuressNev($B$1,ROW()-1)</f>
        <v/>
      </c>
      <c r="E586">
        <f>COUNTIF($D$2:D586,D586)</f>
        <v>565</v>
      </c>
      <c r="F586" t="str" cm="1">
        <f t="array" ref="F586">ElutasitasEgyOk2(D586,E586)</f>
        <v/>
      </c>
      <c r="G586" t="str">
        <f>IFERROR(INDEX(diakadat!$I$2:$I$50,MATCH(D586,diakadat!$J$2:$J$50,0),1),"")</f>
        <v/>
      </c>
      <c r="H586" t="str">
        <f>IFERROR(INDEX(diakadat!$O$2:$O$50,MATCH(D586,diakadat!$J$2:$J$50,0),1),"")</f>
        <v/>
      </c>
      <c r="I586" t="str">
        <f>IFERROR(INDEX(diakadat!#REF!,MATCH(D586,diakadat!$J$2:$J$50,0),1),"")</f>
        <v/>
      </c>
      <c r="J586" t="str">
        <f>IFERROR(INDEX(diakadat!$K$2:$K$50,MATCH(D586,diakadat!$J$2:$J$50,0),1),"")</f>
        <v/>
      </c>
      <c r="K586" t="str" cm="1">
        <f t="array" ref="K586">IFERROR(DatumSzovegge2(INDEX(diakadat!$L$2:$L$50,MATCH(D586,diakadat!$J$2:$J$50,0),1)),"")</f>
        <v/>
      </c>
      <c r="L586" t="str" cm="1">
        <f t="array" ref="L586">IFERROR(DatumSzovegge5(INDEX(diakadat!$L$2:$L$50,MATCH(D586,diakadat!$J$2:$J$50,0),1)),"")</f>
        <v/>
      </c>
      <c r="M586" t="str" cm="1">
        <f t="array" ref="M586">IFERROR(DatumSzovegge3(INDEX(diakadat!$L$2:$L$50,MATCH(D586,diakadat!$J$2:$J$50,0),1)),"")</f>
        <v/>
      </c>
      <c r="N586" t="str" cm="1">
        <f t="array" ref="N586">IFERROR(DatumSzovegge4(INDEX(diakadat!$L$2:$L$50,MATCH(D586,diakadat!$J$2:$J$50,0),1)),"")</f>
        <v/>
      </c>
      <c r="O586" t="str">
        <f>IFERROR(INDEX(diakadat!$R$2:$R$50,MATCH(D586,diakadat!$J$2:$J$50,0),1),"")</f>
        <v/>
      </c>
      <c r="P586" t="str">
        <f>IFERROR(INDEX(diakadat!$AI$2:$AI$50,MATCH(D586,diakadat!$J$2:$J$50,0),1),"")</f>
        <v/>
      </c>
      <c r="Q586" t="str">
        <f>IFERROR(INDEX('rangsor'!$C$2:$C$343,MATCH(D586,'rangsor'!$A$2:$A$343,0),1),"")</f>
        <v/>
      </c>
      <c r="T586" t="s">
        <v>831</v>
      </c>
      <c r="U586" t="str" cm="1">
        <f t="array" ref="U586">Határozat(D586)</f>
        <v/>
      </c>
      <c r="AC586" t="str">
        <f>IFERROR(INDEX(diakadat!$U$2:$U$50,MATCH(D586,diakadat!$J$2:$J$50),1),"")</f>
        <v/>
      </c>
      <c r="AD586" t="str">
        <f>IFERROR(INDEX(diakadat!$V$2:$V$50,MATCH(D586,diakadat!$J$2:$J$50),1),"")</f>
        <v/>
      </c>
      <c r="AE586" t="str">
        <f>IFERROR(INDEX(diakadat!$W$2:$W$50,MATCH(D586,diakadat!$J$2:$J$50),1),"")</f>
        <v/>
      </c>
      <c r="AI586" t="str">
        <f>IFERROR(INDEX(diakadat!$X$2:$X$50,MATCH(D586,diakadat!$J$2:$J$50),1),"")</f>
        <v/>
      </c>
      <c r="AK586">
        <f t="shared" si="9"/>
        <v>329</v>
      </c>
      <c r="AL586" t="str" cm="1">
        <f t="array" ref="AL586">ElsoBetuNagy(R586)</f>
        <v/>
      </c>
      <c r="AO586" t="str" cm="1">
        <f t="array" ref="AO586">DatumSzovegge5(AN586)</f>
        <v>1899.</v>
      </c>
      <c r="AP586" t="str" cm="1">
        <f t="array" ref="AP586">DatumSzovegge3(AN586)</f>
        <v>december</v>
      </c>
      <c r="AQ586" t="str" cm="1">
        <f t="array" ref="AQ586">DatumSzovegge4(AN586)</f>
        <v>30.</v>
      </c>
    </row>
    <row r="587" spans="4:43" x14ac:dyDescent="0.25">
      <c r="D587" t="str" cm="1">
        <f t="array" ref="D587">SzuressNev($B$1,ROW()-1)</f>
        <v/>
      </c>
      <c r="E587">
        <f>COUNTIF($D$2:D587,D587)</f>
        <v>566</v>
      </c>
      <c r="F587" t="str" cm="1">
        <f t="array" ref="F587">ElutasitasEgyOk2(D587,E587)</f>
        <v/>
      </c>
      <c r="G587" t="str">
        <f>IFERROR(INDEX(diakadat!$I$2:$I$50,MATCH(D587,diakadat!$J$2:$J$50,0),1),"")</f>
        <v/>
      </c>
      <c r="H587" t="str">
        <f>IFERROR(INDEX(diakadat!$O$2:$O$50,MATCH(D587,diakadat!$J$2:$J$50,0),1),"")</f>
        <v/>
      </c>
      <c r="I587" t="str">
        <f>IFERROR(INDEX(diakadat!#REF!,MATCH(D587,diakadat!$J$2:$J$50,0),1),"")</f>
        <v/>
      </c>
      <c r="J587" t="str">
        <f>IFERROR(INDEX(diakadat!$K$2:$K$50,MATCH(D587,diakadat!$J$2:$J$50,0),1),"")</f>
        <v/>
      </c>
      <c r="K587" t="str" cm="1">
        <f t="array" ref="K587">IFERROR(DatumSzovegge2(INDEX(diakadat!$L$2:$L$50,MATCH(D587,diakadat!$J$2:$J$50,0),1)),"")</f>
        <v/>
      </c>
      <c r="L587" t="str" cm="1">
        <f t="array" ref="L587">IFERROR(DatumSzovegge5(INDEX(diakadat!$L$2:$L$50,MATCH(D587,diakadat!$J$2:$J$50,0),1)),"")</f>
        <v/>
      </c>
      <c r="M587" t="str" cm="1">
        <f t="array" ref="M587">IFERROR(DatumSzovegge3(INDEX(diakadat!$L$2:$L$50,MATCH(D587,diakadat!$J$2:$J$50,0),1)),"")</f>
        <v/>
      </c>
      <c r="N587" t="str" cm="1">
        <f t="array" ref="N587">IFERROR(DatumSzovegge4(INDEX(diakadat!$L$2:$L$50,MATCH(D587,diakadat!$J$2:$J$50,0),1)),"")</f>
        <v/>
      </c>
      <c r="O587" t="str">
        <f>IFERROR(INDEX(diakadat!$R$2:$R$50,MATCH(D587,diakadat!$J$2:$J$50,0),1),"")</f>
        <v/>
      </c>
      <c r="P587" t="str">
        <f>IFERROR(INDEX(diakadat!$AI$2:$AI$50,MATCH(D587,diakadat!$J$2:$J$50,0),1),"")</f>
        <v/>
      </c>
      <c r="Q587" t="str">
        <f>IFERROR(INDEX('rangsor'!$C$2:$C$343,MATCH(D587,'rangsor'!$A$2:$A$343,0),1),"")</f>
        <v/>
      </c>
      <c r="T587" t="s">
        <v>831</v>
      </c>
      <c r="U587" t="str" cm="1">
        <f t="array" ref="U587">Határozat(D587)</f>
        <v/>
      </c>
      <c r="AC587" t="str">
        <f>IFERROR(INDEX(diakadat!$U$2:$U$50,MATCH(D587,diakadat!$J$2:$J$50),1),"")</f>
        <v/>
      </c>
      <c r="AD587" t="str">
        <f>IFERROR(INDEX(diakadat!$V$2:$V$50,MATCH(D587,diakadat!$J$2:$J$50),1),"")</f>
        <v/>
      </c>
      <c r="AE587" t="str">
        <f>IFERROR(INDEX(diakadat!$W$2:$W$50,MATCH(D587,diakadat!$J$2:$J$50),1),"")</f>
        <v/>
      </c>
      <c r="AI587" t="str">
        <f>IFERROR(INDEX(diakadat!$X$2:$X$50,MATCH(D587,diakadat!$J$2:$J$50),1),"")</f>
        <v/>
      </c>
      <c r="AK587">
        <f t="shared" si="9"/>
        <v>329</v>
      </c>
      <c r="AL587" t="str" cm="1">
        <f t="array" ref="AL587">ElsoBetuNagy(R587)</f>
        <v/>
      </c>
      <c r="AO587" t="str" cm="1">
        <f t="array" ref="AO587">DatumSzovegge5(AN587)</f>
        <v>1899.</v>
      </c>
      <c r="AP587" t="str" cm="1">
        <f t="array" ref="AP587">DatumSzovegge3(AN587)</f>
        <v>december</v>
      </c>
      <c r="AQ587" t="str" cm="1">
        <f t="array" ref="AQ587">DatumSzovegge4(AN587)</f>
        <v>30.</v>
      </c>
    </row>
    <row r="588" spans="4:43" x14ac:dyDescent="0.25">
      <c r="D588" t="str" cm="1">
        <f t="array" ref="D588">SzuressNev($B$1,ROW()-1)</f>
        <v/>
      </c>
      <c r="E588">
        <f>COUNTIF($D$2:D588,D588)</f>
        <v>567</v>
      </c>
      <c r="F588" t="str" cm="1">
        <f t="array" ref="F588">ElutasitasEgyOk2(D588,E588)</f>
        <v/>
      </c>
      <c r="G588" t="str">
        <f>IFERROR(INDEX(diakadat!$I$2:$I$50,MATCH(D588,diakadat!$J$2:$J$50,0),1),"")</f>
        <v/>
      </c>
      <c r="H588" t="str">
        <f>IFERROR(INDEX(diakadat!$O$2:$O$50,MATCH(D588,diakadat!$J$2:$J$50,0),1),"")</f>
        <v/>
      </c>
      <c r="I588" t="str">
        <f>IFERROR(INDEX(diakadat!#REF!,MATCH(D588,diakadat!$J$2:$J$50,0),1),"")</f>
        <v/>
      </c>
      <c r="J588" t="str">
        <f>IFERROR(INDEX(diakadat!$K$2:$K$50,MATCH(D588,diakadat!$J$2:$J$50,0),1),"")</f>
        <v/>
      </c>
      <c r="K588" t="str" cm="1">
        <f t="array" ref="K588">IFERROR(DatumSzovegge2(INDEX(diakadat!$L$2:$L$50,MATCH(D588,diakadat!$J$2:$J$50,0),1)),"")</f>
        <v/>
      </c>
      <c r="L588" t="str" cm="1">
        <f t="array" ref="L588">IFERROR(DatumSzovegge5(INDEX(diakadat!$L$2:$L$50,MATCH(D588,diakadat!$J$2:$J$50,0),1)),"")</f>
        <v/>
      </c>
      <c r="M588" t="str" cm="1">
        <f t="array" ref="M588">IFERROR(DatumSzovegge3(INDEX(diakadat!$L$2:$L$50,MATCH(D588,diakadat!$J$2:$J$50,0),1)),"")</f>
        <v/>
      </c>
      <c r="N588" t="str" cm="1">
        <f t="array" ref="N588">IFERROR(DatumSzovegge4(INDEX(diakadat!$L$2:$L$50,MATCH(D588,diakadat!$J$2:$J$50,0),1)),"")</f>
        <v/>
      </c>
      <c r="O588" t="str">
        <f>IFERROR(INDEX(diakadat!$R$2:$R$50,MATCH(D588,diakadat!$J$2:$J$50,0),1),"")</f>
        <v/>
      </c>
      <c r="P588" t="str">
        <f>IFERROR(INDEX(diakadat!$AI$2:$AI$50,MATCH(D588,diakadat!$J$2:$J$50,0),1),"")</f>
        <v/>
      </c>
      <c r="Q588" t="str">
        <f>IFERROR(INDEX('rangsor'!$C$2:$C$343,MATCH(D588,'rangsor'!$A$2:$A$343,0),1),"")</f>
        <v/>
      </c>
      <c r="T588" t="s">
        <v>831</v>
      </c>
      <c r="U588" t="str" cm="1">
        <f t="array" ref="U588">Határozat(D588)</f>
        <v/>
      </c>
      <c r="AC588" t="str">
        <f>IFERROR(INDEX(diakadat!$U$2:$U$50,MATCH(D588,diakadat!$J$2:$J$50),1),"")</f>
        <v/>
      </c>
      <c r="AD588" t="str">
        <f>IFERROR(INDEX(diakadat!$V$2:$V$50,MATCH(D588,diakadat!$J$2:$J$50),1),"")</f>
        <v/>
      </c>
      <c r="AE588" t="str">
        <f>IFERROR(INDEX(diakadat!$W$2:$W$50,MATCH(D588,diakadat!$J$2:$J$50),1),"")</f>
        <v/>
      </c>
      <c r="AI588" t="str">
        <f>IFERROR(INDEX(diakadat!$X$2:$X$50,MATCH(D588,diakadat!$J$2:$J$50),1),"")</f>
        <v/>
      </c>
      <c r="AK588">
        <f t="shared" si="9"/>
        <v>329</v>
      </c>
      <c r="AL588" t="str" cm="1">
        <f t="array" ref="AL588">ElsoBetuNagy(R588)</f>
        <v/>
      </c>
      <c r="AO588" t="str" cm="1">
        <f t="array" ref="AO588">DatumSzovegge5(AN588)</f>
        <v>1899.</v>
      </c>
      <c r="AP588" t="str" cm="1">
        <f t="array" ref="AP588">DatumSzovegge3(AN588)</f>
        <v>december</v>
      </c>
      <c r="AQ588" t="str" cm="1">
        <f t="array" ref="AQ588">DatumSzovegge4(AN588)</f>
        <v>30.</v>
      </c>
    </row>
    <row r="589" spans="4:43" x14ac:dyDescent="0.25">
      <c r="D589" t="str" cm="1">
        <f t="array" ref="D589">SzuressNev($B$1,ROW()-1)</f>
        <v/>
      </c>
      <c r="E589">
        <f>COUNTIF($D$2:D589,D589)</f>
        <v>568</v>
      </c>
      <c r="F589" t="str" cm="1">
        <f t="array" ref="F589">ElutasitasEgyOk2(D589,E589)</f>
        <v/>
      </c>
      <c r="G589" t="str">
        <f>IFERROR(INDEX(diakadat!$I$2:$I$50,MATCH(D589,diakadat!$J$2:$J$50,0),1),"")</f>
        <v/>
      </c>
      <c r="H589" t="str">
        <f>IFERROR(INDEX(diakadat!$O$2:$O$50,MATCH(D589,diakadat!$J$2:$J$50,0),1),"")</f>
        <v/>
      </c>
      <c r="I589" t="str">
        <f>IFERROR(INDEX(diakadat!#REF!,MATCH(D589,diakadat!$J$2:$J$50,0),1),"")</f>
        <v/>
      </c>
      <c r="J589" t="str">
        <f>IFERROR(INDEX(diakadat!$K$2:$K$50,MATCH(D589,diakadat!$J$2:$J$50,0),1),"")</f>
        <v/>
      </c>
      <c r="K589" t="str" cm="1">
        <f t="array" ref="K589">IFERROR(DatumSzovegge2(INDEX(diakadat!$L$2:$L$50,MATCH(D589,diakadat!$J$2:$J$50,0),1)),"")</f>
        <v/>
      </c>
      <c r="L589" t="str" cm="1">
        <f t="array" ref="L589">IFERROR(DatumSzovegge5(INDEX(diakadat!$L$2:$L$50,MATCH(D589,diakadat!$J$2:$J$50,0),1)),"")</f>
        <v/>
      </c>
      <c r="M589" t="str" cm="1">
        <f t="array" ref="M589">IFERROR(DatumSzovegge3(INDEX(diakadat!$L$2:$L$50,MATCH(D589,diakadat!$J$2:$J$50,0),1)),"")</f>
        <v/>
      </c>
      <c r="N589" t="str" cm="1">
        <f t="array" ref="N589">IFERROR(DatumSzovegge4(INDEX(diakadat!$L$2:$L$50,MATCH(D589,diakadat!$J$2:$J$50,0),1)),"")</f>
        <v/>
      </c>
      <c r="O589" t="str">
        <f>IFERROR(INDEX(diakadat!$R$2:$R$50,MATCH(D589,diakadat!$J$2:$J$50,0),1),"")</f>
        <v/>
      </c>
      <c r="P589" t="str">
        <f>IFERROR(INDEX(diakadat!$AI$2:$AI$50,MATCH(D589,diakadat!$J$2:$J$50,0),1),"")</f>
        <v/>
      </c>
      <c r="Q589" t="str">
        <f>IFERROR(INDEX('rangsor'!$C$2:$C$343,MATCH(D589,'rangsor'!$A$2:$A$343,0),1),"")</f>
        <v/>
      </c>
      <c r="T589" t="s">
        <v>831</v>
      </c>
      <c r="U589" t="str" cm="1">
        <f t="array" ref="U589">Határozat(D589)</f>
        <v/>
      </c>
      <c r="AC589" t="str">
        <f>IFERROR(INDEX(diakadat!$U$2:$U$50,MATCH(D589,diakadat!$J$2:$J$50),1),"")</f>
        <v/>
      </c>
      <c r="AD589" t="str">
        <f>IFERROR(INDEX(diakadat!$V$2:$V$50,MATCH(D589,diakadat!$J$2:$J$50),1),"")</f>
        <v/>
      </c>
      <c r="AE589" t="str">
        <f>IFERROR(INDEX(diakadat!$W$2:$W$50,MATCH(D589,diakadat!$J$2:$J$50),1),"")</f>
        <v/>
      </c>
      <c r="AI589" t="str">
        <f>IFERROR(INDEX(diakadat!$X$2:$X$50,MATCH(D589,diakadat!$J$2:$J$50),1),"")</f>
        <v/>
      </c>
      <c r="AK589">
        <f t="shared" si="9"/>
        <v>329</v>
      </c>
      <c r="AL589" t="str" cm="1">
        <f t="array" ref="AL589">ElsoBetuNagy(R589)</f>
        <v/>
      </c>
      <c r="AO589" t="str" cm="1">
        <f t="array" ref="AO589">DatumSzovegge5(AN589)</f>
        <v>1899.</v>
      </c>
      <c r="AP589" t="str" cm="1">
        <f t="array" ref="AP589">DatumSzovegge3(AN589)</f>
        <v>december</v>
      </c>
      <c r="AQ589" t="str" cm="1">
        <f t="array" ref="AQ589">DatumSzovegge4(AN589)</f>
        <v>30.</v>
      </c>
    </row>
    <row r="590" spans="4:43" x14ac:dyDescent="0.25">
      <c r="D590" t="str" cm="1">
        <f t="array" ref="D590">SzuressNev($B$1,ROW()-1)</f>
        <v/>
      </c>
      <c r="E590">
        <f>COUNTIF($D$2:D590,D590)</f>
        <v>569</v>
      </c>
      <c r="F590" t="str" cm="1">
        <f t="array" ref="F590">ElutasitasEgyOk2(D590,E590)</f>
        <v/>
      </c>
      <c r="G590" t="str">
        <f>IFERROR(INDEX(diakadat!$I$2:$I$50,MATCH(D590,diakadat!$J$2:$J$50,0),1),"")</f>
        <v/>
      </c>
      <c r="H590" t="str">
        <f>IFERROR(INDEX(diakadat!$O$2:$O$50,MATCH(D590,diakadat!$J$2:$J$50,0),1),"")</f>
        <v/>
      </c>
      <c r="I590" t="str">
        <f>IFERROR(INDEX(diakadat!#REF!,MATCH(D590,diakadat!$J$2:$J$50,0),1),"")</f>
        <v/>
      </c>
      <c r="J590" t="str">
        <f>IFERROR(INDEX(diakadat!$K$2:$K$50,MATCH(D590,diakadat!$J$2:$J$50,0),1),"")</f>
        <v/>
      </c>
      <c r="K590" t="str" cm="1">
        <f t="array" ref="K590">IFERROR(DatumSzovegge2(INDEX(diakadat!$L$2:$L$50,MATCH(D590,diakadat!$J$2:$J$50,0),1)),"")</f>
        <v/>
      </c>
      <c r="L590" t="str" cm="1">
        <f t="array" ref="L590">IFERROR(DatumSzovegge5(INDEX(diakadat!$L$2:$L$50,MATCH(D590,diakadat!$J$2:$J$50,0),1)),"")</f>
        <v/>
      </c>
      <c r="M590" t="str" cm="1">
        <f t="array" ref="M590">IFERROR(DatumSzovegge3(INDEX(diakadat!$L$2:$L$50,MATCH(D590,diakadat!$J$2:$J$50,0),1)),"")</f>
        <v/>
      </c>
      <c r="N590" t="str" cm="1">
        <f t="array" ref="N590">IFERROR(DatumSzovegge4(INDEX(diakadat!$L$2:$L$50,MATCH(D590,diakadat!$J$2:$J$50,0),1)),"")</f>
        <v/>
      </c>
      <c r="O590" t="str">
        <f>IFERROR(INDEX(diakadat!$R$2:$R$50,MATCH(D590,diakadat!$J$2:$J$50,0),1),"")</f>
        <v/>
      </c>
      <c r="P590" t="str">
        <f>IFERROR(INDEX(diakadat!$AI$2:$AI$50,MATCH(D590,diakadat!$J$2:$J$50,0),1),"")</f>
        <v/>
      </c>
      <c r="Q590" t="str">
        <f>IFERROR(INDEX('rangsor'!$C$2:$C$343,MATCH(D590,'rangsor'!$A$2:$A$343,0),1),"")</f>
        <v/>
      </c>
      <c r="T590" t="s">
        <v>831</v>
      </c>
      <c r="U590" t="str" cm="1">
        <f t="array" ref="U590">Határozat(D590)</f>
        <v/>
      </c>
      <c r="AC590" t="str">
        <f>IFERROR(INDEX(diakadat!$U$2:$U$50,MATCH(D590,diakadat!$J$2:$J$50),1),"")</f>
        <v/>
      </c>
      <c r="AD590" t="str">
        <f>IFERROR(INDEX(diakadat!$V$2:$V$50,MATCH(D590,diakadat!$J$2:$J$50),1),"")</f>
        <v/>
      </c>
      <c r="AE590" t="str">
        <f>IFERROR(INDEX(diakadat!$W$2:$W$50,MATCH(D590,diakadat!$J$2:$J$50),1),"")</f>
        <v/>
      </c>
      <c r="AI590" t="str">
        <f>IFERROR(INDEX(diakadat!$X$2:$X$50,MATCH(D590,diakadat!$J$2:$J$50),1),"")</f>
        <v/>
      </c>
      <c r="AK590">
        <f t="shared" si="9"/>
        <v>329</v>
      </c>
      <c r="AL590" t="str" cm="1">
        <f t="array" ref="AL590">ElsoBetuNagy(R590)</f>
        <v/>
      </c>
      <c r="AO590" t="str" cm="1">
        <f t="array" ref="AO590">DatumSzovegge5(AN590)</f>
        <v>1899.</v>
      </c>
      <c r="AP590" t="str" cm="1">
        <f t="array" ref="AP590">DatumSzovegge3(AN590)</f>
        <v>december</v>
      </c>
      <c r="AQ590" t="str" cm="1">
        <f t="array" ref="AQ590">DatumSzovegge4(AN590)</f>
        <v>30.</v>
      </c>
    </row>
    <row r="591" spans="4:43" x14ac:dyDescent="0.25">
      <c r="D591" t="str" cm="1">
        <f t="array" ref="D591">SzuressNev($B$1,ROW()-1)</f>
        <v/>
      </c>
      <c r="E591">
        <f>COUNTIF($D$2:D591,D591)</f>
        <v>570</v>
      </c>
      <c r="F591" t="str" cm="1">
        <f t="array" ref="F591">ElutasitasEgyOk2(D591,E591)</f>
        <v/>
      </c>
      <c r="G591" t="str">
        <f>IFERROR(INDEX(diakadat!$I$2:$I$50,MATCH(D591,diakadat!$J$2:$J$50,0),1),"")</f>
        <v/>
      </c>
      <c r="H591" t="str">
        <f>IFERROR(INDEX(diakadat!$O$2:$O$50,MATCH(D591,diakadat!$J$2:$J$50,0),1),"")</f>
        <v/>
      </c>
      <c r="I591" t="str">
        <f>IFERROR(INDEX(diakadat!#REF!,MATCH(D591,diakadat!$J$2:$J$50,0),1),"")</f>
        <v/>
      </c>
      <c r="J591" t="str">
        <f>IFERROR(INDEX(diakadat!$K$2:$K$50,MATCH(D591,diakadat!$J$2:$J$50,0),1),"")</f>
        <v/>
      </c>
      <c r="K591" t="str" cm="1">
        <f t="array" ref="K591">IFERROR(DatumSzovegge2(INDEX(diakadat!$L$2:$L$50,MATCH(D591,diakadat!$J$2:$J$50,0),1)),"")</f>
        <v/>
      </c>
      <c r="L591" t="str" cm="1">
        <f t="array" ref="L591">IFERROR(DatumSzovegge5(INDEX(diakadat!$L$2:$L$50,MATCH(D591,diakadat!$J$2:$J$50,0),1)),"")</f>
        <v/>
      </c>
      <c r="M591" t="str" cm="1">
        <f t="array" ref="M591">IFERROR(DatumSzovegge3(INDEX(diakadat!$L$2:$L$50,MATCH(D591,diakadat!$J$2:$J$50,0),1)),"")</f>
        <v/>
      </c>
      <c r="N591" t="str" cm="1">
        <f t="array" ref="N591">IFERROR(DatumSzovegge4(INDEX(diakadat!$L$2:$L$50,MATCH(D591,diakadat!$J$2:$J$50,0),1)),"")</f>
        <v/>
      </c>
      <c r="O591" t="str">
        <f>IFERROR(INDEX(diakadat!$R$2:$R$50,MATCH(D591,diakadat!$J$2:$J$50,0),1),"")</f>
        <v/>
      </c>
      <c r="P591" t="str">
        <f>IFERROR(INDEX(diakadat!$AI$2:$AI$50,MATCH(D591,diakadat!$J$2:$J$50,0),1),"")</f>
        <v/>
      </c>
      <c r="Q591" t="str">
        <f>IFERROR(INDEX('rangsor'!$C$2:$C$343,MATCH(D591,'rangsor'!$A$2:$A$343,0),1),"")</f>
        <v/>
      </c>
      <c r="T591" t="s">
        <v>831</v>
      </c>
      <c r="U591" t="str" cm="1">
        <f t="array" ref="U591">Határozat(D591)</f>
        <v/>
      </c>
      <c r="AC591" t="str">
        <f>IFERROR(INDEX(diakadat!$U$2:$U$50,MATCH(D591,diakadat!$J$2:$J$50),1),"")</f>
        <v/>
      </c>
      <c r="AD591" t="str">
        <f>IFERROR(INDEX(diakadat!$V$2:$V$50,MATCH(D591,diakadat!$J$2:$J$50),1),"")</f>
        <v/>
      </c>
      <c r="AE591" t="str">
        <f>IFERROR(INDEX(diakadat!$W$2:$W$50,MATCH(D591,diakadat!$J$2:$J$50),1),"")</f>
        <v/>
      </c>
      <c r="AI591" t="str">
        <f>IFERROR(INDEX(diakadat!$X$2:$X$50,MATCH(D591,diakadat!$J$2:$J$50),1),"")</f>
        <v/>
      </c>
      <c r="AK591">
        <f t="shared" si="9"/>
        <v>329</v>
      </c>
      <c r="AL591" t="str" cm="1">
        <f t="array" ref="AL591">ElsoBetuNagy(R591)</f>
        <v/>
      </c>
      <c r="AO591" t="str" cm="1">
        <f t="array" ref="AO591">DatumSzovegge5(AN591)</f>
        <v>1899.</v>
      </c>
      <c r="AP591" t="str" cm="1">
        <f t="array" ref="AP591">DatumSzovegge3(AN591)</f>
        <v>december</v>
      </c>
      <c r="AQ591" t="str" cm="1">
        <f t="array" ref="AQ591">DatumSzovegge4(AN591)</f>
        <v>30.</v>
      </c>
    </row>
    <row r="592" spans="4:43" x14ac:dyDescent="0.25">
      <c r="D592" t="str" cm="1">
        <f t="array" ref="D592">SzuressNev($B$1,ROW()-1)</f>
        <v/>
      </c>
      <c r="E592">
        <f>COUNTIF($D$2:D592,D592)</f>
        <v>571</v>
      </c>
      <c r="F592" t="str" cm="1">
        <f t="array" ref="F592">ElutasitasEgyOk2(D592,E592)</f>
        <v/>
      </c>
      <c r="G592" t="str">
        <f>IFERROR(INDEX(diakadat!$I$2:$I$50,MATCH(D592,diakadat!$J$2:$J$50,0),1),"")</f>
        <v/>
      </c>
      <c r="H592" t="str">
        <f>IFERROR(INDEX(diakadat!$O$2:$O$50,MATCH(D592,diakadat!$J$2:$J$50,0),1),"")</f>
        <v/>
      </c>
      <c r="I592" t="str">
        <f>IFERROR(INDEX(diakadat!#REF!,MATCH(D592,diakadat!$J$2:$J$50,0),1),"")</f>
        <v/>
      </c>
      <c r="J592" t="str">
        <f>IFERROR(INDEX(diakadat!$K$2:$K$50,MATCH(D592,diakadat!$J$2:$J$50,0),1),"")</f>
        <v/>
      </c>
      <c r="K592" t="str" cm="1">
        <f t="array" ref="K592">IFERROR(DatumSzovegge2(INDEX(diakadat!$L$2:$L$50,MATCH(D592,diakadat!$J$2:$J$50,0),1)),"")</f>
        <v/>
      </c>
      <c r="L592" t="str" cm="1">
        <f t="array" ref="L592">IFERROR(DatumSzovegge5(INDEX(diakadat!$L$2:$L$50,MATCH(D592,diakadat!$J$2:$J$50,0),1)),"")</f>
        <v/>
      </c>
      <c r="M592" t="str" cm="1">
        <f t="array" ref="M592">IFERROR(DatumSzovegge3(INDEX(diakadat!$L$2:$L$50,MATCH(D592,diakadat!$J$2:$J$50,0),1)),"")</f>
        <v/>
      </c>
      <c r="N592" t="str" cm="1">
        <f t="array" ref="N592">IFERROR(DatumSzovegge4(INDEX(diakadat!$L$2:$L$50,MATCH(D592,diakadat!$J$2:$J$50,0),1)),"")</f>
        <v/>
      </c>
      <c r="O592" t="str">
        <f>IFERROR(INDEX(diakadat!$R$2:$R$50,MATCH(D592,diakadat!$J$2:$J$50,0),1),"")</f>
        <v/>
      </c>
      <c r="P592" t="str">
        <f>IFERROR(INDEX(diakadat!$AI$2:$AI$50,MATCH(D592,diakadat!$J$2:$J$50,0),1),"")</f>
        <v/>
      </c>
      <c r="Q592" t="str">
        <f>IFERROR(INDEX('rangsor'!$C$2:$C$343,MATCH(D592,'rangsor'!$A$2:$A$343,0),1),"")</f>
        <v/>
      </c>
      <c r="T592" t="s">
        <v>831</v>
      </c>
      <c r="U592" t="str" cm="1">
        <f t="array" ref="U592">Határozat(D592)</f>
        <v/>
      </c>
      <c r="AC592" t="str">
        <f>IFERROR(INDEX(diakadat!$U$2:$U$50,MATCH(D592,diakadat!$J$2:$J$50),1),"")</f>
        <v/>
      </c>
      <c r="AD592" t="str">
        <f>IFERROR(INDEX(diakadat!$V$2:$V$50,MATCH(D592,diakadat!$J$2:$J$50),1),"")</f>
        <v/>
      </c>
      <c r="AE592" t="str">
        <f>IFERROR(INDEX(diakadat!$W$2:$W$50,MATCH(D592,diakadat!$J$2:$J$50),1),"")</f>
        <v/>
      </c>
      <c r="AI592" t="str">
        <f>IFERROR(INDEX(diakadat!$X$2:$X$50,MATCH(D592,diakadat!$J$2:$J$50),1),"")</f>
        <v/>
      </c>
      <c r="AK592">
        <f t="shared" si="9"/>
        <v>329</v>
      </c>
      <c r="AL592" t="str" cm="1">
        <f t="array" ref="AL592">ElsoBetuNagy(R592)</f>
        <v/>
      </c>
      <c r="AO592" t="str" cm="1">
        <f t="array" ref="AO592">DatumSzovegge5(AN592)</f>
        <v>1899.</v>
      </c>
      <c r="AP592" t="str" cm="1">
        <f t="array" ref="AP592">DatumSzovegge3(AN592)</f>
        <v>december</v>
      </c>
      <c r="AQ592" t="str" cm="1">
        <f t="array" ref="AQ592">DatumSzovegge4(AN592)</f>
        <v>30.</v>
      </c>
    </row>
    <row r="593" spans="4:43" x14ac:dyDescent="0.25">
      <c r="D593" t="str" cm="1">
        <f t="array" ref="D593">SzuressNev($B$1,ROW()-1)</f>
        <v/>
      </c>
      <c r="E593">
        <f>COUNTIF($D$2:D593,D593)</f>
        <v>572</v>
      </c>
      <c r="F593" t="str" cm="1">
        <f t="array" ref="F593">ElutasitasEgyOk2(D593,E593)</f>
        <v/>
      </c>
      <c r="G593" t="str">
        <f>IFERROR(INDEX(diakadat!$I$2:$I$50,MATCH(D593,diakadat!$J$2:$J$50,0),1),"")</f>
        <v/>
      </c>
      <c r="H593" t="str">
        <f>IFERROR(INDEX(diakadat!$O$2:$O$50,MATCH(D593,diakadat!$J$2:$J$50,0),1),"")</f>
        <v/>
      </c>
      <c r="I593" t="str">
        <f>IFERROR(INDEX(diakadat!#REF!,MATCH(D593,diakadat!$J$2:$J$50,0),1),"")</f>
        <v/>
      </c>
      <c r="J593" t="str">
        <f>IFERROR(INDEX(diakadat!$K$2:$K$50,MATCH(D593,diakadat!$J$2:$J$50,0),1),"")</f>
        <v/>
      </c>
      <c r="K593" t="str" cm="1">
        <f t="array" ref="K593">IFERROR(DatumSzovegge2(INDEX(diakadat!$L$2:$L$50,MATCH(D593,diakadat!$J$2:$J$50,0),1)),"")</f>
        <v/>
      </c>
      <c r="L593" t="str" cm="1">
        <f t="array" ref="L593">IFERROR(DatumSzovegge5(INDEX(diakadat!$L$2:$L$50,MATCH(D593,diakadat!$J$2:$J$50,0),1)),"")</f>
        <v/>
      </c>
      <c r="M593" t="str" cm="1">
        <f t="array" ref="M593">IFERROR(DatumSzovegge3(INDEX(diakadat!$L$2:$L$50,MATCH(D593,diakadat!$J$2:$J$50,0),1)),"")</f>
        <v/>
      </c>
      <c r="N593" t="str" cm="1">
        <f t="array" ref="N593">IFERROR(DatumSzovegge4(INDEX(diakadat!$L$2:$L$50,MATCH(D593,diakadat!$J$2:$J$50,0),1)),"")</f>
        <v/>
      </c>
      <c r="O593" t="str">
        <f>IFERROR(INDEX(diakadat!$R$2:$R$50,MATCH(D593,diakadat!$J$2:$J$50,0),1),"")</f>
        <v/>
      </c>
      <c r="P593" t="str">
        <f>IFERROR(INDEX(diakadat!$AI$2:$AI$50,MATCH(D593,diakadat!$J$2:$J$50,0),1),"")</f>
        <v/>
      </c>
      <c r="Q593" t="str">
        <f>IFERROR(INDEX('rangsor'!$C$2:$C$343,MATCH(D593,'rangsor'!$A$2:$A$343,0),1),"")</f>
        <v/>
      </c>
      <c r="T593" t="s">
        <v>831</v>
      </c>
      <c r="U593" t="str" cm="1">
        <f t="array" ref="U593">Határozat(D593)</f>
        <v/>
      </c>
      <c r="AC593" t="str">
        <f>IFERROR(INDEX(diakadat!$U$2:$U$50,MATCH(D593,diakadat!$J$2:$J$50),1),"")</f>
        <v/>
      </c>
      <c r="AD593" t="str">
        <f>IFERROR(INDEX(diakadat!$V$2:$V$50,MATCH(D593,diakadat!$J$2:$J$50),1),"")</f>
        <v/>
      </c>
      <c r="AE593" t="str">
        <f>IFERROR(INDEX(diakadat!$W$2:$W$50,MATCH(D593,diakadat!$J$2:$J$50),1),"")</f>
        <v/>
      </c>
      <c r="AI593" t="str">
        <f>IFERROR(INDEX(diakadat!$X$2:$X$50,MATCH(D593,diakadat!$J$2:$J$50),1),"")</f>
        <v/>
      </c>
      <c r="AK593">
        <f t="shared" si="9"/>
        <v>329</v>
      </c>
      <c r="AL593" t="str" cm="1">
        <f t="array" ref="AL593">ElsoBetuNagy(R593)</f>
        <v/>
      </c>
      <c r="AO593" t="str" cm="1">
        <f t="array" ref="AO593">DatumSzovegge5(AN593)</f>
        <v>1899.</v>
      </c>
      <c r="AP593" t="str" cm="1">
        <f t="array" ref="AP593">DatumSzovegge3(AN593)</f>
        <v>december</v>
      </c>
      <c r="AQ593" t="str" cm="1">
        <f t="array" ref="AQ593">DatumSzovegge4(AN593)</f>
        <v>30.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12822B-1453-44BC-99CD-06DF5B319F91}">
          <x14:formula1>
            <xm:f>adatok!$B$3:$B$6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C6EA7-58FA-468A-9028-E6BC26EC7B1E}">
  <sheetPr codeName="Munka3"/>
  <dimension ref="A1:G20"/>
  <sheetViews>
    <sheetView workbookViewId="0">
      <selection activeCell="B1" sqref="B1"/>
    </sheetView>
  </sheetViews>
  <sheetFormatPr defaultRowHeight="15" x14ac:dyDescent="0.25"/>
  <cols>
    <col min="2" max="2" width="13.85546875" customWidth="1"/>
    <col min="4" max="4" width="31" bestFit="1" customWidth="1"/>
    <col min="5" max="5" width="16.42578125" customWidth="1"/>
    <col min="6" max="6" width="11.140625" customWidth="1"/>
    <col min="7" max="7" width="16.5703125" bestFit="1" customWidth="1"/>
  </cols>
  <sheetData>
    <row r="1" spans="1:7" x14ac:dyDescent="0.25">
      <c r="B1" s="4">
        <v>3000</v>
      </c>
      <c r="D1" t="s">
        <v>1121</v>
      </c>
      <c r="E1" t="s">
        <v>676</v>
      </c>
      <c r="F1" t="s">
        <v>1132</v>
      </c>
      <c r="G1" t="s">
        <v>1376</v>
      </c>
    </row>
    <row r="2" spans="1:7" x14ac:dyDescent="0.25">
      <c r="D2" t="s">
        <v>752</v>
      </c>
      <c r="E2">
        <v>73289680271</v>
      </c>
      <c r="F2">
        <v>167.5</v>
      </c>
      <c r="G2">
        <v>2</v>
      </c>
    </row>
    <row r="3" spans="1:7" x14ac:dyDescent="0.25">
      <c r="D3" s="5" t="s">
        <v>769</v>
      </c>
      <c r="E3" s="5">
        <v>73269531256</v>
      </c>
      <c r="F3" s="5">
        <v>162.5</v>
      </c>
      <c r="G3" s="5">
        <v>5</v>
      </c>
    </row>
    <row r="4" spans="1:7" x14ac:dyDescent="0.25">
      <c r="A4" s="7"/>
      <c r="B4" t="s">
        <v>1377</v>
      </c>
      <c r="D4" t="s">
        <v>768</v>
      </c>
      <c r="E4">
        <v>73371455056</v>
      </c>
      <c r="F4">
        <v>154</v>
      </c>
      <c r="G4">
        <v>14</v>
      </c>
    </row>
    <row r="5" spans="1:7" x14ac:dyDescent="0.25">
      <c r="A5" s="8"/>
      <c r="B5" t="s">
        <v>1378</v>
      </c>
      <c r="D5" t="s">
        <v>750</v>
      </c>
      <c r="E5">
        <v>73323923130</v>
      </c>
      <c r="F5">
        <v>153.75</v>
      </c>
      <c r="G5">
        <v>15</v>
      </c>
    </row>
    <row r="6" spans="1:7" x14ac:dyDescent="0.25">
      <c r="A6" s="9"/>
      <c r="B6" t="s">
        <v>1379</v>
      </c>
      <c r="D6" t="s">
        <v>753</v>
      </c>
      <c r="E6">
        <v>73385370685</v>
      </c>
      <c r="F6">
        <v>153.75</v>
      </c>
      <c r="G6">
        <v>15</v>
      </c>
    </row>
    <row r="7" spans="1:7" x14ac:dyDescent="0.25">
      <c r="D7" t="s">
        <v>735</v>
      </c>
      <c r="E7">
        <v>73388845979</v>
      </c>
      <c r="F7">
        <v>150.25</v>
      </c>
      <c r="G7">
        <v>22</v>
      </c>
    </row>
    <row r="8" spans="1:7" x14ac:dyDescent="0.25">
      <c r="D8" t="s">
        <v>748</v>
      </c>
      <c r="E8">
        <v>73367953419</v>
      </c>
      <c r="F8">
        <v>145.25</v>
      </c>
      <c r="G8">
        <v>24</v>
      </c>
    </row>
    <row r="9" spans="1:7" x14ac:dyDescent="0.25">
      <c r="D9" t="s">
        <v>754</v>
      </c>
      <c r="E9">
        <v>73282349738</v>
      </c>
      <c r="F9">
        <v>142.75</v>
      </c>
      <c r="G9">
        <v>27</v>
      </c>
    </row>
    <row r="10" spans="1:7" x14ac:dyDescent="0.25">
      <c r="D10" t="s">
        <v>772</v>
      </c>
      <c r="E10">
        <v>73370345443</v>
      </c>
      <c r="F10">
        <v>131.75</v>
      </c>
      <c r="G10">
        <v>31</v>
      </c>
    </row>
    <row r="11" spans="1:7" x14ac:dyDescent="0.25">
      <c r="D11" t="s">
        <v>731</v>
      </c>
      <c r="E11">
        <v>73346759634</v>
      </c>
      <c r="F11">
        <v>128.75</v>
      </c>
      <c r="G11">
        <v>33</v>
      </c>
    </row>
    <row r="12" spans="1:7" x14ac:dyDescent="0.25">
      <c r="D12" t="s">
        <v>740</v>
      </c>
      <c r="E12">
        <v>73298801803</v>
      </c>
      <c r="F12">
        <v>126.25</v>
      </c>
      <c r="G12">
        <v>35</v>
      </c>
    </row>
    <row r="13" spans="1:7" x14ac:dyDescent="0.25">
      <c r="D13" t="s">
        <v>730</v>
      </c>
      <c r="E13">
        <v>73346762228</v>
      </c>
      <c r="F13">
        <v>115</v>
      </c>
      <c r="G13">
        <v>41</v>
      </c>
    </row>
    <row r="14" spans="1:7" x14ac:dyDescent="0.25">
      <c r="D14" t="s">
        <v>767</v>
      </c>
      <c r="E14">
        <v>73375753833</v>
      </c>
      <c r="F14">
        <v>111.25</v>
      </c>
      <c r="G14">
        <v>42</v>
      </c>
    </row>
    <row r="15" spans="1:7" x14ac:dyDescent="0.25">
      <c r="D15" t="s">
        <v>763</v>
      </c>
      <c r="E15">
        <v>73386303079</v>
      </c>
      <c r="F15">
        <v>106.5</v>
      </c>
      <c r="G15">
        <v>43</v>
      </c>
    </row>
    <row r="16" spans="1:7" x14ac:dyDescent="0.25">
      <c r="D16" t="s">
        <v>718</v>
      </c>
      <c r="E16">
        <v>73386081758</v>
      </c>
      <c r="F16">
        <v>102.5</v>
      </c>
      <c r="G16">
        <v>44</v>
      </c>
    </row>
    <row r="17" spans="4:7" x14ac:dyDescent="0.25">
      <c r="D17" t="s">
        <v>1431</v>
      </c>
      <c r="E17">
        <v>73373058500</v>
      </c>
      <c r="F17">
        <v>102.5</v>
      </c>
      <c r="G17">
        <v>44</v>
      </c>
    </row>
    <row r="18" spans="4:7" x14ac:dyDescent="0.25">
      <c r="D18" t="s">
        <v>743</v>
      </c>
      <c r="E18">
        <v>73379130360</v>
      </c>
      <c r="F18">
        <v>102</v>
      </c>
      <c r="G18">
        <v>46</v>
      </c>
    </row>
    <row r="19" spans="4:7" x14ac:dyDescent="0.25">
      <c r="D19" t="s">
        <v>760</v>
      </c>
      <c r="E19">
        <v>73377401769</v>
      </c>
      <c r="F19">
        <v>100</v>
      </c>
      <c r="G19">
        <v>47</v>
      </c>
    </row>
    <row r="20" spans="4:7" x14ac:dyDescent="0.25">
      <c r="D20" t="s">
        <v>729</v>
      </c>
      <c r="E20">
        <v>73325952570</v>
      </c>
      <c r="F20">
        <v>97.5</v>
      </c>
      <c r="G20">
        <v>49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C0C899-2C19-4ABC-93F4-8AEEBA59F900}">
          <x14:formula1>
            <xm:f>adatok!$B$8:$B$11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9CEA8-C3AD-4C77-B3BD-83A7C9CD2E91}">
  <sheetPr codeName="Munka6"/>
  <dimension ref="A1"/>
  <sheetViews>
    <sheetView workbookViewId="0">
      <selection activeCell="B2" sqref="B2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196BE-DDE9-41EB-A128-3A13DD5B4A9A}">
  <sheetPr codeName="Munka9"/>
  <dimension ref="C1:P166"/>
  <sheetViews>
    <sheetView topLeftCell="A22" workbookViewId="0"/>
  </sheetViews>
  <sheetFormatPr defaultRowHeight="15" x14ac:dyDescent="0.25"/>
  <cols>
    <col min="3" max="3" width="10.7109375" bestFit="1" customWidth="1"/>
    <col min="4" max="4" width="12" bestFit="1" customWidth="1"/>
    <col min="5" max="5" width="26.28515625" bestFit="1" customWidth="1"/>
    <col min="6" max="6" width="14" bestFit="1" customWidth="1"/>
    <col min="7" max="7" width="17.28515625" bestFit="1" customWidth="1"/>
    <col min="8" max="8" width="9.7109375" bestFit="1" customWidth="1"/>
    <col min="9" max="9" width="13.7109375" bestFit="1" customWidth="1"/>
    <col min="10" max="10" width="13.5703125" bestFit="1" customWidth="1"/>
    <col min="11" max="11" width="17" bestFit="1" customWidth="1"/>
    <col min="12" max="12" width="12.28515625" bestFit="1" customWidth="1"/>
    <col min="13" max="13" width="12.140625" bestFit="1" customWidth="1"/>
    <col min="14" max="14" width="15.5703125" bestFit="1" customWidth="1"/>
    <col min="15" max="15" width="12.42578125" bestFit="1" customWidth="1"/>
    <col min="16" max="16" width="13.140625" bestFit="1" customWidth="1"/>
  </cols>
  <sheetData>
    <row r="1" spans="3:16" x14ac:dyDescent="0.25">
      <c r="C1" s="17" t="s">
        <v>1386</v>
      </c>
      <c r="D1" s="17" t="s">
        <v>676</v>
      </c>
      <c r="E1" s="17" t="s">
        <v>677</v>
      </c>
      <c r="F1" s="17" t="s">
        <v>692</v>
      </c>
      <c r="G1" s="17" t="s">
        <v>695</v>
      </c>
      <c r="H1" s="17" t="s">
        <v>699</v>
      </c>
      <c r="I1" s="18" t="s">
        <v>1389</v>
      </c>
      <c r="J1" t="s">
        <v>1390</v>
      </c>
      <c r="K1" t="s">
        <v>1391</v>
      </c>
      <c r="L1" t="s">
        <v>1392</v>
      </c>
      <c r="M1" t="s">
        <v>1393</v>
      </c>
      <c r="N1" t="s">
        <v>1394</v>
      </c>
      <c r="O1" t="s">
        <v>1395</v>
      </c>
      <c r="P1" t="s">
        <v>1387</v>
      </c>
    </row>
    <row r="2" spans="3:16" x14ac:dyDescent="0.25">
      <c r="C2" s="13">
        <v>1</v>
      </c>
      <c r="D2" s="13">
        <v>73386081758</v>
      </c>
      <c r="E2" s="13" t="s">
        <v>718</v>
      </c>
      <c r="F2" s="13">
        <v>74</v>
      </c>
      <c r="G2" s="13">
        <v>116.5</v>
      </c>
      <c r="H2" s="13">
        <v>37</v>
      </c>
      <c r="I2" s="19">
        <v>78</v>
      </c>
      <c r="J2">
        <v>123.5</v>
      </c>
      <c r="K2">
        <v>42</v>
      </c>
      <c r="L2">
        <v>4</v>
      </c>
      <c r="M2">
        <v>7</v>
      </c>
      <c r="N2">
        <v>5</v>
      </c>
      <c r="O2">
        <v>4</v>
      </c>
      <c r="P2" t="s">
        <v>1388</v>
      </c>
    </row>
    <row r="3" spans="3:16" x14ac:dyDescent="0.25">
      <c r="C3" s="13">
        <v>2</v>
      </c>
      <c r="D3" s="13">
        <v>73271050903</v>
      </c>
      <c r="E3" s="13" t="s">
        <v>720</v>
      </c>
      <c r="F3" s="13">
        <v>80</v>
      </c>
      <c r="G3" s="13">
        <v>127.5</v>
      </c>
      <c r="H3" s="13">
        <v>47</v>
      </c>
      <c r="I3" s="19">
        <v>78</v>
      </c>
      <c r="J3">
        <v>123.5</v>
      </c>
      <c r="K3">
        <v>42</v>
      </c>
      <c r="L3">
        <v>-2</v>
      </c>
      <c r="M3">
        <v>-4</v>
      </c>
      <c r="N3">
        <v>-5</v>
      </c>
      <c r="O3">
        <v>-5</v>
      </c>
      <c r="P3" t="s">
        <v>1388</v>
      </c>
    </row>
    <row r="4" spans="3:16" x14ac:dyDescent="0.25">
      <c r="C4" s="13">
        <v>3</v>
      </c>
      <c r="D4" s="13">
        <v>73325952570</v>
      </c>
      <c r="E4" s="13" t="s">
        <v>729</v>
      </c>
      <c r="F4" s="13">
        <v>70</v>
      </c>
      <c r="G4" s="13">
        <v>112</v>
      </c>
      <c r="H4" s="13">
        <v>39</v>
      </c>
      <c r="I4" s="19">
        <v>78</v>
      </c>
      <c r="J4">
        <v>123.5</v>
      </c>
      <c r="K4">
        <v>42</v>
      </c>
      <c r="L4">
        <v>8</v>
      </c>
      <c r="M4">
        <v>11.5</v>
      </c>
      <c r="N4">
        <v>3</v>
      </c>
      <c r="O4">
        <v>3</v>
      </c>
      <c r="P4" t="s">
        <v>1388</v>
      </c>
    </row>
    <row r="5" spans="3:16" x14ac:dyDescent="0.25">
      <c r="C5" s="13">
        <v>4</v>
      </c>
      <c r="D5" s="13">
        <v>73346762228</v>
      </c>
      <c r="E5" s="13" t="s">
        <v>730</v>
      </c>
      <c r="F5" s="13">
        <v>76</v>
      </c>
      <c r="G5" s="13">
        <v>119.5</v>
      </c>
      <c r="H5" s="13">
        <v>42</v>
      </c>
      <c r="I5" s="19">
        <v>78</v>
      </c>
      <c r="J5">
        <v>123.5</v>
      </c>
      <c r="K5">
        <v>42</v>
      </c>
      <c r="L5">
        <v>2</v>
      </c>
      <c r="M5">
        <v>4</v>
      </c>
      <c r="N5">
        <v>0</v>
      </c>
      <c r="O5">
        <v>0</v>
      </c>
      <c r="P5" t="s">
        <v>1388</v>
      </c>
    </row>
    <row r="6" spans="3:16" x14ac:dyDescent="0.25">
      <c r="C6" s="13">
        <v>5</v>
      </c>
      <c r="D6" s="13">
        <v>73346759634</v>
      </c>
      <c r="E6" s="13" t="s">
        <v>731</v>
      </c>
      <c r="F6" s="13">
        <v>87</v>
      </c>
      <c r="G6" s="13">
        <v>132.5</v>
      </c>
      <c r="H6" s="13">
        <v>35</v>
      </c>
      <c r="I6" s="19">
        <v>78</v>
      </c>
      <c r="J6">
        <v>123.5</v>
      </c>
      <c r="K6">
        <v>42</v>
      </c>
      <c r="L6">
        <v>-9</v>
      </c>
      <c r="M6">
        <v>-9</v>
      </c>
      <c r="N6">
        <v>7</v>
      </c>
      <c r="O6">
        <v>-9</v>
      </c>
      <c r="P6" t="s">
        <v>1388</v>
      </c>
    </row>
    <row r="7" spans="3:16" x14ac:dyDescent="0.25">
      <c r="C7" s="13">
        <v>6</v>
      </c>
      <c r="D7" s="13">
        <v>73373058500</v>
      </c>
      <c r="E7" s="13" t="s">
        <v>733</v>
      </c>
      <c r="F7" s="13">
        <v>74</v>
      </c>
      <c r="G7" s="13">
        <v>118.5</v>
      </c>
      <c r="H7" s="13">
        <v>48</v>
      </c>
      <c r="I7" s="19">
        <v>78</v>
      </c>
      <c r="J7">
        <v>123.5</v>
      </c>
      <c r="K7">
        <v>42</v>
      </c>
      <c r="L7">
        <v>4</v>
      </c>
      <c r="M7">
        <v>5</v>
      </c>
      <c r="N7">
        <v>-6</v>
      </c>
      <c r="O7">
        <v>-6</v>
      </c>
      <c r="P7" t="s">
        <v>1388</v>
      </c>
    </row>
    <row r="8" spans="3:16" x14ac:dyDescent="0.25">
      <c r="C8" s="13">
        <v>7</v>
      </c>
      <c r="D8" s="13">
        <v>73388845979</v>
      </c>
      <c r="E8" s="13" t="s">
        <v>735</v>
      </c>
      <c r="F8" s="13">
        <v>85</v>
      </c>
      <c r="G8" s="13">
        <v>130</v>
      </c>
      <c r="H8" s="13">
        <v>38</v>
      </c>
      <c r="I8" s="19">
        <v>78</v>
      </c>
      <c r="J8">
        <v>123.5</v>
      </c>
      <c r="K8">
        <v>42</v>
      </c>
      <c r="L8">
        <v>-7</v>
      </c>
      <c r="M8">
        <v>-6.5</v>
      </c>
      <c r="N8">
        <v>4</v>
      </c>
      <c r="O8">
        <v>-7</v>
      </c>
      <c r="P8" t="s">
        <v>1388</v>
      </c>
    </row>
    <row r="9" spans="3:16" x14ac:dyDescent="0.25">
      <c r="C9" s="13">
        <v>8</v>
      </c>
      <c r="D9" s="13">
        <v>73292368236</v>
      </c>
      <c r="E9" s="13" t="s">
        <v>736</v>
      </c>
      <c r="F9" s="13">
        <v>86</v>
      </c>
      <c r="G9" s="13">
        <v>130</v>
      </c>
      <c r="H9" s="13">
        <v>42</v>
      </c>
      <c r="I9" s="19">
        <v>78</v>
      </c>
      <c r="J9">
        <v>123.5</v>
      </c>
      <c r="K9">
        <v>42</v>
      </c>
      <c r="L9">
        <v>-8</v>
      </c>
      <c r="M9">
        <v>-6.5</v>
      </c>
      <c r="N9">
        <v>0</v>
      </c>
      <c r="O9">
        <v>-8</v>
      </c>
      <c r="P9" t="s">
        <v>1388</v>
      </c>
    </row>
    <row r="10" spans="3:16" x14ac:dyDescent="0.25">
      <c r="C10" s="13">
        <v>9</v>
      </c>
      <c r="D10" s="13">
        <v>73367953419</v>
      </c>
      <c r="E10" s="13" t="s">
        <v>748</v>
      </c>
      <c r="F10" s="13">
        <v>77</v>
      </c>
      <c r="G10" s="13">
        <v>120.5</v>
      </c>
      <c r="H10" s="13">
        <v>47</v>
      </c>
      <c r="I10" s="19">
        <v>78</v>
      </c>
      <c r="J10">
        <v>123.5</v>
      </c>
      <c r="K10">
        <v>42</v>
      </c>
      <c r="L10">
        <v>1</v>
      </c>
      <c r="M10">
        <v>3</v>
      </c>
      <c r="N10">
        <v>-5</v>
      </c>
      <c r="O10">
        <v>-5</v>
      </c>
      <c r="P10" t="s">
        <v>1388</v>
      </c>
    </row>
    <row r="11" spans="3:16" x14ac:dyDescent="0.25">
      <c r="C11" s="13">
        <v>10</v>
      </c>
      <c r="D11" s="13">
        <v>73326905842</v>
      </c>
      <c r="E11" s="13" t="s">
        <v>749</v>
      </c>
      <c r="F11" s="13">
        <v>75</v>
      </c>
      <c r="G11" s="13">
        <v>118.5</v>
      </c>
      <c r="H11" s="13">
        <v>35</v>
      </c>
      <c r="I11" s="19">
        <v>78</v>
      </c>
      <c r="J11">
        <v>123.5</v>
      </c>
      <c r="K11">
        <v>42</v>
      </c>
      <c r="L11">
        <v>3</v>
      </c>
      <c r="M11">
        <v>5</v>
      </c>
      <c r="N11">
        <v>7</v>
      </c>
      <c r="O11">
        <v>3</v>
      </c>
      <c r="P11" t="s">
        <v>1388</v>
      </c>
    </row>
    <row r="12" spans="3:16" x14ac:dyDescent="0.25">
      <c r="C12" s="13">
        <v>11</v>
      </c>
      <c r="D12" s="13">
        <v>73323923130</v>
      </c>
      <c r="E12" s="13" t="s">
        <v>750</v>
      </c>
      <c r="F12" s="13">
        <v>87</v>
      </c>
      <c r="G12" s="13">
        <v>131.5</v>
      </c>
      <c r="H12" s="13">
        <v>39</v>
      </c>
      <c r="I12" s="19">
        <v>78</v>
      </c>
      <c r="J12">
        <v>123.5</v>
      </c>
      <c r="K12">
        <v>42</v>
      </c>
      <c r="L12">
        <v>-9</v>
      </c>
      <c r="M12">
        <v>-8</v>
      </c>
      <c r="N12">
        <v>3</v>
      </c>
      <c r="O12">
        <v>-9</v>
      </c>
      <c r="P12" t="s">
        <v>1388</v>
      </c>
    </row>
    <row r="13" spans="3:16" x14ac:dyDescent="0.25">
      <c r="C13" s="13">
        <v>12</v>
      </c>
      <c r="D13" s="13">
        <v>73289680271</v>
      </c>
      <c r="E13" s="13" t="s">
        <v>752</v>
      </c>
      <c r="F13" s="13">
        <v>86</v>
      </c>
      <c r="G13" s="13">
        <v>132</v>
      </c>
      <c r="H13" s="13">
        <v>38</v>
      </c>
      <c r="I13" s="19">
        <v>78</v>
      </c>
      <c r="J13">
        <v>123.5</v>
      </c>
      <c r="K13">
        <v>42</v>
      </c>
      <c r="L13">
        <v>-8</v>
      </c>
      <c r="M13">
        <v>-8.5</v>
      </c>
      <c r="N13">
        <v>4</v>
      </c>
      <c r="O13">
        <v>-8.5</v>
      </c>
      <c r="P13" t="s">
        <v>1388</v>
      </c>
    </row>
    <row r="14" spans="3:16" x14ac:dyDescent="0.25">
      <c r="C14" s="13">
        <v>13</v>
      </c>
      <c r="D14" s="13">
        <v>73385370685</v>
      </c>
      <c r="E14" s="13" t="s">
        <v>753</v>
      </c>
      <c r="F14" s="13">
        <v>79</v>
      </c>
      <c r="G14" s="13">
        <v>123.5</v>
      </c>
      <c r="H14" s="13">
        <v>35</v>
      </c>
      <c r="I14" s="19">
        <v>78</v>
      </c>
      <c r="J14">
        <v>123.5</v>
      </c>
      <c r="K14">
        <v>42</v>
      </c>
      <c r="L14">
        <v>-1</v>
      </c>
      <c r="M14">
        <v>0</v>
      </c>
      <c r="N14">
        <v>7</v>
      </c>
      <c r="O14">
        <v>-1</v>
      </c>
      <c r="P14" t="s">
        <v>1388</v>
      </c>
    </row>
    <row r="15" spans="3:16" x14ac:dyDescent="0.25">
      <c r="C15" s="13">
        <v>14</v>
      </c>
      <c r="D15" s="13">
        <v>73282349738</v>
      </c>
      <c r="E15" s="13" t="s">
        <v>754</v>
      </c>
      <c r="F15" s="13">
        <v>71</v>
      </c>
      <c r="G15" s="13">
        <v>108.5</v>
      </c>
      <c r="H15" s="13">
        <v>49</v>
      </c>
      <c r="I15" s="19">
        <v>78</v>
      </c>
      <c r="J15">
        <v>123.5</v>
      </c>
      <c r="K15">
        <v>42</v>
      </c>
      <c r="L15">
        <v>7</v>
      </c>
      <c r="M15">
        <v>15</v>
      </c>
      <c r="N15">
        <v>-7</v>
      </c>
      <c r="O15">
        <v>-7</v>
      </c>
      <c r="P15" t="s">
        <v>1388</v>
      </c>
    </row>
    <row r="16" spans="3:16" x14ac:dyDescent="0.25">
      <c r="C16" s="13">
        <v>15</v>
      </c>
      <c r="D16" s="13">
        <v>73341109717</v>
      </c>
      <c r="E16" s="13" t="s">
        <v>755</v>
      </c>
      <c r="F16" s="13">
        <v>82</v>
      </c>
      <c r="G16" s="13">
        <v>127.5</v>
      </c>
      <c r="H16" s="13">
        <v>43</v>
      </c>
      <c r="I16" s="19">
        <v>78</v>
      </c>
      <c r="J16">
        <v>123.5</v>
      </c>
      <c r="K16">
        <v>42</v>
      </c>
      <c r="L16">
        <v>-4</v>
      </c>
      <c r="M16">
        <v>-4</v>
      </c>
      <c r="N16">
        <v>-1</v>
      </c>
      <c r="O16">
        <v>-4</v>
      </c>
      <c r="P16" t="s">
        <v>1388</v>
      </c>
    </row>
    <row r="17" spans="3:16" x14ac:dyDescent="0.25">
      <c r="C17" s="13">
        <v>16</v>
      </c>
      <c r="D17" s="13">
        <v>73377401769</v>
      </c>
      <c r="E17" s="13" t="s">
        <v>760</v>
      </c>
      <c r="F17" s="13">
        <v>72</v>
      </c>
      <c r="G17" s="13">
        <v>114</v>
      </c>
      <c r="H17" s="13">
        <v>44</v>
      </c>
      <c r="I17" s="19">
        <v>78</v>
      </c>
      <c r="J17">
        <v>123.5</v>
      </c>
      <c r="K17">
        <v>42</v>
      </c>
      <c r="L17">
        <v>6</v>
      </c>
      <c r="M17">
        <v>9.5</v>
      </c>
      <c r="N17">
        <v>-2</v>
      </c>
      <c r="O17">
        <v>-2</v>
      </c>
      <c r="P17" t="s">
        <v>1388</v>
      </c>
    </row>
    <row r="18" spans="3:16" x14ac:dyDescent="0.25">
      <c r="C18" s="13">
        <v>17</v>
      </c>
      <c r="D18" s="13">
        <v>73514100658</v>
      </c>
      <c r="E18" s="13" t="s">
        <v>762</v>
      </c>
      <c r="F18" s="13">
        <v>78</v>
      </c>
      <c r="G18" s="13">
        <v>122.5</v>
      </c>
      <c r="H18" s="13">
        <v>48</v>
      </c>
      <c r="I18" s="19">
        <v>78</v>
      </c>
      <c r="J18">
        <v>123.5</v>
      </c>
      <c r="K18">
        <v>42</v>
      </c>
      <c r="L18">
        <v>0</v>
      </c>
      <c r="M18">
        <v>1</v>
      </c>
      <c r="N18">
        <v>-6</v>
      </c>
      <c r="O18">
        <v>-6</v>
      </c>
      <c r="P18" t="s">
        <v>1388</v>
      </c>
    </row>
    <row r="19" spans="3:16" x14ac:dyDescent="0.25">
      <c r="C19" s="13">
        <v>18</v>
      </c>
      <c r="D19" s="13">
        <v>73386303079</v>
      </c>
      <c r="E19" s="13" t="s">
        <v>763</v>
      </c>
      <c r="F19" s="13">
        <v>74</v>
      </c>
      <c r="G19" s="13">
        <v>117.5</v>
      </c>
      <c r="H19" s="13">
        <v>15</v>
      </c>
      <c r="I19" s="19">
        <v>78</v>
      </c>
      <c r="J19">
        <v>123.5</v>
      </c>
      <c r="K19">
        <v>42</v>
      </c>
      <c r="L19">
        <v>4</v>
      </c>
      <c r="M19">
        <v>6</v>
      </c>
      <c r="N19">
        <v>27</v>
      </c>
      <c r="O19">
        <v>4</v>
      </c>
      <c r="P19" t="s">
        <v>1388</v>
      </c>
    </row>
    <row r="20" spans="3:16" x14ac:dyDescent="0.25">
      <c r="C20" s="13">
        <v>19</v>
      </c>
      <c r="D20" s="13">
        <v>73346874841</v>
      </c>
      <c r="E20" s="13" t="s">
        <v>764</v>
      </c>
      <c r="F20" s="13">
        <v>76</v>
      </c>
      <c r="G20" s="13">
        <v>120</v>
      </c>
      <c r="H20" s="13">
        <v>37</v>
      </c>
      <c r="I20" s="19">
        <v>78</v>
      </c>
      <c r="J20">
        <v>123.5</v>
      </c>
      <c r="K20">
        <v>42</v>
      </c>
      <c r="L20">
        <v>2</v>
      </c>
      <c r="M20">
        <v>3.5</v>
      </c>
      <c r="N20">
        <v>5</v>
      </c>
      <c r="O20">
        <v>2</v>
      </c>
      <c r="P20" t="s">
        <v>1388</v>
      </c>
    </row>
    <row r="21" spans="3:16" x14ac:dyDescent="0.25">
      <c r="C21" s="13">
        <v>20</v>
      </c>
      <c r="D21" s="13">
        <v>73371455056</v>
      </c>
      <c r="E21" s="13" t="s">
        <v>768</v>
      </c>
      <c r="F21" s="13">
        <v>80</v>
      </c>
      <c r="G21" s="13">
        <v>126</v>
      </c>
      <c r="H21" s="13">
        <v>40</v>
      </c>
      <c r="I21" s="19">
        <v>78</v>
      </c>
      <c r="J21">
        <v>123.5</v>
      </c>
      <c r="K21">
        <v>42</v>
      </c>
      <c r="L21">
        <v>-2</v>
      </c>
      <c r="M21">
        <v>-2.5</v>
      </c>
      <c r="N21">
        <v>2</v>
      </c>
      <c r="O21">
        <v>-2.5</v>
      </c>
      <c r="P21" t="s">
        <v>1388</v>
      </c>
    </row>
    <row r="22" spans="3:16" x14ac:dyDescent="0.25">
      <c r="C22" s="13">
        <v>21</v>
      </c>
      <c r="D22" s="13">
        <v>73269531256</v>
      </c>
      <c r="E22" s="13" t="s">
        <v>769</v>
      </c>
      <c r="F22" s="13">
        <v>86</v>
      </c>
      <c r="G22" s="13">
        <v>135.5</v>
      </c>
      <c r="H22" s="13">
        <v>29</v>
      </c>
      <c r="I22" s="19">
        <v>78</v>
      </c>
      <c r="J22">
        <v>123.5</v>
      </c>
      <c r="K22">
        <v>42</v>
      </c>
      <c r="L22">
        <v>-8</v>
      </c>
      <c r="M22">
        <v>-12</v>
      </c>
      <c r="N22">
        <v>13</v>
      </c>
      <c r="O22">
        <v>-12</v>
      </c>
      <c r="P22" t="s">
        <v>1388</v>
      </c>
    </row>
    <row r="23" spans="3:16" x14ac:dyDescent="0.25">
      <c r="C23" s="13">
        <v>22</v>
      </c>
      <c r="D23" s="13">
        <v>73373314244</v>
      </c>
      <c r="E23" s="13" t="s">
        <v>781</v>
      </c>
      <c r="F23" s="13">
        <v>72</v>
      </c>
      <c r="G23" s="13">
        <v>111.5</v>
      </c>
      <c r="H23" s="13">
        <v>40</v>
      </c>
      <c r="I23" s="19">
        <v>78</v>
      </c>
      <c r="J23">
        <v>123.5</v>
      </c>
      <c r="K23">
        <v>42</v>
      </c>
      <c r="L23">
        <v>6</v>
      </c>
      <c r="M23">
        <v>12</v>
      </c>
      <c r="N23">
        <v>2</v>
      </c>
      <c r="O23">
        <v>2</v>
      </c>
      <c r="P23" t="s">
        <v>1388</v>
      </c>
    </row>
    <row r="24" spans="3:16" x14ac:dyDescent="0.25">
      <c r="C24" s="13">
        <v>23</v>
      </c>
      <c r="D24" s="13">
        <v>73248327161</v>
      </c>
      <c r="E24" s="13" t="s">
        <v>782</v>
      </c>
      <c r="F24" s="13">
        <v>78</v>
      </c>
      <c r="G24" s="13">
        <v>122</v>
      </c>
      <c r="H24" s="13">
        <v>43</v>
      </c>
      <c r="I24" s="19">
        <v>78</v>
      </c>
      <c r="J24">
        <v>123.5</v>
      </c>
      <c r="K24">
        <v>42</v>
      </c>
      <c r="L24">
        <v>0</v>
      </c>
      <c r="M24">
        <v>1.5</v>
      </c>
      <c r="N24">
        <v>-1</v>
      </c>
      <c r="O24">
        <v>-1</v>
      </c>
      <c r="P24" t="s">
        <v>1388</v>
      </c>
    </row>
    <row r="25" spans="3:16" x14ac:dyDescent="0.25">
      <c r="C25" s="13">
        <v>24</v>
      </c>
      <c r="D25" s="13">
        <v>73285656483</v>
      </c>
      <c r="E25" s="13" t="s">
        <v>783</v>
      </c>
      <c r="F25" s="13">
        <v>80</v>
      </c>
      <c r="G25" s="13">
        <v>124.5</v>
      </c>
      <c r="H25" s="13">
        <v>44</v>
      </c>
      <c r="I25" s="19">
        <v>78</v>
      </c>
      <c r="J25">
        <v>123.5</v>
      </c>
      <c r="K25">
        <v>42</v>
      </c>
      <c r="L25">
        <v>-2</v>
      </c>
      <c r="M25">
        <v>-1</v>
      </c>
      <c r="N25">
        <v>-2</v>
      </c>
      <c r="O25">
        <v>-2</v>
      </c>
      <c r="P25" t="s">
        <v>1388</v>
      </c>
    </row>
    <row r="26" spans="3:16" x14ac:dyDescent="0.25">
      <c r="C26" s="13">
        <v>25</v>
      </c>
      <c r="D26" s="13">
        <v>73292087674</v>
      </c>
      <c r="E26" s="13" t="s">
        <v>784</v>
      </c>
      <c r="F26" s="13">
        <v>82</v>
      </c>
      <c r="G26" s="13">
        <v>127.5</v>
      </c>
      <c r="H26" s="13">
        <v>39</v>
      </c>
      <c r="I26" s="19">
        <v>78</v>
      </c>
      <c r="J26">
        <v>123.5</v>
      </c>
      <c r="K26">
        <v>42</v>
      </c>
      <c r="L26">
        <v>-4</v>
      </c>
      <c r="M26">
        <v>-4</v>
      </c>
      <c r="N26">
        <v>3</v>
      </c>
      <c r="O26">
        <v>-4</v>
      </c>
      <c r="P26" t="s">
        <v>1388</v>
      </c>
    </row>
    <row r="27" spans="3:16" x14ac:dyDescent="0.25">
      <c r="C27" s="13">
        <v>26</v>
      </c>
      <c r="D27" s="13">
        <v>73328584852</v>
      </c>
      <c r="E27" s="13" t="s">
        <v>785</v>
      </c>
      <c r="F27" s="13">
        <v>74</v>
      </c>
      <c r="G27" s="13">
        <v>115</v>
      </c>
      <c r="H27" s="13">
        <v>42</v>
      </c>
      <c r="I27" s="19">
        <v>78</v>
      </c>
      <c r="J27">
        <v>123.5</v>
      </c>
      <c r="K27">
        <v>42</v>
      </c>
      <c r="L27">
        <v>4</v>
      </c>
      <c r="M27">
        <v>8.5</v>
      </c>
      <c r="N27">
        <v>0</v>
      </c>
      <c r="O27">
        <v>0</v>
      </c>
      <c r="P27" t="s">
        <v>1388</v>
      </c>
    </row>
    <row r="28" spans="3:16" x14ac:dyDescent="0.25">
      <c r="C28" s="13">
        <v>27</v>
      </c>
      <c r="D28" s="13">
        <v>73346366898</v>
      </c>
      <c r="E28" s="13" t="s">
        <v>787</v>
      </c>
      <c r="F28" s="13">
        <v>76</v>
      </c>
      <c r="G28" s="13">
        <v>121.5</v>
      </c>
      <c r="H28" s="13">
        <v>45</v>
      </c>
      <c r="I28" s="19">
        <v>78</v>
      </c>
      <c r="J28">
        <v>123.5</v>
      </c>
      <c r="K28">
        <v>42</v>
      </c>
      <c r="L28">
        <v>2</v>
      </c>
      <c r="M28">
        <v>2</v>
      </c>
      <c r="N28">
        <v>-3</v>
      </c>
      <c r="O28">
        <v>-3</v>
      </c>
      <c r="P28" t="s">
        <v>1388</v>
      </c>
    </row>
    <row r="29" spans="3:16" x14ac:dyDescent="0.25">
      <c r="C29" s="13">
        <v>28</v>
      </c>
      <c r="D29" s="13">
        <v>73280668196</v>
      </c>
      <c r="E29" s="13" t="s">
        <v>788</v>
      </c>
      <c r="F29" s="13">
        <v>75</v>
      </c>
      <c r="G29" s="13">
        <v>120.5</v>
      </c>
      <c r="H29" s="13">
        <v>38</v>
      </c>
      <c r="I29" s="19">
        <v>78</v>
      </c>
      <c r="J29">
        <v>123.5</v>
      </c>
      <c r="K29">
        <v>42</v>
      </c>
      <c r="L29">
        <v>3</v>
      </c>
      <c r="M29">
        <v>3</v>
      </c>
      <c r="N29">
        <v>4</v>
      </c>
      <c r="O29">
        <v>3</v>
      </c>
      <c r="P29" t="s">
        <v>1388</v>
      </c>
    </row>
    <row r="30" spans="3:16" x14ac:dyDescent="0.25">
      <c r="C30" s="13">
        <v>29</v>
      </c>
      <c r="D30" s="13">
        <v>73374404767</v>
      </c>
      <c r="E30" s="13" t="s">
        <v>793</v>
      </c>
      <c r="F30" s="13">
        <v>78</v>
      </c>
      <c r="G30" s="13">
        <v>121.5</v>
      </c>
      <c r="H30" s="13">
        <v>43</v>
      </c>
      <c r="I30" s="19">
        <v>78</v>
      </c>
      <c r="J30">
        <v>123.5</v>
      </c>
      <c r="K30">
        <v>42</v>
      </c>
      <c r="L30">
        <v>0</v>
      </c>
      <c r="M30">
        <v>2</v>
      </c>
      <c r="N30">
        <v>-1</v>
      </c>
      <c r="O30">
        <v>-1</v>
      </c>
      <c r="P30" t="s">
        <v>1388</v>
      </c>
    </row>
    <row r="31" spans="3:16" x14ac:dyDescent="0.25">
      <c r="C31" s="13">
        <v>30</v>
      </c>
      <c r="D31" s="13">
        <v>73341575071</v>
      </c>
      <c r="E31" s="13" t="s">
        <v>794</v>
      </c>
      <c r="F31" s="13">
        <v>74</v>
      </c>
      <c r="G31" s="13">
        <v>118</v>
      </c>
      <c r="H31" s="13">
        <v>43</v>
      </c>
      <c r="I31" s="19">
        <v>78</v>
      </c>
      <c r="J31">
        <v>123.5</v>
      </c>
      <c r="K31">
        <v>42</v>
      </c>
      <c r="L31">
        <v>4</v>
      </c>
      <c r="M31">
        <v>5.5</v>
      </c>
      <c r="N31">
        <v>-1</v>
      </c>
      <c r="O31">
        <v>-1</v>
      </c>
      <c r="P31" t="s">
        <v>1388</v>
      </c>
    </row>
    <row r="32" spans="3:16" x14ac:dyDescent="0.25">
      <c r="C32" s="13">
        <v>31</v>
      </c>
      <c r="D32" s="13">
        <v>73355331944</v>
      </c>
      <c r="E32" s="13" t="s">
        <v>795</v>
      </c>
      <c r="F32" s="13">
        <v>78</v>
      </c>
      <c r="G32" s="13">
        <v>120.5</v>
      </c>
      <c r="H32" s="13">
        <v>45</v>
      </c>
      <c r="I32" s="19">
        <v>78</v>
      </c>
      <c r="J32">
        <v>123.5</v>
      </c>
      <c r="K32">
        <v>42</v>
      </c>
      <c r="L32">
        <v>0</v>
      </c>
      <c r="M32">
        <v>3</v>
      </c>
      <c r="N32">
        <v>-3</v>
      </c>
      <c r="O32">
        <v>-3</v>
      </c>
      <c r="P32" t="s">
        <v>1388</v>
      </c>
    </row>
    <row r="33" spans="3:16" x14ac:dyDescent="0.25">
      <c r="C33" s="13">
        <v>32</v>
      </c>
      <c r="D33" s="13">
        <v>73329348733</v>
      </c>
      <c r="E33" s="13" t="s">
        <v>796</v>
      </c>
      <c r="F33" s="13">
        <v>81</v>
      </c>
      <c r="G33" s="13">
        <v>129</v>
      </c>
      <c r="H33" s="13">
        <v>38</v>
      </c>
      <c r="I33" s="19">
        <v>78</v>
      </c>
      <c r="J33">
        <v>123.5</v>
      </c>
      <c r="K33">
        <v>42</v>
      </c>
      <c r="L33">
        <v>-3</v>
      </c>
      <c r="M33">
        <v>-5.5</v>
      </c>
      <c r="N33">
        <v>4</v>
      </c>
      <c r="O33">
        <v>-5.5</v>
      </c>
      <c r="P33" t="s">
        <v>1388</v>
      </c>
    </row>
    <row r="34" spans="3:16" x14ac:dyDescent="0.25">
      <c r="C34" s="13">
        <v>33</v>
      </c>
      <c r="D34" s="13">
        <v>73274171822</v>
      </c>
      <c r="E34" s="13" t="s">
        <v>798</v>
      </c>
      <c r="F34" s="13">
        <v>73</v>
      </c>
      <c r="G34" s="13">
        <v>118</v>
      </c>
      <c r="H34" s="13">
        <v>43</v>
      </c>
      <c r="I34" s="19">
        <v>78</v>
      </c>
      <c r="J34">
        <v>123.5</v>
      </c>
      <c r="K34">
        <v>42</v>
      </c>
      <c r="L34">
        <v>5</v>
      </c>
      <c r="M34">
        <v>5.5</v>
      </c>
      <c r="N34">
        <v>-1</v>
      </c>
      <c r="O34">
        <v>-1</v>
      </c>
      <c r="P34" t="s">
        <v>1388</v>
      </c>
    </row>
    <row r="35" spans="3:16" x14ac:dyDescent="0.25">
      <c r="C35" s="13">
        <v>34</v>
      </c>
      <c r="D35" s="13">
        <v>73371870555</v>
      </c>
      <c r="E35" s="13" t="s">
        <v>800</v>
      </c>
      <c r="F35" s="13">
        <v>76</v>
      </c>
      <c r="G35" s="13">
        <v>120.5</v>
      </c>
      <c r="H35" s="13">
        <v>33</v>
      </c>
      <c r="I35" s="19">
        <v>78</v>
      </c>
      <c r="J35">
        <v>123.5</v>
      </c>
      <c r="K35">
        <v>42</v>
      </c>
      <c r="L35">
        <v>2</v>
      </c>
      <c r="M35">
        <v>3</v>
      </c>
      <c r="N35">
        <v>9</v>
      </c>
      <c r="O35">
        <v>2</v>
      </c>
      <c r="P35" t="s">
        <v>1388</v>
      </c>
    </row>
    <row r="36" spans="3:16" x14ac:dyDescent="0.25">
      <c r="C36" s="13">
        <v>35</v>
      </c>
      <c r="D36" s="13">
        <v>73363466180</v>
      </c>
      <c r="E36" s="13" t="s">
        <v>802</v>
      </c>
      <c r="F36" s="13">
        <v>80</v>
      </c>
      <c r="G36" s="13">
        <v>126</v>
      </c>
      <c r="H36" s="13">
        <v>38</v>
      </c>
      <c r="I36" s="19">
        <v>78</v>
      </c>
      <c r="J36">
        <v>123.5</v>
      </c>
      <c r="K36">
        <v>42</v>
      </c>
      <c r="L36">
        <v>-2</v>
      </c>
      <c r="M36">
        <v>-2.5</v>
      </c>
      <c r="N36">
        <v>4</v>
      </c>
      <c r="O36">
        <v>-2.5</v>
      </c>
      <c r="P36" t="s">
        <v>1388</v>
      </c>
    </row>
    <row r="37" spans="3:16" x14ac:dyDescent="0.25">
      <c r="C37" s="13">
        <v>36</v>
      </c>
      <c r="D37" s="13">
        <v>73394601137</v>
      </c>
      <c r="E37" s="13" t="s">
        <v>803</v>
      </c>
      <c r="F37" s="13">
        <v>87</v>
      </c>
      <c r="G37" s="13">
        <v>135</v>
      </c>
      <c r="H37" s="13">
        <v>33</v>
      </c>
      <c r="I37" s="19">
        <v>78</v>
      </c>
      <c r="J37">
        <v>123.5</v>
      </c>
      <c r="K37">
        <v>42</v>
      </c>
      <c r="L37">
        <v>-9</v>
      </c>
      <c r="M37">
        <v>-11.5</v>
      </c>
      <c r="N37">
        <v>9</v>
      </c>
      <c r="O37">
        <v>-11.5</v>
      </c>
      <c r="P37" t="s">
        <v>1388</v>
      </c>
    </row>
    <row r="38" spans="3:16" x14ac:dyDescent="0.25">
      <c r="C38" s="13">
        <v>37</v>
      </c>
      <c r="D38" s="13">
        <v>73299760080</v>
      </c>
      <c r="E38" s="13" t="s">
        <v>806</v>
      </c>
      <c r="F38" s="13">
        <v>82</v>
      </c>
      <c r="G38" s="13">
        <v>125.5</v>
      </c>
      <c r="H38" s="13">
        <v>46</v>
      </c>
      <c r="I38" s="19">
        <v>78</v>
      </c>
      <c r="J38">
        <v>123.5</v>
      </c>
      <c r="K38">
        <v>42</v>
      </c>
      <c r="L38">
        <v>-4</v>
      </c>
      <c r="M38">
        <v>-2</v>
      </c>
      <c r="N38">
        <v>-4</v>
      </c>
      <c r="O38">
        <v>-4</v>
      </c>
      <c r="P38" t="s">
        <v>1388</v>
      </c>
    </row>
    <row r="39" spans="3:16" x14ac:dyDescent="0.25">
      <c r="C39" s="13">
        <v>38</v>
      </c>
      <c r="D39" s="13">
        <v>73304707975</v>
      </c>
      <c r="E39" s="13" t="s">
        <v>807</v>
      </c>
      <c r="F39" s="13">
        <v>76</v>
      </c>
      <c r="G39" s="13">
        <v>119</v>
      </c>
      <c r="H39" s="13">
        <v>48</v>
      </c>
      <c r="I39" s="19">
        <v>78</v>
      </c>
      <c r="J39">
        <v>123.5</v>
      </c>
      <c r="K39">
        <v>42</v>
      </c>
      <c r="L39">
        <v>2</v>
      </c>
      <c r="M39">
        <v>4.5</v>
      </c>
      <c r="N39">
        <v>-6</v>
      </c>
      <c r="O39">
        <v>-6</v>
      </c>
      <c r="P39" t="s">
        <v>1388</v>
      </c>
    </row>
    <row r="40" spans="3:16" x14ac:dyDescent="0.25">
      <c r="C40" s="13">
        <v>39</v>
      </c>
      <c r="D40" s="13">
        <v>73398526587</v>
      </c>
      <c r="E40" s="13" t="s">
        <v>811</v>
      </c>
      <c r="F40" s="13">
        <v>80</v>
      </c>
      <c r="G40" s="13">
        <v>126</v>
      </c>
      <c r="H40" s="13">
        <v>36</v>
      </c>
      <c r="I40" s="19">
        <v>78</v>
      </c>
      <c r="J40">
        <v>123.5</v>
      </c>
      <c r="K40">
        <v>42</v>
      </c>
      <c r="L40">
        <v>-2</v>
      </c>
      <c r="M40">
        <v>-2.5</v>
      </c>
      <c r="N40">
        <v>6</v>
      </c>
      <c r="O40">
        <v>-2.5</v>
      </c>
      <c r="P40" t="s">
        <v>1388</v>
      </c>
    </row>
    <row r="41" spans="3:16" x14ac:dyDescent="0.25">
      <c r="C41" s="13">
        <v>40</v>
      </c>
      <c r="D41" s="13">
        <v>73382870796</v>
      </c>
      <c r="E41" s="13" t="s">
        <v>814</v>
      </c>
      <c r="F41" s="13">
        <v>84</v>
      </c>
      <c r="G41" s="13">
        <v>131</v>
      </c>
      <c r="H41" s="13">
        <v>31</v>
      </c>
      <c r="I41" s="19">
        <v>78</v>
      </c>
      <c r="J41">
        <v>123.5</v>
      </c>
      <c r="K41">
        <v>42</v>
      </c>
      <c r="L41">
        <v>-6</v>
      </c>
      <c r="M41">
        <v>-7.5</v>
      </c>
      <c r="N41">
        <v>11</v>
      </c>
      <c r="O41">
        <v>-7.5</v>
      </c>
      <c r="P41" t="s">
        <v>1388</v>
      </c>
    </row>
    <row r="42" spans="3:16" x14ac:dyDescent="0.25">
      <c r="C42" s="13">
        <v>41</v>
      </c>
      <c r="D42" s="13">
        <v>73286410998</v>
      </c>
      <c r="E42" s="13" t="s">
        <v>816</v>
      </c>
      <c r="F42" s="13">
        <v>81</v>
      </c>
      <c r="G42" s="13">
        <v>124.5</v>
      </c>
      <c r="H42" s="13">
        <v>44</v>
      </c>
      <c r="I42" s="19">
        <v>78</v>
      </c>
      <c r="J42">
        <v>123.5</v>
      </c>
      <c r="K42">
        <v>42</v>
      </c>
      <c r="L42">
        <v>-3</v>
      </c>
      <c r="M42">
        <v>-1</v>
      </c>
      <c r="N42">
        <v>-2</v>
      </c>
      <c r="O42">
        <v>-3</v>
      </c>
      <c r="P42" t="s">
        <v>1388</v>
      </c>
    </row>
    <row r="43" spans="3:16" x14ac:dyDescent="0.25">
      <c r="C43" s="13">
        <v>42</v>
      </c>
      <c r="D43" s="13">
        <v>73382749213</v>
      </c>
      <c r="E43" s="13" t="s">
        <v>817</v>
      </c>
      <c r="F43" s="13">
        <v>79</v>
      </c>
      <c r="G43" s="13">
        <v>125</v>
      </c>
      <c r="H43" s="13">
        <v>35</v>
      </c>
      <c r="I43" s="19">
        <v>78</v>
      </c>
      <c r="J43">
        <v>123.5</v>
      </c>
      <c r="K43">
        <v>42</v>
      </c>
      <c r="L43">
        <v>-1</v>
      </c>
      <c r="M43">
        <v>-1.5</v>
      </c>
      <c r="N43">
        <v>7</v>
      </c>
      <c r="O43">
        <v>-1.5</v>
      </c>
      <c r="P43" t="s">
        <v>1388</v>
      </c>
    </row>
    <row r="44" spans="3:16" x14ac:dyDescent="0.25">
      <c r="C44" s="13">
        <v>43</v>
      </c>
      <c r="D44" s="13">
        <v>73289987804</v>
      </c>
      <c r="E44" s="13" t="s">
        <v>819</v>
      </c>
      <c r="F44" s="13">
        <v>83</v>
      </c>
      <c r="G44" s="13">
        <v>130.5</v>
      </c>
      <c r="H44" s="13">
        <v>18</v>
      </c>
      <c r="I44" s="19">
        <v>78</v>
      </c>
      <c r="J44">
        <v>123.5</v>
      </c>
      <c r="K44">
        <v>42</v>
      </c>
      <c r="L44">
        <v>-5</v>
      </c>
      <c r="M44">
        <v>-7</v>
      </c>
      <c r="N44">
        <v>24</v>
      </c>
      <c r="O44">
        <v>-7</v>
      </c>
      <c r="P44" t="s">
        <v>1388</v>
      </c>
    </row>
    <row r="45" spans="3:16" x14ac:dyDescent="0.25">
      <c r="C45" s="13">
        <v>44</v>
      </c>
      <c r="D45" s="13">
        <v>73303479098</v>
      </c>
      <c r="E45" s="13" t="s">
        <v>823</v>
      </c>
      <c r="F45" s="13">
        <v>72</v>
      </c>
      <c r="G45" s="13">
        <v>116.5</v>
      </c>
      <c r="H45" s="13">
        <v>42</v>
      </c>
      <c r="I45" s="19">
        <v>78</v>
      </c>
      <c r="J45">
        <v>123.5</v>
      </c>
      <c r="K45">
        <v>42</v>
      </c>
      <c r="L45">
        <v>6</v>
      </c>
      <c r="M45">
        <v>7</v>
      </c>
      <c r="N45">
        <v>0</v>
      </c>
      <c r="O45">
        <v>0</v>
      </c>
      <c r="P45" t="s">
        <v>1388</v>
      </c>
    </row>
    <row r="46" spans="3:16" x14ac:dyDescent="0.25">
      <c r="C46" s="13">
        <v>45</v>
      </c>
      <c r="D46" s="13">
        <v>73379437368</v>
      </c>
      <c r="E46" s="13" t="s">
        <v>824</v>
      </c>
      <c r="F46" s="13">
        <v>75</v>
      </c>
      <c r="G46" s="13">
        <v>118.5</v>
      </c>
      <c r="H46" s="13">
        <v>46</v>
      </c>
      <c r="I46" s="19">
        <v>78</v>
      </c>
      <c r="J46">
        <v>123.5</v>
      </c>
      <c r="K46">
        <v>42</v>
      </c>
      <c r="L46">
        <v>3</v>
      </c>
      <c r="M46">
        <v>5</v>
      </c>
      <c r="N46">
        <v>-4</v>
      </c>
      <c r="O46">
        <v>-4</v>
      </c>
      <c r="P46" t="s">
        <v>1388</v>
      </c>
    </row>
    <row r="47" spans="3:16" x14ac:dyDescent="0.25">
      <c r="C47" s="13">
        <v>46</v>
      </c>
      <c r="D47" s="13">
        <v>73314033863</v>
      </c>
      <c r="E47" s="13" t="s">
        <v>826</v>
      </c>
      <c r="F47" s="13">
        <v>70</v>
      </c>
      <c r="G47" s="13">
        <v>110</v>
      </c>
      <c r="H47" s="13">
        <v>38</v>
      </c>
      <c r="I47" s="19">
        <v>78</v>
      </c>
      <c r="J47">
        <v>123.5</v>
      </c>
      <c r="K47">
        <v>42</v>
      </c>
      <c r="L47">
        <v>8</v>
      </c>
      <c r="M47">
        <v>13.5</v>
      </c>
      <c r="N47">
        <v>4</v>
      </c>
      <c r="O47">
        <v>4</v>
      </c>
      <c r="P47" t="s">
        <v>1388</v>
      </c>
    </row>
    <row r="48" spans="3:16" x14ac:dyDescent="0.25">
      <c r="C48" s="13">
        <v>47</v>
      </c>
      <c r="D48" s="13">
        <v>73373881478</v>
      </c>
      <c r="E48" s="13" t="s">
        <v>827</v>
      </c>
      <c r="F48" s="13">
        <v>82</v>
      </c>
      <c r="G48" s="13">
        <v>128</v>
      </c>
      <c r="H48" s="13">
        <v>47</v>
      </c>
      <c r="I48" s="19">
        <v>78</v>
      </c>
      <c r="J48">
        <v>123.5</v>
      </c>
      <c r="K48">
        <v>42</v>
      </c>
      <c r="L48">
        <v>-4</v>
      </c>
      <c r="M48">
        <v>-4.5</v>
      </c>
      <c r="N48">
        <v>-5</v>
      </c>
      <c r="O48">
        <v>-5</v>
      </c>
      <c r="P48" t="s">
        <v>1388</v>
      </c>
    </row>
    <row r="49" spans="3:16" x14ac:dyDescent="0.25">
      <c r="C49" s="13">
        <v>48</v>
      </c>
      <c r="D49" s="13">
        <v>73356834803</v>
      </c>
      <c r="E49" s="13" t="s">
        <v>828</v>
      </c>
      <c r="F49" s="13">
        <v>79</v>
      </c>
      <c r="G49" s="13">
        <v>122</v>
      </c>
      <c r="H49" s="13">
        <v>42</v>
      </c>
      <c r="I49" s="19">
        <v>78</v>
      </c>
      <c r="J49">
        <v>123.5</v>
      </c>
      <c r="K49">
        <v>42</v>
      </c>
      <c r="L49">
        <v>-1</v>
      </c>
      <c r="M49">
        <v>1.5</v>
      </c>
      <c r="N49">
        <v>0</v>
      </c>
      <c r="O49">
        <v>-1</v>
      </c>
      <c r="P49" t="s">
        <v>1388</v>
      </c>
    </row>
    <row r="50" spans="3:16" x14ac:dyDescent="0.25">
      <c r="C50" s="13">
        <v>49</v>
      </c>
      <c r="D50" s="13">
        <v>73355308712</v>
      </c>
      <c r="E50" s="13" t="s">
        <v>829</v>
      </c>
      <c r="F50" s="13">
        <v>80</v>
      </c>
      <c r="G50" s="13">
        <v>124.5</v>
      </c>
      <c r="H50" s="13">
        <v>48</v>
      </c>
      <c r="I50" s="19">
        <v>78</v>
      </c>
      <c r="J50">
        <v>123.5</v>
      </c>
      <c r="K50">
        <v>42</v>
      </c>
      <c r="L50">
        <v>-2</v>
      </c>
      <c r="M50">
        <v>-1</v>
      </c>
      <c r="N50">
        <v>-6</v>
      </c>
      <c r="O50">
        <v>-6</v>
      </c>
      <c r="P50" t="s">
        <v>1388</v>
      </c>
    </row>
    <row r="51" spans="3:16" x14ac:dyDescent="0.25">
      <c r="C51" s="13">
        <v>50</v>
      </c>
      <c r="D51" s="13">
        <v>73364959508</v>
      </c>
      <c r="E51" s="13" t="s">
        <v>837</v>
      </c>
      <c r="F51" s="13">
        <v>76</v>
      </c>
      <c r="G51" s="13">
        <v>121</v>
      </c>
      <c r="H51" s="13">
        <v>38</v>
      </c>
      <c r="I51" s="19">
        <v>78</v>
      </c>
      <c r="J51">
        <v>123.5</v>
      </c>
      <c r="K51">
        <v>42</v>
      </c>
      <c r="L51">
        <v>2</v>
      </c>
      <c r="M51">
        <v>2.5</v>
      </c>
      <c r="N51">
        <v>4</v>
      </c>
      <c r="O51">
        <v>2</v>
      </c>
      <c r="P51" t="s">
        <v>1388</v>
      </c>
    </row>
    <row r="52" spans="3:16" x14ac:dyDescent="0.25">
      <c r="C52" s="13">
        <v>51</v>
      </c>
      <c r="D52" s="13">
        <v>73386292968</v>
      </c>
      <c r="E52" s="13" t="s">
        <v>838</v>
      </c>
      <c r="F52" s="13">
        <v>89</v>
      </c>
      <c r="G52" s="13">
        <v>135.5</v>
      </c>
      <c r="H52" s="13">
        <v>37</v>
      </c>
      <c r="I52" s="19">
        <v>78</v>
      </c>
      <c r="J52">
        <v>123.5</v>
      </c>
      <c r="K52">
        <v>42</v>
      </c>
      <c r="L52">
        <v>-11</v>
      </c>
      <c r="M52">
        <v>-12</v>
      </c>
      <c r="N52">
        <v>5</v>
      </c>
      <c r="O52">
        <v>-12</v>
      </c>
      <c r="P52" t="s">
        <v>1388</v>
      </c>
    </row>
    <row r="53" spans="3:16" x14ac:dyDescent="0.25">
      <c r="C53" s="13">
        <v>52</v>
      </c>
      <c r="D53" s="13">
        <v>73267401913</v>
      </c>
      <c r="E53" s="13" t="s">
        <v>839</v>
      </c>
      <c r="F53" s="13">
        <v>77</v>
      </c>
      <c r="G53" s="13">
        <v>120.5</v>
      </c>
      <c r="H53" s="13">
        <v>37</v>
      </c>
      <c r="I53" s="19">
        <v>78</v>
      </c>
      <c r="J53">
        <v>123.5</v>
      </c>
      <c r="K53">
        <v>42</v>
      </c>
      <c r="L53">
        <v>1</v>
      </c>
      <c r="M53">
        <v>3</v>
      </c>
      <c r="N53">
        <v>5</v>
      </c>
      <c r="O53">
        <v>1</v>
      </c>
      <c r="P53" t="s">
        <v>1388</v>
      </c>
    </row>
    <row r="54" spans="3:16" x14ac:dyDescent="0.25">
      <c r="C54" s="13">
        <v>53</v>
      </c>
      <c r="D54" s="13">
        <v>73311299826</v>
      </c>
      <c r="E54" s="13" t="s">
        <v>842</v>
      </c>
      <c r="F54" s="13">
        <v>75</v>
      </c>
      <c r="G54" s="13">
        <v>117</v>
      </c>
      <c r="H54" s="13">
        <v>45</v>
      </c>
      <c r="I54" s="19">
        <v>78</v>
      </c>
      <c r="J54">
        <v>123.5</v>
      </c>
      <c r="K54">
        <v>42</v>
      </c>
      <c r="L54">
        <v>3</v>
      </c>
      <c r="M54">
        <v>6.5</v>
      </c>
      <c r="N54">
        <v>-3</v>
      </c>
      <c r="O54">
        <v>-3</v>
      </c>
      <c r="P54" t="s">
        <v>1388</v>
      </c>
    </row>
    <row r="55" spans="3:16" x14ac:dyDescent="0.25">
      <c r="C55" s="13">
        <v>54</v>
      </c>
      <c r="D55" s="13">
        <v>73285430388</v>
      </c>
      <c r="E55" s="13" t="s">
        <v>844</v>
      </c>
      <c r="F55" s="13">
        <v>85</v>
      </c>
      <c r="G55" s="13">
        <v>132.5</v>
      </c>
      <c r="H55" s="13">
        <v>38</v>
      </c>
      <c r="I55" s="19">
        <v>78</v>
      </c>
      <c r="J55">
        <v>123.5</v>
      </c>
      <c r="K55">
        <v>42</v>
      </c>
      <c r="L55">
        <v>-7</v>
      </c>
      <c r="M55">
        <v>-9</v>
      </c>
      <c r="N55">
        <v>4</v>
      </c>
      <c r="O55">
        <v>-9</v>
      </c>
      <c r="P55" t="s">
        <v>1388</v>
      </c>
    </row>
    <row r="56" spans="3:16" x14ac:dyDescent="0.25">
      <c r="C56" s="13">
        <v>55</v>
      </c>
      <c r="D56" s="13">
        <v>73329104863</v>
      </c>
      <c r="E56" s="13" t="s">
        <v>846</v>
      </c>
      <c r="F56" s="13">
        <v>89</v>
      </c>
      <c r="G56" s="13">
        <v>134</v>
      </c>
      <c r="H56" s="13">
        <v>24</v>
      </c>
      <c r="I56" s="19">
        <v>78</v>
      </c>
      <c r="J56">
        <v>123.5</v>
      </c>
      <c r="K56">
        <v>42</v>
      </c>
      <c r="L56">
        <v>-11</v>
      </c>
      <c r="M56">
        <v>-10.5</v>
      </c>
      <c r="N56">
        <v>18</v>
      </c>
      <c r="O56">
        <v>-11</v>
      </c>
      <c r="P56" t="s">
        <v>1388</v>
      </c>
    </row>
    <row r="57" spans="3:16" x14ac:dyDescent="0.25">
      <c r="C57" s="13">
        <v>56</v>
      </c>
      <c r="D57" s="13">
        <v>73380660575</v>
      </c>
      <c r="E57" s="13" t="s">
        <v>847</v>
      </c>
      <c r="F57" s="13">
        <v>72</v>
      </c>
      <c r="G57" s="13">
        <v>112.5</v>
      </c>
      <c r="H57" s="13">
        <v>38</v>
      </c>
      <c r="I57" s="19">
        <v>78</v>
      </c>
      <c r="J57">
        <v>123.5</v>
      </c>
      <c r="K57">
        <v>42</v>
      </c>
      <c r="L57">
        <v>6</v>
      </c>
      <c r="M57">
        <v>11</v>
      </c>
      <c r="N57">
        <v>4</v>
      </c>
      <c r="O57">
        <v>4</v>
      </c>
      <c r="P57" t="s">
        <v>1388</v>
      </c>
    </row>
    <row r="58" spans="3:16" x14ac:dyDescent="0.25">
      <c r="C58" s="13">
        <v>57</v>
      </c>
      <c r="D58" s="13">
        <v>73344420563</v>
      </c>
      <c r="E58" s="13" t="s">
        <v>848</v>
      </c>
      <c r="F58" s="13">
        <v>77</v>
      </c>
      <c r="G58" s="13">
        <v>122</v>
      </c>
      <c r="H58" s="13">
        <v>33</v>
      </c>
      <c r="I58" s="19">
        <v>78</v>
      </c>
      <c r="J58">
        <v>123.5</v>
      </c>
      <c r="K58">
        <v>42</v>
      </c>
      <c r="L58">
        <v>1</v>
      </c>
      <c r="M58">
        <v>1.5</v>
      </c>
      <c r="N58">
        <v>9</v>
      </c>
      <c r="O58">
        <v>1</v>
      </c>
      <c r="P58" t="s">
        <v>1388</v>
      </c>
    </row>
    <row r="59" spans="3:16" x14ac:dyDescent="0.25">
      <c r="C59" s="13">
        <v>58</v>
      </c>
      <c r="D59" s="13">
        <v>73346909580</v>
      </c>
      <c r="E59" s="13" t="s">
        <v>849</v>
      </c>
      <c r="F59" s="13">
        <v>82</v>
      </c>
      <c r="G59" s="13">
        <v>126.5</v>
      </c>
      <c r="H59" s="13">
        <v>43</v>
      </c>
      <c r="I59" s="19">
        <v>78</v>
      </c>
      <c r="J59">
        <v>123.5</v>
      </c>
      <c r="K59">
        <v>42</v>
      </c>
      <c r="L59">
        <v>-4</v>
      </c>
      <c r="M59">
        <v>-3</v>
      </c>
      <c r="N59">
        <v>-1</v>
      </c>
      <c r="O59">
        <v>-4</v>
      </c>
      <c r="P59" t="s">
        <v>1388</v>
      </c>
    </row>
    <row r="60" spans="3:16" x14ac:dyDescent="0.25">
      <c r="C60" s="13">
        <v>59</v>
      </c>
      <c r="D60" s="13">
        <v>73403436164</v>
      </c>
      <c r="E60" s="13" t="s">
        <v>850</v>
      </c>
      <c r="F60" s="13">
        <v>72</v>
      </c>
      <c r="G60" s="13">
        <v>113.5</v>
      </c>
      <c r="H60" s="13">
        <v>45</v>
      </c>
      <c r="I60" s="19">
        <v>78</v>
      </c>
      <c r="J60">
        <v>123.5</v>
      </c>
      <c r="K60">
        <v>42</v>
      </c>
      <c r="L60">
        <v>6</v>
      </c>
      <c r="M60">
        <v>10</v>
      </c>
      <c r="N60">
        <v>-3</v>
      </c>
      <c r="O60">
        <v>-3</v>
      </c>
      <c r="P60" t="s">
        <v>1388</v>
      </c>
    </row>
    <row r="61" spans="3:16" x14ac:dyDescent="0.25">
      <c r="C61" s="13">
        <v>60</v>
      </c>
      <c r="D61" s="13">
        <v>73286276110</v>
      </c>
      <c r="E61" s="13" t="s">
        <v>851</v>
      </c>
      <c r="F61" s="13">
        <v>83</v>
      </c>
      <c r="G61" s="13">
        <v>128</v>
      </c>
      <c r="H61" s="13">
        <v>28</v>
      </c>
      <c r="I61" s="19">
        <v>78</v>
      </c>
      <c r="J61">
        <v>123.5</v>
      </c>
      <c r="K61">
        <v>42</v>
      </c>
      <c r="L61">
        <v>-5</v>
      </c>
      <c r="M61">
        <v>-4.5</v>
      </c>
      <c r="N61">
        <v>14</v>
      </c>
      <c r="O61">
        <v>-5</v>
      </c>
      <c r="P61" t="s">
        <v>1388</v>
      </c>
    </row>
    <row r="62" spans="3:16" x14ac:dyDescent="0.25">
      <c r="C62" s="13">
        <v>61</v>
      </c>
      <c r="D62" s="13">
        <v>73307053848</v>
      </c>
      <c r="E62" s="13" t="s">
        <v>853</v>
      </c>
      <c r="F62" s="13">
        <v>75</v>
      </c>
      <c r="G62" s="13">
        <v>119</v>
      </c>
      <c r="H62" s="13">
        <v>26</v>
      </c>
      <c r="I62" s="19">
        <v>78</v>
      </c>
      <c r="J62">
        <v>123.5</v>
      </c>
      <c r="K62">
        <v>42</v>
      </c>
      <c r="L62">
        <v>3</v>
      </c>
      <c r="M62">
        <v>4.5</v>
      </c>
      <c r="N62">
        <v>16</v>
      </c>
      <c r="O62">
        <v>3</v>
      </c>
      <c r="P62" t="s">
        <v>1388</v>
      </c>
    </row>
    <row r="63" spans="3:16" x14ac:dyDescent="0.25">
      <c r="C63" s="13">
        <v>62</v>
      </c>
      <c r="D63" s="13">
        <v>73301202628</v>
      </c>
      <c r="E63" s="13" t="s">
        <v>857</v>
      </c>
      <c r="F63" s="13">
        <v>71</v>
      </c>
      <c r="G63" s="13">
        <v>113</v>
      </c>
      <c r="H63" s="13">
        <v>47</v>
      </c>
      <c r="I63" s="19">
        <v>78</v>
      </c>
      <c r="J63">
        <v>123.5</v>
      </c>
      <c r="K63">
        <v>42</v>
      </c>
      <c r="L63">
        <v>7</v>
      </c>
      <c r="M63">
        <v>10.5</v>
      </c>
      <c r="N63">
        <v>-5</v>
      </c>
      <c r="O63">
        <v>-5</v>
      </c>
      <c r="P63" t="s">
        <v>1388</v>
      </c>
    </row>
    <row r="64" spans="3:16" x14ac:dyDescent="0.25">
      <c r="C64" s="13">
        <v>63</v>
      </c>
      <c r="D64" s="13">
        <v>73325573588</v>
      </c>
      <c r="E64" s="13" t="s">
        <v>864</v>
      </c>
      <c r="F64" s="13">
        <v>80</v>
      </c>
      <c r="G64" s="13">
        <v>127</v>
      </c>
      <c r="H64" s="13">
        <v>37</v>
      </c>
      <c r="I64" s="19">
        <v>78</v>
      </c>
      <c r="J64">
        <v>123.5</v>
      </c>
      <c r="K64">
        <v>42</v>
      </c>
      <c r="L64">
        <v>-2</v>
      </c>
      <c r="M64">
        <v>-3.5</v>
      </c>
      <c r="N64">
        <v>5</v>
      </c>
      <c r="O64">
        <v>-3.5</v>
      </c>
      <c r="P64" t="s">
        <v>1388</v>
      </c>
    </row>
    <row r="65" spans="3:16" x14ac:dyDescent="0.25">
      <c r="C65" s="13">
        <v>64</v>
      </c>
      <c r="D65" s="13">
        <v>73364941011</v>
      </c>
      <c r="E65" s="13" t="s">
        <v>867</v>
      </c>
      <c r="F65" s="13">
        <v>82</v>
      </c>
      <c r="G65" s="13">
        <v>128</v>
      </c>
      <c r="H65" s="13">
        <v>34</v>
      </c>
      <c r="I65" s="19">
        <v>78</v>
      </c>
      <c r="J65">
        <v>123.5</v>
      </c>
      <c r="K65">
        <v>42</v>
      </c>
      <c r="L65">
        <v>-4</v>
      </c>
      <c r="M65">
        <v>-4.5</v>
      </c>
      <c r="N65">
        <v>8</v>
      </c>
      <c r="O65">
        <v>-4.5</v>
      </c>
      <c r="P65" t="s">
        <v>1388</v>
      </c>
    </row>
    <row r="66" spans="3:16" x14ac:dyDescent="0.25">
      <c r="C66" s="13">
        <v>65</v>
      </c>
      <c r="D66" s="13">
        <v>73370524480</v>
      </c>
      <c r="E66" s="13" t="s">
        <v>868</v>
      </c>
      <c r="F66" s="13">
        <v>80</v>
      </c>
      <c r="G66" s="13">
        <v>124</v>
      </c>
      <c r="H66" s="13">
        <v>39</v>
      </c>
      <c r="I66" s="19">
        <v>78</v>
      </c>
      <c r="J66">
        <v>123.5</v>
      </c>
      <c r="K66">
        <v>42</v>
      </c>
      <c r="L66">
        <v>-2</v>
      </c>
      <c r="M66">
        <v>-0.5</v>
      </c>
      <c r="N66">
        <v>3</v>
      </c>
      <c r="O66">
        <v>-2</v>
      </c>
      <c r="P66" t="s">
        <v>1388</v>
      </c>
    </row>
    <row r="67" spans="3:16" x14ac:dyDescent="0.25">
      <c r="C67" s="13">
        <v>66</v>
      </c>
      <c r="D67" s="13">
        <v>73325412783</v>
      </c>
      <c r="E67" s="13" t="s">
        <v>869</v>
      </c>
      <c r="F67" s="13">
        <v>81</v>
      </c>
      <c r="G67" s="13">
        <v>124.5</v>
      </c>
      <c r="H67" s="13">
        <v>37</v>
      </c>
      <c r="I67" s="19">
        <v>78</v>
      </c>
      <c r="J67">
        <v>123.5</v>
      </c>
      <c r="K67">
        <v>42</v>
      </c>
      <c r="L67">
        <v>-3</v>
      </c>
      <c r="M67">
        <v>-1</v>
      </c>
      <c r="N67">
        <v>5</v>
      </c>
      <c r="O67">
        <v>-3</v>
      </c>
      <c r="P67" t="s">
        <v>1388</v>
      </c>
    </row>
    <row r="68" spans="3:16" x14ac:dyDescent="0.25">
      <c r="C68" s="13">
        <v>67</v>
      </c>
      <c r="D68" s="13">
        <v>73346870682</v>
      </c>
      <c r="E68" s="13" t="s">
        <v>872</v>
      </c>
      <c r="F68" s="13">
        <v>76</v>
      </c>
      <c r="G68" s="13">
        <v>118</v>
      </c>
      <c r="H68" s="13">
        <v>28</v>
      </c>
      <c r="I68" s="19">
        <v>78</v>
      </c>
      <c r="J68">
        <v>123.5</v>
      </c>
      <c r="K68">
        <v>42</v>
      </c>
      <c r="L68">
        <v>2</v>
      </c>
      <c r="M68">
        <v>5.5</v>
      </c>
      <c r="N68">
        <v>14</v>
      </c>
      <c r="O68">
        <v>2</v>
      </c>
      <c r="P68" t="s">
        <v>1388</v>
      </c>
    </row>
    <row r="69" spans="3:16" x14ac:dyDescent="0.25">
      <c r="C69" s="13">
        <v>68</v>
      </c>
      <c r="D69" s="13">
        <v>73371003648</v>
      </c>
      <c r="E69" s="13" t="s">
        <v>873</v>
      </c>
      <c r="F69" s="13">
        <v>83</v>
      </c>
      <c r="G69" s="13">
        <v>130</v>
      </c>
      <c r="H69" s="13">
        <v>32</v>
      </c>
      <c r="I69" s="19">
        <v>78</v>
      </c>
      <c r="J69">
        <v>123.5</v>
      </c>
      <c r="K69">
        <v>42</v>
      </c>
      <c r="L69">
        <v>-5</v>
      </c>
      <c r="M69">
        <v>-6.5</v>
      </c>
      <c r="N69">
        <v>10</v>
      </c>
      <c r="O69">
        <v>-6.5</v>
      </c>
      <c r="P69" t="s">
        <v>1388</v>
      </c>
    </row>
    <row r="70" spans="3:16" x14ac:dyDescent="0.25">
      <c r="C70" s="13">
        <v>69</v>
      </c>
      <c r="D70" s="13">
        <v>73389188130</v>
      </c>
      <c r="E70" s="13" t="s">
        <v>876</v>
      </c>
      <c r="F70" s="13">
        <v>70</v>
      </c>
      <c r="G70" s="13">
        <v>112</v>
      </c>
      <c r="H70" s="13">
        <v>46</v>
      </c>
      <c r="I70" s="19">
        <v>78</v>
      </c>
      <c r="J70">
        <v>123.5</v>
      </c>
      <c r="K70">
        <v>42</v>
      </c>
      <c r="L70">
        <v>8</v>
      </c>
      <c r="M70">
        <v>11.5</v>
      </c>
      <c r="N70">
        <v>-4</v>
      </c>
      <c r="O70">
        <v>-4</v>
      </c>
      <c r="P70" t="s">
        <v>1388</v>
      </c>
    </row>
    <row r="71" spans="3:16" x14ac:dyDescent="0.25">
      <c r="C71" s="13">
        <v>70</v>
      </c>
      <c r="D71" s="13">
        <v>73261338358</v>
      </c>
      <c r="E71" s="13" t="s">
        <v>877</v>
      </c>
      <c r="F71" s="13">
        <v>77</v>
      </c>
      <c r="G71" s="13">
        <v>124</v>
      </c>
      <c r="H71" s="13">
        <v>44</v>
      </c>
      <c r="I71" s="19">
        <v>78</v>
      </c>
      <c r="J71">
        <v>123.5</v>
      </c>
      <c r="K71">
        <v>42</v>
      </c>
      <c r="L71">
        <v>1</v>
      </c>
      <c r="M71">
        <v>-0.5</v>
      </c>
      <c r="N71">
        <v>-2</v>
      </c>
      <c r="O71">
        <v>-2</v>
      </c>
      <c r="P71" t="s">
        <v>1388</v>
      </c>
    </row>
    <row r="72" spans="3:16" x14ac:dyDescent="0.25">
      <c r="C72" s="13">
        <v>71</v>
      </c>
      <c r="D72" s="13">
        <v>73341062441</v>
      </c>
      <c r="E72" s="13" t="s">
        <v>878</v>
      </c>
      <c r="F72" s="13">
        <v>88</v>
      </c>
      <c r="G72" s="13">
        <v>136.5</v>
      </c>
      <c r="H72" s="13">
        <v>33</v>
      </c>
      <c r="I72" s="19">
        <v>78</v>
      </c>
      <c r="J72">
        <v>123.5</v>
      </c>
      <c r="K72">
        <v>42</v>
      </c>
      <c r="L72">
        <v>-10</v>
      </c>
      <c r="M72">
        <v>-13</v>
      </c>
      <c r="N72">
        <v>9</v>
      </c>
      <c r="O72">
        <v>-13</v>
      </c>
      <c r="P72" t="s">
        <v>1388</v>
      </c>
    </row>
    <row r="73" spans="3:16" x14ac:dyDescent="0.25">
      <c r="C73" s="13">
        <v>72</v>
      </c>
      <c r="D73" s="13">
        <v>73259900015</v>
      </c>
      <c r="E73" s="13" t="s">
        <v>879</v>
      </c>
      <c r="F73" s="13">
        <v>86</v>
      </c>
      <c r="G73" s="13">
        <v>133.5</v>
      </c>
      <c r="H73" s="13">
        <v>21</v>
      </c>
      <c r="I73" s="19">
        <v>78</v>
      </c>
      <c r="J73">
        <v>123.5</v>
      </c>
      <c r="K73">
        <v>42</v>
      </c>
      <c r="L73">
        <v>-8</v>
      </c>
      <c r="M73">
        <v>-10</v>
      </c>
      <c r="N73">
        <v>21</v>
      </c>
      <c r="O73">
        <v>-10</v>
      </c>
      <c r="P73" t="s">
        <v>1388</v>
      </c>
    </row>
    <row r="74" spans="3:16" x14ac:dyDescent="0.25">
      <c r="C74" s="13">
        <v>73</v>
      </c>
      <c r="D74" s="13">
        <v>73325125079</v>
      </c>
      <c r="E74" s="13" t="s">
        <v>880</v>
      </c>
      <c r="F74" s="13">
        <v>83</v>
      </c>
      <c r="G74" s="13">
        <v>130.5</v>
      </c>
      <c r="H74" s="13">
        <v>41</v>
      </c>
      <c r="I74" s="19">
        <v>78</v>
      </c>
      <c r="J74">
        <v>123.5</v>
      </c>
      <c r="K74">
        <v>42</v>
      </c>
      <c r="L74">
        <v>-5</v>
      </c>
      <c r="M74">
        <v>-7</v>
      </c>
      <c r="N74">
        <v>1</v>
      </c>
      <c r="O74">
        <v>-7</v>
      </c>
      <c r="P74" t="s">
        <v>1388</v>
      </c>
    </row>
    <row r="75" spans="3:16" x14ac:dyDescent="0.25">
      <c r="C75" s="13">
        <v>74</v>
      </c>
      <c r="D75" s="13">
        <v>73275366229</v>
      </c>
      <c r="E75" s="13" t="s">
        <v>881</v>
      </c>
      <c r="F75" s="13">
        <v>84</v>
      </c>
      <c r="G75" s="13">
        <v>129.5</v>
      </c>
      <c r="H75" s="13">
        <v>41</v>
      </c>
      <c r="I75" s="19">
        <v>78</v>
      </c>
      <c r="J75">
        <v>123.5</v>
      </c>
      <c r="K75">
        <v>42</v>
      </c>
      <c r="L75">
        <v>-6</v>
      </c>
      <c r="M75">
        <v>-6</v>
      </c>
      <c r="N75">
        <v>1</v>
      </c>
      <c r="O75">
        <v>-6</v>
      </c>
      <c r="P75" t="s">
        <v>1388</v>
      </c>
    </row>
    <row r="76" spans="3:16" x14ac:dyDescent="0.25">
      <c r="C76" s="13">
        <v>75</v>
      </c>
      <c r="D76" s="13">
        <v>73323596233</v>
      </c>
      <c r="E76" s="13" t="s">
        <v>882</v>
      </c>
      <c r="F76" s="13">
        <v>74</v>
      </c>
      <c r="G76" s="13">
        <v>115</v>
      </c>
      <c r="H76" s="13">
        <v>42</v>
      </c>
      <c r="I76" s="19">
        <v>78</v>
      </c>
      <c r="J76">
        <v>123.5</v>
      </c>
      <c r="K76">
        <v>42</v>
      </c>
      <c r="L76">
        <v>4</v>
      </c>
      <c r="M76">
        <v>8.5</v>
      </c>
      <c r="N76">
        <v>0</v>
      </c>
      <c r="O76">
        <v>0</v>
      </c>
      <c r="P76" t="s">
        <v>1388</v>
      </c>
    </row>
    <row r="77" spans="3:16" x14ac:dyDescent="0.25">
      <c r="C77" s="13">
        <v>76</v>
      </c>
      <c r="D77" s="13">
        <v>73265876309</v>
      </c>
      <c r="E77" s="13" t="s">
        <v>886</v>
      </c>
      <c r="F77" s="13">
        <v>73</v>
      </c>
      <c r="G77" s="13">
        <v>115</v>
      </c>
      <c r="H77" s="13">
        <v>27</v>
      </c>
      <c r="I77" s="19">
        <v>78</v>
      </c>
      <c r="J77">
        <v>123.5</v>
      </c>
      <c r="K77">
        <v>42</v>
      </c>
      <c r="L77">
        <v>5</v>
      </c>
      <c r="M77">
        <v>8.5</v>
      </c>
      <c r="N77">
        <v>15</v>
      </c>
      <c r="O77">
        <v>5</v>
      </c>
      <c r="P77" t="s">
        <v>1388</v>
      </c>
    </row>
    <row r="78" spans="3:16" x14ac:dyDescent="0.25">
      <c r="C78" s="13">
        <v>77</v>
      </c>
      <c r="D78" s="13">
        <v>73385089644</v>
      </c>
      <c r="E78" s="13" t="s">
        <v>887</v>
      </c>
      <c r="F78" s="13">
        <v>75</v>
      </c>
      <c r="G78" s="13">
        <v>120</v>
      </c>
      <c r="H78" s="13">
        <v>40</v>
      </c>
      <c r="I78" s="19">
        <v>78</v>
      </c>
      <c r="J78">
        <v>123.5</v>
      </c>
      <c r="K78">
        <v>42</v>
      </c>
      <c r="L78">
        <v>3</v>
      </c>
      <c r="M78">
        <v>3.5</v>
      </c>
      <c r="N78">
        <v>2</v>
      </c>
      <c r="O78">
        <v>2</v>
      </c>
      <c r="P78" t="s">
        <v>1388</v>
      </c>
    </row>
    <row r="79" spans="3:16" x14ac:dyDescent="0.25">
      <c r="C79" s="13">
        <v>78</v>
      </c>
      <c r="D79" s="13">
        <v>73308804814</v>
      </c>
      <c r="E79" s="13" t="s">
        <v>894</v>
      </c>
      <c r="F79" s="13">
        <v>75</v>
      </c>
      <c r="G79" s="13">
        <v>118</v>
      </c>
      <c r="H79" s="13">
        <v>49</v>
      </c>
      <c r="I79" s="19">
        <v>78</v>
      </c>
      <c r="J79">
        <v>123.5</v>
      </c>
      <c r="K79">
        <v>42</v>
      </c>
      <c r="L79">
        <v>3</v>
      </c>
      <c r="M79">
        <v>5.5</v>
      </c>
      <c r="N79">
        <v>-7</v>
      </c>
      <c r="O79">
        <v>-7</v>
      </c>
      <c r="P79" t="s">
        <v>1388</v>
      </c>
    </row>
    <row r="80" spans="3:16" x14ac:dyDescent="0.25">
      <c r="C80" s="13">
        <v>79</v>
      </c>
      <c r="D80" s="13">
        <v>73316183959</v>
      </c>
      <c r="E80" s="13" t="s">
        <v>900</v>
      </c>
      <c r="F80" s="13">
        <v>72</v>
      </c>
      <c r="G80" s="13">
        <v>114</v>
      </c>
      <c r="H80" s="13">
        <v>38</v>
      </c>
      <c r="I80" s="19">
        <v>78</v>
      </c>
      <c r="J80">
        <v>123.5</v>
      </c>
      <c r="K80">
        <v>42</v>
      </c>
      <c r="L80">
        <v>6</v>
      </c>
      <c r="M80">
        <v>9.5</v>
      </c>
      <c r="N80">
        <v>4</v>
      </c>
      <c r="O80">
        <v>4</v>
      </c>
      <c r="P80" t="s">
        <v>1388</v>
      </c>
    </row>
    <row r="81" spans="3:16" x14ac:dyDescent="0.25">
      <c r="C81" s="13">
        <v>80</v>
      </c>
      <c r="D81" s="13">
        <v>73369263523</v>
      </c>
      <c r="E81" s="13" t="s">
        <v>901</v>
      </c>
      <c r="F81" s="13">
        <v>75</v>
      </c>
      <c r="G81" s="13">
        <v>118.5</v>
      </c>
      <c r="H81" s="13">
        <v>43</v>
      </c>
      <c r="I81" s="19">
        <v>78</v>
      </c>
      <c r="J81">
        <v>123.5</v>
      </c>
      <c r="K81">
        <v>42</v>
      </c>
      <c r="L81">
        <v>3</v>
      </c>
      <c r="M81">
        <v>5</v>
      </c>
      <c r="N81">
        <v>-1</v>
      </c>
      <c r="O81">
        <v>-1</v>
      </c>
      <c r="P81" t="s">
        <v>1388</v>
      </c>
    </row>
    <row r="82" spans="3:16" x14ac:dyDescent="0.25">
      <c r="C82" s="13">
        <v>81</v>
      </c>
      <c r="D82" s="13">
        <v>73371440062</v>
      </c>
      <c r="E82" s="13" t="s">
        <v>904</v>
      </c>
      <c r="F82" s="13">
        <v>86</v>
      </c>
      <c r="G82" s="13">
        <v>131</v>
      </c>
      <c r="H82" s="13">
        <v>39</v>
      </c>
      <c r="I82" s="19">
        <v>78</v>
      </c>
      <c r="J82">
        <v>123.5</v>
      </c>
      <c r="K82">
        <v>42</v>
      </c>
      <c r="L82">
        <v>-8</v>
      </c>
      <c r="M82">
        <v>-7.5</v>
      </c>
      <c r="N82">
        <v>3</v>
      </c>
      <c r="O82">
        <v>-8</v>
      </c>
      <c r="P82" t="s">
        <v>1388</v>
      </c>
    </row>
    <row r="83" spans="3:16" x14ac:dyDescent="0.25">
      <c r="C83" s="13">
        <v>82</v>
      </c>
      <c r="D83" s="13">
        <v>73256524076</v>
      </c>
      <c r="E83" s="13" t="s">
        <v>905</v>
      </c>
      <c r="F83" s="13">
        <v>74</v>
      </c>
      <c r="G83" s="13">
        <v>119</v>
      </c>
      <c r="H83" s="13">
        <v>26</v>
      </c>
      <c r="I83" s="19">
        <v>78</v>
      </c>
      <c r="J83">
        <v>123.5</v>
      </c>
      <c r="K83">
        <v>42</v>
      </c>
      <c r="L83">
        <v>4</v>
      </c>
      <c r="M83">
        <v>4.5</v>
      </c>
      <c r="N83">
        <v>16</v>
      </c>
      <c r="O83">
        <v>4</v>
      </c>
      <c r="P83" t="s">
        <v>1388</v>
      </c>
    </row>
    <row r="84" spans="3:16" x14ac:dyDescent="0.25">
      <c r="C84" s="13">
        <v>83</v>
      </c>
      <c r="D84" s="13">
        <v>73281798032</v>
      </c>
      <c r="E84" s="13" t="s">
        <v>906</v>
      </c>
      <c r="F84" s="13">
        <v>73</v>
      </c>
      <c r="G84" s="13">
        <v>117</v>
      </c>
      <c r="H84" s="13">
        <v>46</v>
      </c>
      <c r="I84" s="19">
        <v>78</v>
      </c>
      <c r="J84">
        <v>123.5</v>
      </c>
      <c r="K84">
        <v>42</v>
      </c>
      <c r="L84">
        <v>5</v>
      </c>
      <c r="M84">
        <v>6.5</v>
      </c>
      <c r="N84">
        <v>-4</v>
      </c>
      <c r="O84">
        <v>-4</v>
      </c>
      <c r="P84" t="s">
        <v>1388</v>
      </c>
    </row>
    <row r="85" spans="3:16" x14ac:dyDescent="0.25">
      <c r="C85" s="13">
        <v>84</v>
      </c>
      <c r="D85" s="13">
        <v>73401366436</v>
      </c>
      <c r="E85" s="13" t="s">
        <v>907</v>
      </c>
      <c r="F85" s="13">
        <v>83</v>
      </c>
      <c r="G85" s="13">
        <v>128</v>
      </c>
      <c r="H85" s="13">
        <v>39</v>
      </c>
      <c r="I85" s="19">
        <v>78</v>
      </c>
      <c r="J85">
        <v>123.5</v>
      </c>
      <c r="K85">
        <v>42</v>
      </c>
      <c r="L85">
        <v>-5</v>
      </c>
      <c r="M85">
        <v>-4.5</v>
      </c>
      <c r="N85">
        <v>3</v>
      </c>
      <c r="O85">
        <v>-5</v>
      </c>
      <c r="P85" t="s">
        <v>1388</v>
      </c>
    </row>
    <row r="86" spans="3:16" x14ac:dyDescent="0.25">
      <c r="C86" s="13">
        <v>85</v>
      </c>
      <c r="D86" s="13">
        <v>84327992264</v>
      </c>
      <c r="E86" s="13" t="s">
        <v>911</v>
      </c>
      <c r="F86" s="13">
        <v>75</v>
      </c>
      <c r="G86" s="13">
        <v>118</v>
      </c>
      <c r="H86" s="13">
        <v>38</v>
      </c>
      <c r="I86" s="19">
        <v>78</v>
      </c>
      <c r="J86">
        <v>123.5</v>
      </c>
      <c r="K86">
        <v>42</v>
      </c>
      <c r="L86">
        <v>3</v>
      </c>
      <c r="M86">
        <v>5.5</v>
      </c>
      <c r="N86">
        <v>4</v>
      </c>
      <c r="O86">
        <v>3</v>
      </c>
      <c r="P86" t="s">
        <v>1388</v>
      </c>
    </row>
    <row r="87" spans="3:16" x14ac:dyDescent="0.25">
      <c r="C87" s="13">
        <v>86</v>
      </c>
      <c r="D87" s="13">
        <v>73397906008</v>
      </c>
      <c r="E87" s="13" t="s">
        <v>913</v>
      </c>
      <c r="F87" s="13">
        <v>91</v>
      </c>
      <c r="G87" s="13">
        <v>137.5</v>
      </c>
      <c r="H87" s="13">
        <v>26</v>
      </c>
      <c r="I87" s="19">
        <v>78</v>
      </c>
      <c r="J87">
        <v>123.5</v>
      </c>
      <c r="K87">
        <v>42</v>
      </c>
      <c r="L87">
        <v>-13</v>
      </c>
      <c r="M87">
        <v>-14</v>
      </c>
      <c r="N87">
        <v>16</v>
      </c>
      <c r="O87">
        <v>-14</v>
      </c>
      <c r="P87" t="s">
        <v>1388</v>
      </c>
    </row>
    <row r="88" spans="3:16" x14ac:dyDescent="0.25">
      <c r="C88" s="13">
        <v>87</v>
      </c>
      <c r="D88" s="13">
        <v>73384983402</v>
      </c>
      <c r="E88" s="13" t="s">
        <v>914</v>
      </c>
      <c r="F88" s="13">
        <v>74</v>
      </c>
      <c r="G88" s="13">
        <v>117.5</v>
      </c>
      <c r="H88" s="13">
        <v>44</v>
      </c>
      <c r="I88" s="19">
        <v>78</v>
      </c>
      <c r="J88">
        <v>123.5</v>
      </c>
      <c r="K88">
        <v>42</v>
      </c>
      <c r="L88">
        <v>4</v>
      </c>
      <c r="M88">
        <v>6</v>
      </c>
      <c r="N88">
        <v>-2</v>
      </c>
      <c r="O88">
        <v>-2</v>
      </c>
      <c r="P88" t="s">
        <v>1388</v>
      </c>
    </row>
    <row r="89" spans="3:16" x14ac:dyDescent="0.25">
      <c r="C89" s="13">
        <v>88</v>
      </c>
      <c r="D89" s="13">
        <v>73368764087</v>
      </c>
      <c r="E89" s="13" t="s">
        <v>915</v>
      </c>
      <c r="F89" s="13">
        <v>73</v>
      </c>
      <c r="G89" s="13">
        <v>117</v>
      </c>
      <c r="H89" s="13">
        <v>48</v>
      </c>
      <c r="I89" s="19">
        <v>78</v>
      </c>
      <c r="J89">
        <v>123.5</v>
      </c>
      <c r="K89">
        <v>42</v>
      </c>
      <c r="L89">
        <v>5</v>
      </c>
      <c r="M89">
        <v>6.5</v>
      </c>
      <c r="N89">
        <v>-6</v>
      </c>
      <c r="O89">
        <v>-6</v>
      </c>
      <c r="P89" t="s">
        <v>1388</v>
      </c>
    </row>
    <row r="90" spans="3:16" x14ac:dyDescent="0.25">
      <c r="C90" s="13">
        <v>89</v>
      </c>
      <c r="D90" s="13">
        <v>73385535506</v>
      </c>
      <c r="E90" s="13" t="s">
        <v>916</v>
      </c>
      <c r="F90" s="13">
        <v>73</v>
      </c>
      <c r="G90" s="13">
        <v>117</v>
      </c>
      <c r="H90" s="13">
        <v>46</v>
      </c>
      <c r="I90" s="19">
        <v>78</v>
      </c>
      <c r="J90">
        <v>123.5</v>
      </c>
      <c r="K90">
        <v>42</v>
      </c>
      <c r="L90">
        <v>5</v>
      </c>
      <c r="M90">
        <v>6.5</v>
      </c>
      <c r="N90">
        <v>-4</v>
      </c>
      <c r="O90">
        <v>-4</v>
      </c>
      <c r="P90" t="s">
        <v>1388</v>
      </c>
    </row>
    <row r="91" spans="3:16" x14ac:dyDescent="0.25">
      <c r="C91" s="13">
        <v>90</v>
      </c>
      <c r="D91" s="13">
        <v>73323250096</v>
      </c>
      <c r="E91" s="13" t="s">
        <v>926</v>
      </c>
      <c r="F91" s="13">
        <v>78</v>
      </c>
      <c r="G91" s="13">
        <v>122.5</v>
      </c>
      <c r="H91" s="13">
        <v>34</v>
      </c>
      <c r="I91" s="19">
        <v>78</v>
      </c>
      <c r="J91">
        <v>123.5</v>
      </c>
      <c r="K91">
        <v>42</v>
      </c>
      <c r="L91">
        <v>0</v>
      </c>
      <c r="M91">
        <v>1</v>
      </c>
      <c r="N91">
        <v>8</v>
      </c>
      <c r="O91">
        <v>0</v>
      </c>
      <c r="P91" t="s">
        <v>1388</v>
      </c>
    </row>
    <row r="92" spans="3:16" x14ac:dyDescent="0.25">
      <c r="C92" s="13">
        <v>91</v>
      </c>
      <c r="D92" s="13">
        <v>73355328582</v>
      </c>
      <c r="E92" s="13" t="s">
        <v>929</v>
      </c>
      <c r="F92" s="13">
        <v>80</v>
      </c>
      <c r="G92" s="13">
        <v>124.5</v>
      </c>
      <c r="H92" s="13">
        <v>39</v>
      </c>
      <c r="I92" s="19">
        <v>78</v>
      </c>
      <c r="J92">
        <v>123.5</v>
      </c>
      <c r="K92">
        <v>42</v>
      </c>
      <c r="L92">
        <v>-2</v>
      </c>
      <c r="M92">
        <v>-1</v>
      </c>
      <c r="N92">
        <v>3</v>
      </c>
      <c r="O92">
        <v>-2</v>
      </c>
      <c r="P92" t="s">
        <v>1388</v>
      </c>
    </row>
    <row r="93" spans="3:16" x14ac:dyDescent="0.25">
      <c r="C93" s="13">
        <v>92</v>
      </c>
      <c r="D93" s="13">
        <v>73331374169</v>
      </c>
      <c r="E93" s="13" t="s">
        <v>931</v>
      </c>
      <c r="F93" s="13">
        <v>83</v>
      </c>
      <c r="G93" s="13">
        <v>127</v>
      </c>
      <c r="H93" s="13">
        <v>41</v>
      </c>
      <c r="I93" s="19">
        <v>78</v>
      </c>
      <c r="J93">
        <v>123.5</v>
      </c>
      <c r="K93">
        <v>42</v>
      </c>
      <c r="L93">
        <v>-5</v>
      </c>
      <c r="M93">
        <v>-3.5</v>
      </c>
      <c r="N93">
        <v>1</v>
      </c>
      <c r="O93">
        <v>-5</v>
      </c>
      <c r="P93" t="s">
        <v>1388</v>
      </c>
    </row>
    <row r="94" spans="3:16" x14ac:dyDescent="0.25">
      <c r="C94" s="13">
        <v>93</v>
      </c>
      <c r="D94" s="13">
        <v>73334391350</v>
      </c>
      <c r="E94" s="13" t="s">
        <v>933</v>
      </c>
      <c r="F94" s="13">
        <v>72</v>
      </c>
      <c r="G94" s="13">
        <v>114</v>
      </c>
      <c r="H94" s="13">
        <v>48</v>
      </c>
      <c r="I94" s="19">
        <v>78</v>
      </c>
      <c r="J94">
        <v>123.5</v>
      </c>
      <c r="K94">
        <v>42</v>
      </c>
      <c r="L94">
        <v>6</v>
      </c>
      <c r="M94">
        <v>9.5</v>
      </c>
      <c r="N94">
        <v>-6</v>
      </c>
      <c r="O94">
        <v>-6</v>
      </c>
      <c r="P94" t="s">
        <v>1388</v>
      </c>
    </row>
    <row r="95" spans="3:16" x14ac:dyDescent="0.25">
      <c r="C95" s="13">
        <v>94</v>
      </c>
      <c r="D95" s="13">
        <v>73318100786</v>
      </c>
      <c r="E95" s="13" t="s">
        <v>934</v>
      </c>
      <c r="F95" s="13">
        <v>88</v>
      </c>
      <c r="G95" s="13">
        <v>136.5</v>
      </c>
      <c r="H95" s="13">
        <v>40</v>
      </c>
      <c r="I95" s="19">
        <v>78</v>
      </c>
      <c r="J95">
        <v>123.5</v>
      </c>
      <c r="K95">
        <v>42</v>
      </c>
      <c r="L95">
        <v>-10</v>
      </c>
      <c r="M95">
        <v>-13</v>
      </c>
      <c r="N95">
        <v>2</v>
      </c>
      <c r="O95">
        <v>-13</v>
      </c>
      <c r="P95" t="s">
        <v>1388</v>
      </c>
    </row>
    <row r="96" spans="3:16" x14ac:dyDescent="0.25">
      <c r="C96" s="13">
        <v>95</v>
      </c>
      <c r="D96" s="13">
        <v>73397548436</v>
      </c>
      <c r="E96" s="13" t="s">
        <v>935</v>
      </c>
      <c r="F96" s="13">
        <v>77</v>
      </c>
      <c r="G96" s="13">
        <v>119</v>
      </c>
      <c r="H96" s="13">
        <v>45</v>
      </c>
      <c r="I96" s="19">
        <v>78</v>
      </c>
      <c r="J96">
        <v>123.5</v>
      </c>
      <c r="K96">
        <v>42</v>
      </c>
      <c r="L96">
        <v>1</v>
      </c>
      <c r="M96">
        <v>4.5</v>
      </c>
      <c r="N96">
        <v>-3</v>
      </c>
      <c r="O96">
        <v>-3</v>
      </c>
      <c r="P96" t="s">
        <v>1388</v>
      </c>
    </row>
    <row r="97" spans="3:16" x14ac:dyDescent="0.25">
      <c r="C97" s="13">
        <v>96</v>
      </c>
      <c r="D97" s="13">
        <v>73295222262</v>
      </c>
      <c r="E97" s="13" t="s">
        <v>940</v>
      </c>
      <c r="F97" s="13">
        <v>86</v>
      </c>
      <c r="G97" s="13">
        <v>130.5</v>
      </c>
      <c r="H97" s="13">
        <v>39</v>
      </c>
      <c r="I97" s="19">
        <v>78</v>
      </c>
      <c r="J97">
        <v>123.5</v>
      </c>
      <c r="K97">
        <v>42</v>
      </c>
      <c r="L97">
        <v>-8</v>
      </c>
      <c r="M97">
        <v>-7</v>
      </c>
      <c r="N97">
        <v>3</v>
      </c>
      <c r="O97">
        <v>-8</v>
      </c>
      <c r="P97" t="s">
        <v>1388</v>
      </c>
    </row>
    <row r="98" spans="3:16" x14ac:dyDescent="0.25">
      <c r="C98" s="13">
        <v>97</v>
      </c>
      <c r="D98" s="13">
        <v>73356772818</v>
      </c>
      <c r="E98" s="13" t="s">
        <v>947</v>
      </c>
      <c r="F98" s="13">
        <v>84</v>
      </c>
      <c r="G98" s="13">
        <v>129.5</v>
      </c>
      <c r="H98" s="13">
        <v>33</v>
      </c>
      <c r="I98" s="19">
        <v>78</v>
      </c>
      <c r="J98">
        <v>123.5</v>
      </c>
      <c r="K98">
        <v>42</v>
      </c>
      <c r="L98">
        <v>-6</v>
      </c>
      <c r="M98">
        <v>-6</v>
      </c>
      <c r="N98">
        <v>9</v>
      </c>
      <c r="O98">
        <v>-6</v>
      </c>
      <c r="P98" t="s">
        <v>1388</v>
      </c>
    </row>
    <row r="99" spans="3:16" x14ac:dyDescent="0.25">
      <c r="C99" s="13">
        <v>98</v>
      </c>
      <c r="D99" s="13">
        <v>73323389935</v>
      </c>
      <c r="E99" s="13" t="s">
        <v>950</v>
      </c>
      <c r="F99" s="13">
        <v>75</v>
      </c>
      <c r="G99" s="13">
        <v>118</v>
      </c>
      <c r="H99" s="13">
        <v>22</v>
      </c>
      <c r="I99" s="19">
        <v>78</v>
      </c>
      <c r="J99">
        <v>123.5</v>
      </c>
      <c r="K99">
        <v>42</v>
      </c>
      <c r="L99">
        <v>3</v>
      </c>
      <c r="M99">
        <v>5.5</v>
      </c>
      <c r="N99">
        <v>20</v>
      </c>
      <c r="O99">
        <v>3</v>
      </c>
      <c r="P99" t="s">
        <v>1388</v>
      </c>
    </row>
    <row r="100" spans="3:16" x14ac:dyDescent="0.25">
      <c r="C100" s="13">
        <v>99</v>
      </c>
      <c r="D100" s="13">
        <v>73299733127</v>
      </c>
      <c r="E100" s="13" t="s">
        <v>951</v>
      </c>
      <c r="F100" s="13">
        <v>71</v>
      </c>
      <c r="G100" s="13">
        <v>115.5</v>
      </c>
      <c r="H100" s="13">
        <v>40</v>
      </c>
      <c r="I100" s="19">
        <v>78</v>
      </c>
      <c r="J100">
        <v>123.5</v>
      </c>
      <c r="K100">
        <v>42</v>
      </c>
      <c r="L100">
        <v>7</v>
      </c>
      <c r="M100">
        <v>8</v>
      </c>
      <c r="N100">
        <v>2</v>
      </c>
      <c r="O100">
        <v>2</v>
      </c>
      <c r="P100" t="s">
        <v>1388</v>
      </c>
    </row>
    <row r="101" spans="3:16" x14ac:dyDescent="0.25">
      <c r="C101" s="13">
        <v>100</v>
      </c>
      <c r="D101" s="13">
        <v>73401450182</v>
      </c>
      <c r="E101" s="13" t="s">
        <v>957</v>
      </c>
      <c r="F101" s="13">
        <v>87</v>
      </c>
      <c r="G101" s="13">
        <v>133.5</v>
      </c>
      <c r="H101" s="13">
        <v>34</v>
      </c>
      <c r="I101" s="19">
        <v>78</v>
      </c>
      <c r="J101">
        <v>123.5</v>
      </c>
      <c r="K101">
        <v>42</v>
      </c>
      <c r="L101">
        <v>-9</v>
      </c>
      <c r="M101">
        <v>-10</v>
      </c>
      <c r="N101">
        <v>8</v>
      </c>
      <c r="O101">
        <v>-10</v>
      </c>
      <c r="P101" t="s">
        <v>1388</v>
      </c>
    </row>
    <row r="102" spans="3:16" x14ac:dyDescent="0.25">
      <c r="C102" s="13">
        <v>101</v>
      </c>
      <c r="D102" s="13">
        <v>73312771433</v>
      </c>
      <c r="E102" s="13" t="s">
        <v>958</v>
      </c>
      <c r="F102" s="13">
        <v>73</v>
      </c>
      <c r="G102" s="13">
        <v>117</v>
      </c>
      <c r="H102" s="13">
        <v>40</v>
      </c>
      <c r="I102" s="19">
        <v>78</v>
      </c>
      <c r="J102">
        <v>123.5</v>
      </c>
      <c r="K102">
        <v>42</v>
      </c>
      <c r="L102">
        <v>5</v>
      </c>
      <c r="M102">
        <v>6.5</v>
      </c>
      <c r="N102">
        <v>2</v>
      </c>
      <c r="O102">
        <v>2</v>
      </c>
      <c r="P102" t="s">
        <v>1388</v>
      </c>
    </row>
    <row r="103" spans="3:16" x14ac:dyDescent="0.25">
      <c r="C103" s="13">
        <v>102</v>
      </c>
      <c r="D103" s="13">
        <v>73284090684</v>
      </c>
      <c r="E103" s="13" t="s">
        <v>961</v>
      </c>
      <c r="F103" s="13">
        <v>78</v>
      </c>
      <c r="G103" s="13">
        <v>122.5</v>
      </c>
      <c r="H103" s="13">
        <v>37</v>
      </c>
      <c r="I103" s="19">
        <v>78</v>
      </c>
      <c r="J103">
        <v>123.5</v>
      </c>
      <c r="K103">
        <v>42</v>
      </c>
      <c r="L103">
        <v>0</v>
      </c>
      <c r="M103">
        <v>1</v>
      </c>
      <c r="N103">
        <v>5</v>
      </c>
      <c r="O103">
        <v>0</v>
      </c>
      <c r="P103" t="s">
        <v>1388</v>
      </c>
    </row>
    <row r="104" spans="3:16" x14ac:dyDescent="0.25">
      <c r="C104" s="13">
        <v>103</v>
      </c>
      <c r="D104" s="13">
        <v>73270341290</v>
      </c>
      <c r="E104" s="13" t="s">
        <v>968</v>
      </c>
      <c r="F104" s="13">
        <v>86</v>
      </c>
      <c r="G104" s="13">
        <v>132.5</v>
      </c>
      <c r="H104" s="13">
        <v>33</v>
      </c>
      <c r="I104" s="19">
        <v>78</v>
      </c>
      <c r="J104">
        <v>123.5</v>
      </c>
      <c r="K104">
        <v>42</v>
      </c>
      <c r="L104">
        <v>-8</v>
      </c>
      <c r="M104">
        <v>-9</v>
      </c>
      <c r="N104">
        <v>9</v>
      </c>
      <c r="O104">
        <v>-9</v>
      </c>
      <c r="P104" t="s">
        <v>1388</v>
      </c>
    </row>
    <row r="105" spans="3:16" x14ac:dyDescent="0.25">
      <c r="C105" s="13">
        <v>104</v>
      </c>
      <c r="D105" s="13">
        <v>73356573897</v>
      </c>
      <c r="E105" s="13" t="s">
        <v>969</v>
      </c>
      <c r="F105" s="13">
        <v>70</v>
      </c>
      <c r="G105" s="13">
        <v>110.5</v>
      </c>
      <c r="H105" s="13">
        <v>39</v>
      </c>
      <c r="I105" s="19">
        <v>78</v>
      </c>
      <c r="J105">
        <v>123.5</v>
      </c>
      <c r="K105">
        <v>42</v>
      </c>
      <c r="L105">
        <v>8</v>
      </c>
      <c r="M105">
        <v>13</v>
      </c>
      <c r="N105">
        <v>3</v>
      </c>
      <c r="O105">
        <v>3</v>
      </c>
      <c r="P105" t="s">
        <v>1388</v>
      </c>
    </row>
    <row r="106" spans="3:16" x14ac:dyDescent="0.25">
      <c r="C106" s="13">
        <v>105</v>
      </c>
      <c r="D106" s="13">
        <v>73257502770</v>
      </c>
      <c r="E106" s="13" t="s">
        <v>970</v>
      </c>
      <c r="F106" s="13">
        <v>79</v>
      </c>
      <c r="G106" s="13">
        <v>125</v>
      </c>
      <c r="H106" s="13">
        <v>40</v>
      </c>
      <c r="I106" s="19">
        <v>78</v>
      </c>
      <c r="J106">
        <v>123.5</v>
      </c>
      <c r="K106">
        <v>42</v>
      </c>
      <c r="L106">
        <v>-1</v>
      </c>
      <c r="M106">
        <v>-1.5</v>
      </c>
      <c r="N106">
        <v>2</v>
      </c>
      <c r="O106">
        <v>-1.5</v>
      </c>
      <c r="P106" t="s">
        <v>1388</v>
      </c>
    </row>
    <row r="107" spans="3:16" x14ac:dyDescent="0.25">
      <c r="C107" s="13">
        <v>106</v>
      </c>
      <c r="D107" s="13">
        <v>73292151621</v>
      </c>
      <c r="E107" s="13" t="s">
        <v>971</v>
      </c>
      <c r="F107" s="13">
        <v>81</v>
      </c>
      <c r="G107" s="13">
        <v>125</v>
      </c>
      <c r="H107" s="13">
        <v>25</v>
      </c>
      <c r="I107" s="19">
        <v>78</v>
      </c>
      <c r="J107">
        <v>123.5</v>
      </c>
      <c r="K107">
        <v>42</v>
      </c>
      <c r="L107">
        <v>-3</v>
      </c>
      <c r="M107">
        <v>-1.5</v>
      </c>
      <c r="N107">
        <v>17</v>
      </c>
      <c r="O107">
        <v>-3</v>
      </c>
      <c r="P107" t="s">
        <v>1388</v>
      </c>
    </row>
    <row r="108" spans="3:16" x14ac:dyDescent="0.25">
      <c r="C108" s="13">
        <v>107</v>
      </c>
      <c r="D108" s="13">
        <v>73292090070</v>
      </c>
      <c r="E108" s="13" t="s">
        <v>972</v>
      </c>
      <c r="F108" s="13">
        <v>76</v>
      </c>
      <c r="G108" s="13">
        <v>123</v>
      </c>
      <c r="H108" s="13">
        <v>40</v>
      </c>
      <c r="I108" s="19">
        <v>78</v>
      </c>
      <c r="J108">
        <v>123.5</v>
      </c>
      <c r="K108">
        <v>42</v>
      </c>
      <c r="L108">
        <v>2</v>
      </c>
      <c r="M108">
        <v>0.5</v>
      </c>
      <c r="N108">
        <v>2</v>
      </c>
      <c r="O108">
        <v>0.5</v>
      </c>
      <c r="P108" t="s">
        <v>1388</v>
      </c>
    </row>
    <row r="109" spans="3:16" x14ac:dyDescent="0.25">
      <c r="C109" s="13">
        <v>108</v>
      </c>
      <c r="D109" s="13">
        <v>73411480550</v>
      </c>
      <c r="E109" s="13" t="s">
        <v>973</v>
      </c>
      <c r="F109" s="13">
        <v>77</v>
      </c>
      <c r="G109" s="13">
        <v>121.5</v>
      </c>
      <c r="H109" s="13">
        <v>44</v>
      </c>
      <c r="I109" s="19">
        <v>78</v>
      </c>
      <c r="J109">
        <v>123.5</v>
      </c>
      <c r="K109">
        <v>42</v>
      </c>
      <c r="L109">
        <v>1</v>
      </c>
      <c r="M109">
        <v>2</v>
      </c>
      <c r="N109">
        <v>-2</v>
      </c>
      <c r="O109">
        <v>-2</v>
      </c>
      <c r="P109" t="s">
        <v>1388</v>
      </c>
    </row>
    <row r="110" spans="3:16" x14ac:dyDescent="0.25">
      <c r="C110" s="13">
        <v>109</v>
      </c>
      <c r="D110" s="13">
        <v>73389647743</v>
      </c>
      <c r="E110" s="13" t="s">
        <v>976</v>
      </c>
      <c r="F110" s="13">
        <v>89</v>
      </c>
      <c r="G110" s="13">
        <v>135.5</v>
      </c>
      <c r="H110" s="13">
        <v>36</v>
      </c>
      <c r="I110" s="19">
        <v>78</v>
      </c>
      <c r="J110">
        <v>123.5</v>
      </c>
      <c r="K110">
        <v>42</v>
      </c>
      <c r="L110">
        <v>-11</v>
      </c>
      <c r="M110">
        <v>-12</v>
      </c>
      <c r="N110">
        <v>6</v>
      </c>
      <c r="O110">
        <v>-12</v>
      </c>
      <c r="P110" t="s">
        <v>1388</v>
      </c>
    </row>
    <row r="111" spans="3:16" x14ac:dyDescent="0.25">
      <c r="C111" s="13">
        <v>110</v>
      </c>
      <c r="D111" s="13">
        <v>73235007100</v>
      </c>
      <c r="E111" s="13" t="s">
        <v>978</v>
      </c>
      <c r="F111" s="13">
        <v>73</v>
      </c>
      <c r="G111" s="13">
        <v>113</v>
      </c>
      <c r="H111" s="13">
        <v>41</v>
      </c>
      <c r="I111" s="19">
        <v>78</v>
      </c>
      <c r="J111">
        <v>123.5</v>
      </c>
      <c r="K111">
        <v>42</v>
      </c>
      <c r="L111">
        <v>5</v>
      </c>
      <c r="M111">
        <v>10.5</v>
      </c>
      <c r="N111">
        <v>1</v>
      </c>
      <c r="O111">
        <v>1</v>
      </c>
      <c r="P111" t="s">
        <v>1388</v>
      </c>
    </row>
    <row r="112" spans="3:16" x14ac:dyDescent="0.25">
      <c r="C112" s="13">
        <v>111</v>
      </c>
      <c r="D112" s="13">
        <v>73256858188</v>
      </c>
      <c r="E112" s="13" t="s">
        <v>979</v>
      </c>
      <c r="F112" s="13">
        <v>80</v>
      </c>
      <c r="G112" s="13">
        <v>123</v>
      </c>
      <c r="H112" s="13">
        <v>38</v>
      </c>
      <c r="I112" s="19">
        <v>78</v>
      </c>
      <c r="J112">
        <v>123.5</v>
      </c>
      <c r="K112">
        <v>42</v>
      </c>
      <c r="L112">
        <v>-2</v>
      </c>
      <c r="M112">
        <v>0.5</v>
      </c>
      <c r="N112">
        <v>4</v>
      </c>
      <c r="O112">
        <v>-2</v>
      </c>
      <c r="P112" t="s">
        <v>1388</v>
      </c>
    </row>
    <row r="113" spans="3:16" x14ac:dyDescent="0.25">
      <c r="C113" s="13">
        <v>112</v>
      </c>
      <c r="D113" s="13">
        <v>73347264909</v>
      </c>
      <c r="E113" s="13" t="s">
        <v>980</v>
      </c>
      <c r="F113" s="13">
        <v>74</v>
      </c>
      <c r="G113" s="13">
        <v>119</v>
      </c>
      <c r="H113" s="13">
        <v>35</v>
      </c>
      <c r="I113" s="19">
        <v>78</v>
      </c>
      <c r="J113">
        <v>123.5</v>
      </c>
      <c r="K113">
        <v>42</v>
      </c>
      <c r="L113">
        <v>4</v>
      </c>
      <c r="M113">
        <v>4.5</v>
      </c>
      <c r="N113">
        <v>7</v>
      </c>
      <c r="O113">
        <v>4</v>
      </c>
      <c r="P113" t="s">
        <v>1388</v>
      </c>
    </row>
    <row r="114" spans="3:16" x14ac:dyDescent="0.25">
      <c r="C114" s="13">
        <v>113</v>
      </c>
      <c r="D114" s="13">
        <v>73285423777</v>
      </c>
      <c r="E114" s="13" t="s">
        <v>981</v>
      </c>
      <c r="F114" s="13">
        <v>83</v>
      </c>
      <c r="G114" s="13">
        <v>130</v>
      </c>
      <c r="H114" s="13">
        <v>40</v>
      </c>
      <c r="I114" s="19">
        <v>78</v>
      </c>
      <c r="J114">
        <v>123.5</v>
      </c>
      <c r="K114">
        <v>42</v>
      </c>
      <c r="L114">
        <v>-5</v>
      </c>
      <c r="M114">
        <v>-6.5</v>
      </c>
      <c r="N114">
        <v>2</v>
      </c>
      <c r="O114">
        <v>-6.5</v>
      </c>
      <c r="P114" t="s">
        <v>1388</v>
      </c>
    </row>
    <row r="115" spans="3:16" x14ac:dyDescent="0.25">
      <c r="C115" s="13">
        <v>114</v>
      </c>
      <c r="D115" s="13">
        <v>73257505502</v>
      </c>
      <c r="E115" s="13" t="s">
        <v>986</v>
      </c>
      <c r="F115" s="13">
        <v>85</v>
      </c>
      <c r="G115" s="13">
        <v>131.5</v>
      </c>
      <c r="H115" s="13">
        <v>39</v>
      </c>
      <c r="I115" s="19">
        <v>78</v>
      </c>
      <c r="J115">
        <v>123.5</v>
      </c>
      <c r="K115">
        <v>42</v>
      </c>
      <c r="L115">
        <v>-7</v>
      </c>
      <c r="M115">
        <v>-8</v>
      </c>
      <c r="N115">
        <v>3</v>
      </c>
      <c r="O115">
        <v>-8</v>
      </c>
      <c r="P115" t="s">
        <v>1388</v>
      </c>
    </row>
    <row r="116" spans="3:16" x14ac:dyDescent="0.25">
      <c r="C116" s="13">
        <v>115</v>
      </c>
      <c r="D116" s="13">
        <v>73282593693</v>
      </c>
      <c r="E116" s="13" t="s">
        <v>987</v>
      </c>
      <c r="F116" s="13">
        <v>82</v>
      </c>
      <c r="G116" s="13">
        <v>130.5</v>
      </c>
      <c r="H116" s="13">
        <v>26</v>
      </c>
      <c r="I116" s="19">
        <v>78</v>
      </c>
      <c r="J116">
        <v>123.5</v>
      </c>
      <c r="K116">
        <v>42</v>
      </c>
      <c r="L116">
        <v>-4</v>
      </c>
      <c r="M116">
        <v>-7</v>
      </c>
      <c r="N116">
        <v>16</v>
      </c>
      <c r="O116">
        <v>-7</v>
      </c>
      <c r="P116" t="s">
        <v>1388</v>
      </c>
    </row>
    <row r="117" spans="3:16" x14ac:dyDescent="0.25">
      <c r="C117" s="13">
        <v>116</v>
      </c>
      <c r="D117" s="13">
        <v>73305959618</v>
      </c>
      <c r="E117" s="13" t="s">
        <v>989</v>
      </c>
      <c r="F117" s="13">
        <v>76</v>
      </c>
      <c r="G117" s="13">
        <v>120</v>
      </c>
      <c r="H117" s="13">
        <v>39</v>
      </c>
      <c r="I117" s="19">
        <v>78</v>
      </c>
      <c r="J117">
        <v>123.5</v>
      </c>
      <c r="K117">
        <v>42</v>
      </c>
      <c r="L117">
        <v>2</v>
      </c>
      <c r="M117">
        <v>3.5</v>
      </c>
      <c r="N117">
        <v>3</v>
      </c>
      <c r="O117">
        <v>2</v>
      </c>
      <c r="P117" t="s">
        <v>1388</v>
      </c>
    </row>
    <row r="118" spans="3:16" x14ac:dyDescent="0.25">
      <c r="C118" s="13">
        <v>117</v>
      </c>
      <c r="D118" s="13">
        <v>73282703258</v>
      </c>
      <c r="E118" s="13" t="s">
        <v>990</v>
      </c>
      <c r="F118" s="13">
        <v>75</v>
      </c>
      <c r="G118" s="13">
        <v>120</v>
      </c>
      <c r="H118" s="13">
        <v>36</v>
      </c>
      <c r="I118" s="19">
        <v>78</v>
      </c>
      <c r="J118">
        <v>123.5</v>
      </c>
      <c r="K118">
        <v>42</v>
      </c>
      <c r="L118">
        <v>3</v>
      </c>
      <c r="M118">
        <v>3.5</v>
      </c>
      <c r="N118">
        <v>6</v>
      </c>
      <c r="O118">
        <v>3</v>
      </c>
      <c r="P118" t="s">
        <v>1388</v>
      </c>
    </row>
    <row r="119" spans="3:16" x14ac:dyDescent="0.25">
      <c r="C119" s="13">
        <v>118</v>
      </c>
      <c r="D119" s="13">
        <v>73306136768</v>
      </c>
      <c r="E119" s="13" t="s">
        <v>991</v>
      </c>
      <c r="F119" s="13">
        <v>73</v>
      </c>
      <c r="G119" s="13">
        <v>113.5</v>
      </c>
      <c r="H119" s="13">
        <v>42</v>
      </c>
      <c r="I119" s="19">
        <v>78</v>
      </c>
      <c r="J119">
        <v>123.5</v>
      </c>
      <c r="K119">
        <v>42</v>
      </c>
      <c r="L119">
        <v>5</v>
      </c>
      <c r="M119">
        <v>10</v>
      </c>
      <c r="N119">
        <v>0</v>
      </c>
      <c r="O119">
        <v>0</v>
      </c>
      <c r="P119" t="s">
        <v>1388</v>
      </c>
    </row>
    <row r="120" spans="3:16" x14ac:dyDescent="0.25">
      <c r="C120" s="13">
        <v>119</v>
      </c>
      <c r="D120" s="13">
        <v>73256859908</v>
      </c>
      <c r="E120" s="13" t="s">
        <v>992</v>
      </c>
      <c r="F120" s="13">
        <v>76</v>
      </c>
      <c r="G120" s="13">
        <v>120.5</v>
      </c>
      <c r="H120" s="13">
        <v>36</v>
      </c>
      <c r="I120" s="19">
        <v>78</v>
      </c>
      <c r="J120">
        <v>123.5</v>
      </c>
      <c r="K120">
        <v>42</v>
      </c>
      <c r="L120">
        <v>2</v>
      </c>
      <c r="M120">
        <v>3</v>
      </c>
      <c r="N120">
        <v>6</v>
      </c>
      <c r="O120">
        <v>2</v>
      </c>
      <c r="P120" t="s">
        <v>1388</v>
      </c>
    </row>
    <row r="121" spans="3:16" x14ac:dyDescent="0.25">
      <c r="C121" s="13">
        <v>120</v>
      </c>
      <c r="D121" s="13">
        <v>73356138760</v>
      </c>
      <c r="E121" s="13" t="s">
        <v>997</v>
      </c>
      <c r="F121" s="13">
        <v>76</v>
      </c>
      <c r="G121" s="13">
        <v>121.5</v>
      </c>
      <c r="H121" s="13">
        <v>45</v>
      </c>
      <c r="I121" s="19">
        <v>78</v>
      </c>
      <c r="J121">
        <v>123.5</v>
      </c>
      <c r="K121">
        <v>42</v>
      </c>
      <c r="L121">
        <v>2</v>
      </c>
      <c r="M121">
        <v>2</v>
      </c>
      <c r="N121">
        <v>-3</v>
      </c>
      <c r="O121">
        <v>-3</v>
      </c>
      <c r="P121" t="s">
        <v>1388</v>
      </c>
    </row>
    <row r="122" spans="3:16" x14ac:dyDescent="0.25">
      <c r="C122" s="13">
        <v>121</v>
      </c>
      <c r="D122" s="13">
        <v>73336813987</v>
      </c>
      <c r="E122" s="13" t="s">
        <v>1007</v>
      </c>
      <c r="F122" s="13">
        <v>73</v>
      </c>
      <c r="G122" s="13">
        <v>117</v>
      </c>
      <c r="H122" s="13">
        <v>46</v>
      </c>
      <c r="I122" s="19">
        <v>78</v>
      </c>
      <c r="J122">
        <v>123.5</v>
      </c>
      <c r="K122">
        <v>42</v>
      </c>
      <c r="L122">
        <v>5</v>
      </c>
      <c r="M122">
        <v>6.5</v>
      </c>
      <c r="N122">
        <v>-4</v>
      </c>
      <c r="O122">
        <v>-4</v>
      </c>
      <c r="P122" t="s">
        <v>1388</v>
      </c>
    </row>
    <row r="123" spans="3:16" x14ac:dyDescent="0.25">
      <c r="C123" s="13">
        <v>122</v>
      </c>
      <c r="D123" s="13">
        <v>73340859810</v>
      </c>
      <c r="E123" s="13" t="s">
        <v>1014</v>
      </c>
      <c r="F123" s="13">
        <v>71</v>
      </c>
      <c r="G123" s="13">
        <v>113</v>
      </c>
      <c r="H123" s="13">
        <v>42</v>
      </c>
      <c r="I123" s="19">
        <v>78</v>
      </c>
      <c r="J123">
        <v>123.5</v>
      </c>
      <c r="K123">
        <v>42</v>
      </c>
      <c r="L123">
        <v>7</v>
      </c>
      <c r="M123">
        <v>10.5</v>
      </c>
      <c r="N123">
        <v>0</v>
      </c>
      <c r="O123">
        <v>0</v>
      </c>
      <c r="P123" t="s">
        <v>1388</v>
      </c>
    </row>
    <row r="124" spans="3:16" x14ac:dyDescent="0.25">
      <c r="C124" s="13">
        <v>123</v>
      </c>
      <c r="D124" s="13">
        <v>73326126580</v>
      </c>
      <c r="E124" s="13" t="s">
        <v>1015</v>
      </c>
      <c r="F124" s="13">
        <v>78</v>
      </c>
      <c r="G124" s="13">
        <v>122</v>
      </c>
      <c r="H124" s="13">
        <v>44</v>
      </c>
      <c r="I124" s="19">
        <v>78</v>
      </c>
      <c r="J124">
        <v>123.5</v>
      </c>
      <c r="K124">
        <v>42</v>
      </c>
      <c r="L124">
        <v>0</v>
      </c>
      <c r="M124">
        <v>1.5</v>
      </c>
      <c r="N124">
        <v>-2</v>
      </c>
      <c r="O124">
        <v>-2</v>
      </c>
      <c r="P124" t="s">
        <v>1388</v>
      </c>
    </row>
    <row r="125" spans="3:16" x14ac:dyDescent="0.25">
      <c r="C125" s="13">
        <v>124</v>
      </c>
      <c r="D125" s="13">
        <v>73387949727</v>
      </c>
      <c r="E125" s="13" t="s">
        <v>1016</v>
      </c>
      <c r="F125" s="13">
        <v>72</v>
      </c>
      <c r="G125" s="13">
        <v>115</v>
      </c>
      <c r="H125" s="13">
        <v>48</v>
      </c>
      <c r="I125" s="19">
        <v>78</v>
      </c>
      <c r="J125">
        <v>123.5</v>
      </c>
      <c r="K125">
        <v>42</v>
      </c>
      <c r="L125">
        <v>6</v>
      </c>
      <c r="M125">
        <v>8.5</v>
      </c>
      <c r="N125">
        <v>-6</v>
      </c>
      <c r="O125">
        <v>-6</v>
      </c>
      <c r="P125" t="s">
        <v>1388</v>
      </c>
    </row>
    <row r="126" spans="3:16" x14ac:dyDescent="0.25">
      <c r="C126" s="13">
        <v>125</v>
      </c>
      <c r="D126" s="13">
        <v>73286629346</v>
      </c>
      <c r="E126" s="13" t="s">
        <v>1020</v>
      </c>
      <c r="F126" s="13">
        <v>75</v>
      </c>
      <c r="G126" s="13">
        <v>117</v>
      </c>
      <c r="H126" s="13">
        <v>50</v>
      </c>
      <c r="I126" s="19">
        <v>78</v>
      </c>
      <c r="J126">
        <v>123.5</v>
      </c>
      <c r="K126">
        <v>42</v>
      </c>
      <c r="L126">
        <v>3</v>
      </c>
      <c r="M126">
        <v>6.5</v>
      </c>
      <c r="N126">
        <v>-8</v>
      </c>
      <c r="O126">
        <v>-8</v>
      </c>
      <c r="P126" t="s">
        <v>1388</v>
      </c>
    </row>
    <row r="127" spans="3:16" x14ac:dyDescent="0.25">
      <c r="C127" s="13">
        <v>126</v>
      </c>
      <c r="D127" s="13">
        <v>73319986036</v>
      </c>
      <c r="E127" s="13" t="s">
        <v>1021</v>
      </c>
      <c r="F127" s="13">
        <v>74</v>
      </c>
      <c r="G127" s="13">
        <v>117</v>
      </c>
      <c r="H127" s="13">
        <v>50</v>
      </c>
      <c r="I127" s="19">
        <v>78</v>
      </c>
      <c r="J127">
        <v>123.5</v>
      </c>
      <c r="K127">
        <v>42</v>
      </c>
      <c r="L127">
        <v>4</v>
      </c>
      <c r="M127">
        <v>6.5</v>
      </c>
      <c r="N127">
        <v>-8</v>
      </c>
      <c r="O127">
        <v>-8</v>
      </c>
      <c r="P127" t="s">
        <v>1388</v>
      </c>
    </row>
    <row r="128" spans="3:16" x14ac:dyDescent="0.25">
      <c r="C128" s="13">
        <v>127</v>
      </c>
      <c r="D128" s="13">
        <v>73268772489</v>
      </c>
      <c r="E128" s="13" t="s">
        <v>1024</v>
      </c>
      <c r="F128" s="13">
        <v>84</v>
      </c>
      <c r="G128" s="13">
        <v>131</v>
      </c>
      <c r="H128" s="13">
        <v>41</v>
      </c>
      <c r="I128" s="19">
        <v>78</v>
      </c>
      <c r="J128">
        <v>123.5</v>
      </c>
      <c r="K128">
        <v>42</v>
      </c>
      <c r="L128">
        <v>-6</v>
      </c>
      <c r="M128">
        <v>-7.5</v>
      </c>
      <c r="N128">
        <v>1</v>
      </c>
      <c r="O128">
        <v>-7.5</v>
      </c>
      <c r="P128" t="s">
        <v>1388</v>
      </c>
    </row>
    <row r="129" spans="3:16" x14ac:dyDescent="0.25">
      <c r="C129" s="13">
        <v>128</v>
      </c>
      <c r="D129" s="13">
        <v>73355313436</v>
      </c>
      <c r="E129" s="13" t="s">
        <v>1025</v>
      </c>
      <c r="F129" s="13">
        <v>90</v>
      </c>
      <c r="G129" s="13">
        <v>138</v>
      </c>
      <c r="H129" s="13">
        <v>25</v>
      </c>
      <c r="I129" s="19">
        <v>78</v>
      </c>
      <c r="J129">
        <v>123.5</v>
      </c>
      <c r="K129">
        <v>42</v>
      </c>
      <c r="L129">
        <v>-12</v>
      </c>
      <c r="M129">
        <v>-14.5</v>
      </c>
      <c r="N129">
        <v>17</v>
      </c>
      <c r="O129">
        <v>-14.5</v>
      </c>
      <c r="P129" t="s">
        <v>1388</v>
      </c>
    </row>
    <row r="130" spans="3:16" x14ac:dyDescent="0.25">
      <c r="C130" s="13">
        <v>129</v>
      </c>
      <c r="D130" s="13">
        <v>73322210775</v>
      </c>
      <c r="E130" s="13" t="s">
        <v>1026</v>
      </c>
      <c r="F130" s="13">
        <v>80</v>
      </c>
      <c r="G130" s="13">
        <v>128.5</v>
      </c>
      <c r="H130" s="13">
        <v>15</v>
      </c>
      <c r="I130" s="19">
        <v>78</v>
      </c>
      <c r="J130">
        <v>123.5</v>
      </c>
      <c r="K130">
        <v>42</v>
      </c>
      <c r="L130">
        <v>-2</v>
      </c>
      <c r="M130">
        <v>-5</v>
      </c>
      <c r="N130">
        <v>27</v>
      </c>
      <c r="O130">
        <v>-5</v>
      </c>
      <c r="P130" t="s">
        <v>1388</v>
      </c>
    </row>
    <row r="131" spans="3:16" x14ac:dyDescent="0.25">
      <c r="C131" s="13">
        <v>130</v>
      </c>
      <c r="D131" s="13">
        <v>73325977506</v>
      </c>
      <c r="E131" s="13" t="s">
        <v>1027</v>
      </c>
      <c r="F131" s="13">
        <v>81</v>
      </c>
      <c r="G131" s="13">
        <v>126.5</v>
      </c>
      <c r="H131" s="13">
        <v>40</v>
      </c>
      <c r="I131" s="19">
        <v>78</v>
      </c>
      <c r="J131">
        <v>123.5</v>
      </c>
      <c r="K131">
        <v>42</v>
      </c>
      <c r="L131">
        <v>-3</v>
      </c>
      <c r="M131">
        <v>-3</v>
      </c>
      <c r="N131">
        <v>2</v>
      </c>
      <c r="O131">
        <v>-3</v>
      </c>
      <c r="P131" t="s">
        <v>1388</v>
      </c>
    </row>
    <row r="132" spans="3:16" x14ac:dyDescent="0.25">
      <c r="C132" s="13">
        <v>131</v>
      </c>
      <c r="D132" s="13">
        <v>73281854982</v>
      </c>
      <c r="E132" s="13" t="s">
        <v>1029</v>
      </c>
      <c r="F132" s="13">
        <v>74</v>
      </c>
      <c r="G132" s="13">
        <v>116</v>
      </c>
      <c r="H132" s="13">
        <v>35</v>
      </c>
      <c r="I132" s="19">
        <v>78</v>
      </c>
      <c r="J132">
        <v>123.5</v>
      </c>
      <c r="K132">
        <v>42</v>
      </c>
      <c r="L132">
        <v>4</v>
      </c>
      <c r="M132">
        <v>7.5</v>
      </c>
      <c r="N132">
        <v>7</v>
      </c>
      <c r="O132">
        <v>4</v>
      </c>
      <c r="P132" t="s">
        <v>1388</v>
      </c>
    </row>
    <row r="133" spans="3:16" x14ac:dyDescent="0.25">
      <c r="C133" s="13">
        <v>132</v>
      </c>
      <c r="D133" s="13">
        <v>73257691604</v>
      </c>
      <c r="E133" s="13" t="s">
        <v>1030</v>
      </c>
      <c r="F133" s="13">
        <v>70</v>
      </c>
      <c r="G133" s="13">
        <v>110</v>
      </c>
      <c r="H133" s="13">
        <v>41</v>
      </c>
      <c r="I133" s="19">
        <v>78</v>
      </c>
      <c r="J133">
        <v>123.5</v>
      </c>
      <c r="K133">
        <v>42</v>
      </c>
      <c r="L133">
        <v>8</v>
      </c>
      <c r="M133">
        <v>13.5</v>
      </c>
      <c r="N133">
        <v>1</v>
      </c>
      <c r="O133">
        <v>1</v>
      </c>
      <c r="P133" t="s">
        <v>1388</v>
      </c>
    </row>
    <row r="134" spans="3:16" x14ac:dyDescent="0.25">
      <c r="C134" s="13">
        <v>133</v>
      </c>
      <c r="D134" s="13">
        <v>73331237938</v>
      </c>
      <c r="E134" s="13" t="s">
        <v>1034</v>
      </c>
      <c r="F134" s="13">
        <v>81</v>
      </c>
      <c r="G134" s="13">
        <v>125</v>
      </c>
      <c r="H134" s="13">
        <v>42</v>
      </c>
      <c r="I134" s="19">
        <v>78</v>
      </c>
      <c r="J134">
        <v>123.5</v>
      </c>
      <c r="K134">
        <v>42</v>
      </c>
      <c r="L134">
        <v>-3</v>
      </c>
      <c r="M134">
        <v>-1.5</v>
      </c>
      <c r="N134">
        <v>0</v>
      </c>
      <c r="O134">
        <v>-3</v>
      </c>
      <c r="P134" t="s">
        <v>1388</v>
      </c>
    </row>
    <row r="135" spans="3:16" x14ac:dyDescent="0.25">
      <c r="C135" s="13">
        <v>134</v>
      </c>
      <c r="D135" s="13">
        <v>73333172805</v>
      </c>
      <c r="E135" s="13" t="s">
        <v>1035</v>
      </c>
      <c r="F135" s="13">
        <v>79</v>
      </c>
      <c r="G135" s="13">
        <v>123</v>
      </c>
      <c r="H135" s="13">
        <v>41</v>
      </c>
      <c r="I135" s="19">
        <v>78</v>
      </c>
      <c r="J135">
        <v>123.5</v>
      </c>
      <c r="K135">
        <v>42</v>
      </c>
      <c r="L135">
        <v>-1</v>
      </c>
      <c r="M135">
        <v>0.5</v>
      </c>
      <c r="N135">
        <v>1</v>
      </c>
      <c r="O135">
        <v>-1</v>
      </c>
      <c r="P135" t="s">
        <v>1388</v>
      </c>
    </row>
    <row r="136" spans="3:16" x14ac:dyDescent="0.25">
      <c r="C136" s="13">
        <v>135</v>
      </c>
      <c r="D136" s="13">
        <v>73354118894</v>
      </c>
      <c r="E136" s="13" t="s">
        <v>1036</v>
      </c>
      <c r="F136" s="13">
        <v>82</v>
      </c>
      <c r="G136" s="13">
        <v>128.5</v>
      </c>
      <c r="H136" s="13">
        <v>39</v>
      </c>
      <c r="I136" s="19">
        <v>78</v>
      </c>
      <c r="J136">
        <v>123.5</v>
      </c>
      <c r="K136">
        <v>42</v>
      </c>
      <c r="L136">
        <v>-4</v>
      </c>
      <c r="M136">
        <v>-5</v>
      </c>
      <c r="N136">
        <v>3</v>
      </c>
      <c r="O136">
        <v>-5</v>
      </c>
      <c r="P136" t="s">
        <v>1388</v>
      </c>
    </row>
    <row r="137" spans="3:16" x14ac:dyDescent="0.25">
      <c r="C137" s="13">
        <v>136</v>
      </c>
      <c r="D137" s="13">
        <v>73355342812</v>
      </c>
      <c r="E137" s="13" t="s">
        <v>1037</v>
      </c>
      <c r="F137" s="13">
        <v>77</v>
      </c>
      <c r="G137" s="13">
        <v>119</v>
      </c>
      <c r="H137" s="13">
        <v>35</v>
      </c>
      <c r="I137" s="19">
        <v>78</v>
      </c>
      <c r="J137">
        <v>123.5</v>
      </c>
      <c r="K137">
        <v>42</v>
      </c>
      <c r="L137">
        <v>1</v>
      </c>
      <c r="M137">
        <v>4.5</v>
      </c>
      <c r="N137">
        <v>7</v>
      </c>
      <c r="O137">
        <v>1</v>
      </c>
      <c r="P137" t="s">
        <v>1388</v>
      </c>
    </row>
    <row r="138" spans="3:16" x14ac:dyDescent="0.25">
      <c r="C138" s="13">
        <v>137</v>
      </c>
      <c r="D138" s="13">
        <v>73394174584</v>
      </c>
      <c r="E138" s="13" t="s">
        <v>1038</v>
      </c>
      <c r="F138" s="13">
        <v>93</v>
      </c>
      <c r="G138" s="13">
        <v>140</v>
      </c>
      <c r="H138" s="13">
        <v>25</v>
      </c>
      <c r="I138" s="19">
        <v>78</v>
      </c>
      <c r="J138">
        <v>123.5</v>
      </c>
      <c r="K138">
        <v>42</v>
      </c>
      <c r="L138">
        <v>-15</v>
      </c>
      <c r="M138">
        <v>-16.5</v>
      </c>
      <c r="N138">
        <v>17</v>
      </c>
      <c r="O138">
        <v>-16.5</v>
      </c>
      <c r="P138" t="s">
        <v>1388</v>
      </c>
    </row>
    <row r="139" spans="3:16" x14ac:dyDescent="0.25">
      <c r="C139" s="13">
        <v>138</v>
      </c>
      <c r="D139" s="13">
        <v>73281691733</v>
      </c>
      <c r="E139" s="13" t="s">
        <v>1039</v>
      </c>
      <c r="F139" s="13">
        <v>93</v>
      </c>
      <c r="G139" s="13">
        <v>142</v>
      </c>
      <c r="H139" s="13">
        <v>30</v>
      </c>
      <c r="I139" s="19">
        <v>78</v>
      </c>
      <c r="J139">
        <v>123.5</v>
      </c>
      <c r="K139">
        <v>42</v>
      </c>
      <c r="L139">
        <v>-15</v>
      </c>
      <c r="M139">
        <v>-18.5</v>
      </c>
      <c r="N139">
        <v>12</v>
      </c>
      <c r="O139">
        <v>-18.5</v>
      </c>
      <c r="P139" t="s">
        <v>1388</v>
      </c>
    </row>
    <row r="140" spans="3:16" x14ac:dyDescent="0.25">
      <c r="C140" s="13">
        <v>139</v>
      </c>
      <c r="D140" s="13">
        <v>73336284663</v>
      </c>
      <c r="E140" s="13" t="s">
        <v>1041</v>
      </c>
      <c r="F140" s="13">
        <v>78</v>
      </c>
      <c r="G140" s="13">
        <v>120</v>
      </c>
      <c r="H140" s="13">
        <v>42</v>
      </c>
      <c r="I140" s="19">
        <v>78</v>
      </c>
      <c r="J140">
        <v>123.5</v>
      </c>
      <c r="K140">
        <v>42</v>
      </c>
      <c r="L140">
        <v>0</v>
      </c>
      <c r="M140">
        <v>3.5</v>
      </c>
      <c r="N140">
        <v>0</v>
      </c>
      <c r="O140">
        <v>0</v>
      </c>
      <c r="P140" t="s">
        <v>1388</v>
      </c>
    </row>
    <row r="141" spans="3:16" x14ac:dyDescent="0.25">
      <c r="C141" s="13">
        <v>140</v>
      </c>
      <c r="D141" s="13">
        <v>73282168803</v>
      </c>
      <c r="E141" s="13" t="s">
        <v>1047</v>
      </c>
      <c r="F141" s="13">
        <v>77</v>
      </c>
      <c r="G141" s="13">
        <v>120</v>
      </c>
      <c r="H141" s="13">
        <v>46</v>
      </c>
      <c r="I141" s="19">
        <v>78</v>
      </c>
      <c r="J141">
        <v>123.5</v>
      </c>
      <c r="K141">
        <v>42</v>
      </c>
      <c r="L141">
        <v>1</v>
      </c>
      <c r="M141">
        <v>3.5</v>
      </c>
      <c r="N141">
        <v>-4</v>
      </c>
      <c r="O141">
        <v>-4</v>
      </c>
      <c r="P141" t="s">
        <v>1388</v>
      </c>
    </row>
    <row r="142" spans="3:16" x14ac:dyDescent="0.25">
      <c r="C142" s="13">
        <v>141</v>
      </c>
      <c r="D142" s="13">
        <v>73278536681</v>
      </c>
      <c r="E142" s="13" t="s">
        <v>1049</v>
      </c>
      <c r="F142" s="13">
        <v>75</v>
      </c>
      <c r="G142" s="13">
        <v>118.5</v>
      </c>
      <c r="H142" s="13">
        <v>35</v>
      </c>
      <c r="I142" s="19">
        <v>78</v>
      </c>
      <c r="J142">
        <v>123.5</v>
      </c>
      <c r="K142">
        <v>42</v>
      </c>
      <c r="L142">
        <v>3</v>
      </c>
      <c r="M142">
        <v>5</v>
      </c>
      <c r="N142">
        <v>7</v>
      </c>
      <c r="O142">
        <v>3</v>
      </c>
      <c r="P142" t="s">
        <v>1388</v>
      </c>
    </row>
    <row r="143" spans="3:16" x14ac:dyDescent="0.25">
      <c r="C143" s="13">
        <v>142</v>
      </c>
      <c r="D143" s="13">
        <v>73272227179</v>
      </c>
      <c r="E143" s="13" t="s">
        <v>1050</v>
      </c>
      <c r="F143" s="13">
        <v>81</v>
      </c>
      <c r="G143" s="13">
        <v>125</v>
      </c>
      <c r="H143" s="13">
        <v>45</v>
      </c>
      <c r="I143" s="19">
        <v>78</v>
      </c>
      <c r="J143">
        <v>123.5</v>
      </c>
      <c r="K143">
        <v>42</v>
      </c>
      <c r="L143">
        <v>-3</v>
      </c>
      <c r="M143">
        <v>-1.5</v>
      </c>
      <c r="N143">
        <v>-3</v>
      </c>
      <c r="O143">
        <v>-3</v>
      </c>
      <c r="P143" t="s">
        <v>1388</v>
      </c>
    </row>
    <row r="144" spans="3:16" x14ac:dyDescent="0.25">
      <c r="C144" s="13">
        <v>143</v>
      </c>
      <c r="D144" s="13">
        <v>73385552866</v>
      </c>
      <c r="E144" s="13" t="s">
        <v>1058</v>
      </c>
      <c r="F144" s="13">
        <v>86</v>
      </c>
      <c r="G144" s="13">
        <v>132</v>
      </c>
      <c r="H144" s="13">
        <v>38</v>
      </c>
      <c r="I144" s="19">
        <v>78</v>
      </c>
      <c r="J144">
        <v>123.5</v>
      </c>
      <c r="K144">
        <v>42</v>
      </c>
      <c r="L144">
        <v>-8</v>
      </c>
      <c r="M144">
        <v>-8.5</v>
      </c>
      <c r="N144">
        <v>4</v>
      </c>
      <c r="O144">
        <v>-8.5</v>
      </c>
      <c r="P144" t="s">
        <v>1388</v>
      </c>
    </row>
    <row r="145" spans="3:16" x14ac:dyDescent="0.25">
      <c r="C145" s="13">
        <v>144</v>
      </c>
      <c r="D145" s="13">
        <v>73276652627</v>
      </c>
      <c r="E145" s="13" t="s">
        <v>1061</v>
      </c>
      <c r="F145" s="13">
        <v>75</v>
      </c>
      <c r="G145" s="13">
        <v>117</v>
      </c>
      <c r="H145" s="13">
        <v>34</v>
      </c>
      <c r="I145" s="19">
        <v>78</v>
      </c>
      <c r="J145">
        <v>123.5</v>
      </c>
      <c r="K145">
        <v>42</v>
      </c>
      <c r="L145">
        <v>3</v>
      </c>
      <c r="M145">
        <v>6.5</v>
      </c>
      <c r="N145">
        <v>8</v>
      </c>
      <c r="O145">
        <v>3</v>
      </c>
      <c r="P145" t="s">
        <v>1388</v>
      </c>
    </row>
    <row r="146" spans="3:16" x14ac:dyDescent="0.25">
      <c r="C146" s="15">
        <v>145</v>
      </c>
      <c r="D146" s="15">
        <v>73378170100</v>
      </c>
      <c r="E146" s="15" t="s">
        <v>1062</v>
      </c>
      <c r="F146" s="15">
        <v>86</v>
      </c>
      <c r="G146" s="15">
        <v>133.5</v>
      </c>
      <c r="H146" s="15">
        <v>34</v>
      </c>
      <c r="I146" s="16">
        <v>78</v>
      </c>
      <c r="J146">
        <v>123.5</v>
      </c>
      <c r="K146">
        <v>42</v>
      </c>
      <c r="L146">
        <v>-8</v>
      </c>
      <c r="M146">
        <v>-10</v>
      </c>
      <c r="N146">
        <v>8</v>
      </c>
      <c r="O146">
        <v>-10</v>
      </c>
      <c r="P146" t="s">
        <v>1388</v>
      </c>
    </row>
    <row r="147" spans="3:16" x14ac:dyDescent="0.25">
      <c r="C147" s="20">
        <v>146</v>
      </c>
      <c r="D147" s="20">
        <v>73283582139</v>
      </c>
      <c r="E147" s="20" t="s">
        <v>1064</v>
      </c>
      <c r="F147" s="20">
        <v>81</v>
      </c>
      <c r="G147" s="20">
        <v>127</v>
      </c>
      <c r="H147" s="20">
        <v>46</v>
      </c>
      <c r="I147" s="21">
        <v>78</v>
      </c>
      <c r="J147">
        <v>123.5</v>
      </c>
      <c r="K147">
        <v>42</v>
      </c>
      <c r="L147">
        <v>-3</v>
      </c>
      <c r="M147">
        <v>-3.5</v>
      </c>
      <c r="N147">
        <v>-4</v>
      </c>
      <c r="O147">
        <v>-4</v>
      </c>
      <c r="P147" t="s">
        <v>1388</v>
      </c>
    </row>
    <row r="148" spans="3:16" x14ac:dyDescent="0.25">
      <c r="C148" s="20">
        <v>147</v>
      </c>
      <c r="D148" s="20">
        <v>73290323128</v>
      </c>
      <c r="E148" s="20" t="s">
        <v>1065</v>
      </c>
      <c r="F148" s="20">
        <v>75</v>
      </c>
      <c r="G148" s="20">
        <v>115</v>
      </c>
      <c r="H148" s="20">
        <v>33</v>
      </c>
      <c r="I148" s="21">
        <v>78</v>
      </c>
      <c r="J148">
        <v>123.5</v>
      </c>
      <c r="K148">
        <v>42</v>
      </c>
      <c r="L148">
        <v>3</v>
      </c>
      <c r="M148">
        <v>8.5</v>
      </c>
      <c r="N148">
        <v>9</v>
      </c>
      <c r="O148">
        <v>3</v>
      </c>
      <c r="P148" t="s">
        <v>1388</v>
      </c>
    </row>
    <row r="149" spans="3:16" x14ac:dyDescent="0.25">
      <c r="C149" s="20">
        <v>148</v>
      </c>
      <c r="D149" s="20">
        <v>73371864825</v>
      </c>
      <c r="E149" s="20" t="s">
        <v>1066</v>
      </c>
      <c r="F149" s="20">
        <v>88</v>
      </c>
      <c r="G149" s="20">
        <v>133.5</v>
      </c>
      <c r="H149" s="20">
        <v>30</v>
      </c>
      <c r="I149" s="21">
        <v>78</v>
      </c>
      <c r="J149">
        <v>123.5</v>
      </c>
      <c r="K149">
        <v>42</v>
      </c>
      <c r="L149">
        <v>-10</v>
      </c>
      <c r="M149">
        <v>-10</v>
      </c>
      <c r="N149">
        <v>12</v>
      </c>
      <c r="O149">
        <v>-10</v>
      </c>
      <c r="P149" t="s">
        <v>1388</v>
      </c>
    </row>
    <row r="150" spans="3:16" x14ac:dyDescent="0.25">
      <c r="C150" s="20">
        <v>149</v>
      </c>
      <c r="D150" s="20">
        <v>73345959499</v>
      </c>
      <c r="E150" s="20" t="s">
        <v>1070</v>
      </c>
      <c r="F150" s="20">
        <v>76</v>
      </c>
      <c r="G150" s="20">
        <v>121</v>
      </c>
      <c r="H150" s="20">
        <v>50</v>
      </c>
      <c r="I150" s="21">
        <v>78</v>
      </c>
      <c r="J150">
        <v>123.5</v>
      </c>
      <c r="K150">
        <v>42</v>
      </c>
      <c r="L150">
        <v>2</v>
      </c>
      <c r="M150">
        <v>2.5</v>
      </c>
      <c r="N150">
        <v>-8</v>
      </c>
      <c r="O150">
        <v>-8</v>
      </c>
      <c r="P150" t="s">
        <v>1388</v>
      </c>
    </row>
    <row r="151" spans="3:16" x14ac:dyDescent="0.25">
      <c r="C151" s="20">
        <v>150</v>
      </c>
      <c r="D151" s="20">
        <v>73285808647</v>
      </c>
      <c r="E151" s="20" t="s">
        <v>1071</v>
      </c>
      <c r="F151" s="20">
        <v>72</v>
      </c>
      <c r="G151" s="20">
        <v>115</v>
      </c>
      <c r="H151" s="20">
        <v>45</v>
      </c>
      <c r="I151" s="21">
        <v>78</v>
      </c>
      <c r="J151">
        <v>123.5</v>
      </c>
      <c r="K151">
        <v>42</v>
      </c>
      <c r="L151">
        <v>6</v>
      </c>
      <c r="M151">
        <v>8.5</v>
      </c>
      <c r="N151">
        <v>-3</v>
      </c>
      <c r="O151">
        <v>-3</v>
      </c>
      <c r="P151" t="s">
        <v>1388</v>
      </c>
    </row>
    <row r="152" spans="3:16" x14ac:dyDescent="0.25">
      <c r="C152" s="20">
        <v>151</v>
      </c>
      <c r="D152" s="20">
        <v>73275036742</v>
      </c>
      <c r="E152" s="20" t="s">
        <v>1072</v>
      </c>
      <c r="F152" s="20">
        <v>73</v>
      </c>
      <c r="G152" s="20">
        <v>112</v>
      </c>
      <c r="H152" s="20">
        <v>37</v>
      </c>
      <c r="I152" s="21">
        <v>78</v>
      </c>
      <c r="J152">
        <v>123.5</v>
      </c>
      <c r="K152">
        <v>42</v>
      </c>
      <c r="L152">
        <v>5</v>
      </c>
      <c r="M152">
        <v>11.5</v>
      </c>
      <c r="N152">
        <v>5</v>
      </c>
      <c r="O152">
        <v>5</v>
      </c>
      <c r="P152" t="s">
        <v>1388</v>
      </c>
    </row>
    <row r="153" spans="3:16" x14ac:dyDescent="0.25">
      <c r="C153" s="20">
        <v>152</v>
      </c>
      <c r="D153" s="20">
        <v>73369694915</v>
      </c>
      <c r="E153" s="20" t="s">
        <v>1073</v>
      </c>
      <c r="F153" s="20">
        <v>84</v>
      </c>
      <c r="G153" s="20">
        <v>130</v>
      </c>
      <c r="H153" s="20">
        <v>43</v>
      </c>
      <c r="I153" s="21">
        <v>78</v>
      </c>
      <c r="J153">
        <v>123.5</v>
      </c>
      <c r="K153">
        <v>42</v>
      </c>
      <c r="L153">
        <v>-6</v>
      </c>
      <c r="M153">
        <v>-6.5</v>
      </c>
      <c r="N153">
        <v>-1</v>
      </c>
      <c r="O153">
        <v>-6.5</v>
      </c>
      <c r="P153" t="s">
        <v>1388</v>
      </c>
    </row>
    <row r="154" spans="3:16" x14ac:dyDescent="0.25">
      <c r="C154" s="20">
        <v>153</v>
      </c>
      <c r="D154" s="20">
        <v>73257620792</v>
      </c>
      <c r="E154" s="20" t="s">
        <v>1075</v>
      </c>
      <c r="F154" s="20">
        <v>81</v>
      </c>
      <c r="G154" s="20">
        <v>126</v>
      </c>
      <c r="H154" s="20">
        <v>39</v>
      </c>
      <c r="I154" s="21">
        <v>78</v>
      </c>
      <c r="J154">
        <v>123.5</v>
      </c>
      <c r="K154">
        <v>42</v>
      </c>
      <c r="L154">
        <v>-3</v>
      </c>
      <c r="M154">
        <v>-2.5</v>
      </c>
      <c r="N154">
        <v>3</v>
      </c>
      <c r="O154">
        <v>-3</v>
      </c>
      <c r="P154" t="s">
        <v>1388</v>
      </c>
    </row>
    <row r="155" spans="3:16" x14ac:dyDescent="0.25">
      <c r="C155" s="20">
        <v>154</v>
      </c>
      <c r="D155" s="20">
        <v>73376618056</v>
      </c>
      <c r="E155" s="20" t="s">
        <v>1079</v>
      </c>
      <c r="F155" s="20">
        <v>76</v>
      </c>
      <c r="G155" s="20">
        <v>118.5</v>
      </c>
      <c r="H155" s="20">
        <v>46</v>
      </c>
      <c r="I155" s="21">
        <v>78</v>
      </c>
      <c r="J155">
        <v>123.5</v>
      </c>
      <c r="K155">
        <v>42</v>
      </c>
      <c r="L155">
        <v>2</v>
      </c>
      <c r="M155">
        <v>5</v>
      </c>
      <c r="N155">
        <v>-4</v>
      </c>
      <c r="O155">
        <v>-4</v>
      </c>
      <c r="P155" t="s">
        <v>1388</v>
      </c>
    </row>
    <row r="156" spans="3:16" x14ac:dyDescent="0.25">
      <c r="C156" s="20">
        <v>155</v>
      </c>
      <c r="D156" s="20">
        <v>73258425424</v>
      </c>
      <c r="E156" s="20" t="s">
        <v>1087</v>
      </c>
      <c r="F156" s="20">
        <v>79</v>
      </c>
      <c r="G156" s="20">
        <v>120.5</v>
      </c>
      <c r="H156" s="20">
        <v>41</v>
      </c>
      <c r="I156" s="21">
        <v>78</v>
      </c>
      <c r="J156">
        <v>123.5</v>
      </c>
      <c r="K156">
        <v>42</v>
      </c>
      <c r="L156">
        <v>-1</v>
      </c>
      <c r="M156">
        <v>3</v>
      </c>
      <c r="N156">
        <v>1</v>
      </c>
      <c r="O156">
        <v>-1</v>
      </c>
      <c r="P156" t="s">
        <v>1388</v>
      </c>
    </row>
    <row r="157" spans="3:16" x14ac:dyDescent="0.25">
      <c r="C157" s="20">
        <v>156</v>
      </c>
      <c r="D157" s="20">
        <v>73267770668</v>
      </c>
      <c r="E157" s="20" t="s">
        <v>1088</v>
      </c>
      <c r="F157" s="20">
        <v>83</v>
      </c>
      <c r="G157" s="20">
        <v>129.5</v>
      </c>
      <c r="H157" s="20">
        <v>34</v>
      </c>
      <c r="I157" s="21">
        <v>78</v>
      </c>
      <c r="J157">
        <v>123.5</v>
      </c>
      <c r="K157">
        <v>42</v>
      </c>
      <c r="L157">
        <v>-5</v>
      </c>
      <c r="M157">
        <v>-6</v>
      </c>
      <c r="N157">
        <v>8</v>
      </c>
      <c r="O157">
        <v>-6</v>
      </c>
      <c r="P157" t="s">
        <v>1388</v>
      </c>
    </row>
    <row r="158" spans="3:16" x14ac:dyDescent="0.25">
      <c r="C158" s="20">
        <v>157</v>
      </c>
      <c r="D158" s="20">
        <v>73304224440</v>
      </c>
      <c r="E158" s="20" t="s">
        <v>1089</v>
      </c>
      <c r="F158" s="20">
        <v>70</v>
      </c>
      <c r="G158" s="20">
        <v>112</v>
      </c>
      <c r="H158" s="20">
        <v>45</v>
      </c>
      <c r="I158" s="21">
        <v>78</v>
      </c>
      <c r="J158">
        <v>123.5</v>
      </c>
      <c r="K158">
        <v>42</v>
      </c>
      <c r="L158">
        <v>8</v>
      </c>
      <c r="M158">
        <v>11.5</v>
      </c>
      <c r="N158">
        <v>-3</v>
      </c>
      <c r="O158">
        <v>-3</v>
      </c>
      <c r="P158" t="s">
        <v>1388</v>
      </c>
    </row>
    <row r="159" spans="3:16" x14ac:dyDescent="0.25">
      <c r="C159" s="20">
        <v>158</v>
      </c>
      <c r="D159" s="20">
        <v>73298840534</v>
      </c>
      <c r="E159" s="20" t="s">
        <v>1094</v>
      </c>
      <c r="F159" s="20">
        <v>74</v>
      </c>
      <c r="G159" s="20">
        <v>116</v>
      </c>
      <c r="H159" s="20">
        <v>37</v>
      </c>
      <c r="I159" s="21">
        <v>78</v>
      </c>
      <c r="J159">
        <v>123.5</v>
      </c>
      <c r="K159">
        <v>42</v>
      </c>
      <c r="L159">
        <v>4</v>
      </c>
      <c r="M159">
        <v>7.5</v>
      </c>
      <c r="N159">
        <v>5</v>
      </c>
      <c r="O159">
        <v>4</v>
      </c>
      <c r="P159" t="s">
        <v>1388</v>
      </c>
    </row>
    <row r="160" spans="3:16" x14ac:dyDescent="0.25">
      <c r="C160" s="20">
        <v>159</v>
      </c>
      <c r="D160" s="20">
        <v>73271909334</v>
      </c>
      <c r="E160" s="20" t="s">
        <v>1108</v>
      </c>
      <c r="F160" s="20">
        <v>74</v>
      </c>
      <c r="G160" s="20">
        <v>114</v>
      </c>
      <c r="H160" s="20">
        <v>42</v>
      </c>
      <c r="I160" s="21">
        <v>78</v>
      </c>
      <c r="J160">
        <v>123.5</v>
      </c>
      <c r="K160">
        <v>42</v>
      </c>
      <c r="L160">
        <v>4</v>
      </c>
      <c r="M160">
        <v>9.5</v>
      </c>
      <c r="N160">
        <v>0</v>
      </c>
      <c r="O160">
        <v>0</v>
      </c>
      <c r="P160" t="s">
        <v>1388</v>
      </c>
    </row>
    <row r="161" spans="3:16" x14ac:dyDescent="0.25">
      <c r="C161" s="20">
        <v>160</v>
      </c>
      <c r="D161" s="20">
        <v>73327173478</v>
      </c>
      <c r="E161" s="20" t="s">
        <v>1111</v>
      </c>
      <c r="F161" s="20">
        <v>76</v>
      </c>
      <c r="G161" s="20">
        <v>117.5</v>
      </c>
      <c r="H161" s="20">
        <v>37</v>
      </c>
      <c r="I161" s="21">
        <v>78</v>
      </c>
      <c r="J161">
        <v>123.5</v>
      </c>
      <c r="K161">
        <v>42</v>
      </c>
      <c r="L161">
        <v>2</v>
      </c>
      <c r="M161">
        <v>6</v>
      </c>
      <c r="N161">
        <v>5</v>
      </c>
      <c r="O161">
        <v>2</v>
      </c>
      <c r="P161" t="s">
        <v>1388</v>
      </c>
    </row>
    <row r="162" spans="3:16" x14ac:dyDescent="0.25">
      <c r="C162" s="20">
        <v>161</v>
      </c>
      <c r="D162" s="20">
        <v>73442174516</v>
      </c>
      <c r="E162" s="20" t="s">
        <v>1113</v>
      </c>
      <c r="F162" s="20">
        <v>75</v>
      </c>
      <c r="G162" s="20">
        <v>121</v>
      </c>
      <c r="H162" s="20">
        <v>38</v>
      </c>
      <c r="I162" s="21">
        <v>78</v>
      </c>
      <c r="J162">
        <v>123.5</v>
      </c>
      <c r="K162">
        <v>42</v>
      </c>
      <c r="L162">
        <v>3</v>
      </c>
      <c r="M162">
        <v>2.5</v>
      </c>
      <c r="N162">
        <v>4</v>
      </c>
      <c r="O162">
        <v>2.5</v>
      </c>
      <c r="P162" t="s">
        <v>1388</v>
      </c>
    </row>
    <row r="163" spans="3:16" x14ac:dyDescent="0.25">
      <c r="C163" s="20">
        <v>162</v>
      </c>
      <c r="D163" s="20">
        <v>74049545321</v>
      </c>
      <c r="E163" s="20" t="s">
        <v>1114</v>
      </c>
      <c r="F163" s="20">
        <v>71</v>
      </c>
      <c r="G163" s="20">
        <v>116</v>
      </c>
      <c r="H163" s="20">
        <v>42</v>
      </c>
      <c r="I163" s="21">
        <v>78</v>
      </c>
      <c r="J163">
        <v>123.5</v>
      </c>
      <c r="K163">
        <v>42</v>
      </c>
      <c r="L163">
        <v>7</v>
      </c>
      <c r="M163">
        <v>7.5</v>
      </c>
      <c r="N163">
        <v>0</v>
      </c>
      <c r="O163">
        <v>0</v>
      </c>
      <c r="P163" t="s">
        <v>1388</v>
      </c>
    </row>
    <row r="164" spans="3:16" x14ac:dyDescent="0.25">
      <c r="C164" s="20">
        <v>163</v>
      </c>
      <c r="D164" s="20">
        <v>73325131791</v>
      </c>
      <c r="E164" s="20" t="s">
        <v>1115</v>
      </c>
      <c r="F164" s="20">
        <v>84</v>
      </c>
      <c r="G164" s="20">
        <v>130.5</v>
      </c>
      <c r="H164" s="20">
        <v>32</v>
      </c>
      <c r="I164" s="21">
        <v>78</v>
      </c>
      <c r="J164">
        <v>123.5</v>
      </c>
      <c r="K164">
        <v>42</v>
      </c>
      <c r="L164">
        <v>-6</v>
      </c>
      <c r="M164">
        <v>-7</v>
      </c>
      <c r="N164">
        <v>10</v>
      </c>
      <c r="O164">
        <v>-7</v>
      </c>
      <c r="P164" t="s">
        <v>1388</v>
      </c>
    </row>
    <row r="165" spans="3:16" x14ac:dyDescent="0.25">
      <c r="C165" s="20">
        <v>164</v>
      </c>
      <c r="D165" s="20">
        <v>73417882788</v>
      </c>
      <c r="E165" s="20" t="s">
        <v>1117</v>
      </c>
      <c r="F165" s="20">
        <v>84</v>
      </c>
      <c r="G165" s="20">
        <v>131.5</v>
      </c>
      <c r="H165" s="20">
        <v>39</v>
      </c>
      <c r="I165" s="21">
        <v>78</v>
      </c>
      <c r="J165">
        <v>123.5</v>
      </c>
      <c r="K165">
        <v>42</v>
      </c>
      <c r="L165">
        <v>-6</v>
      </c>
      <c r="M165">
        <v>-8</v>
      </c>
      <c r="N165">
        <v>3</v>
      </c>
      <c r="O165">
        <v>-8</v>
      </c>
      <c r="P165" t="s">
        <v>1388</v>
      </c>
    </row>
    <row r="166" spans="3:16" x14ac:dyDescent="0.25">
      <c r="C166" s="20">
        <v>165</v>
      </c>
      <c r="D166" s="20">
        <v>73386253932</v>
      </c>
      <c r="E166" s="20" t="s">
        <v>1118</v>
      </c>
      <c r="F166" s="20">
        <v>74</v>
      </c>
      <c r="G166" s="20">
        <v>118</v>
      </c>
      <c r="H166" s="20">
        <v>36</v>
      </c>
      <c r="I166" s="21">
        <v>78</v>
      </c>
      <c r="J166">
        <v>123.5</v>
      </c>
      <c r="K166">
        <v>42</v>
      </c>
      <c r="L166">
        <v>4</v>
      </c>
      <c r="M166">
        <v>5.5</v>
      </c>
      <c r="N166">
        <v>6</v>
      </c>
      <c r="O166">
        <v>4</v>
      </c>
      <c r="P166" t="s">
        <v>1388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40951-A05F-4E26-ACD7-8DCD4300B5AD}">
  <sheetPr codeName="Munka7"/>
  <dimension ref="C1:M60"/>
  <sheetViews>
    <sheetView workbookViewId="0">
      <selection activeCell="A10" sqref="A10"/>
    </sheetView>
  </sheetViews>
  <sheetFormatPr defaultRowHeight="15" x14ac:dyDescent="0.25"/>
  <cols>
    <col min="3" max="3" width="10.7109375" bestFit="1" customWidth="1"/>
    <col min="4" max="4" width="15.7109375" bestFit="1" customWidth="1"/>
    <col min="5" max="5" width="18.85546875" bestFit="1" customWidth="1"/>
    <col min="6" max="6" width="15.5703125" bestFit="1" customWidth="1"/>
    <col min="7" max="7" width="12" bestFit="1" customWidth="1"/>
    <col min="8" max="8" width="28" bestFit="1" customWidth="1"/>
    <col min="9" max="9" width="14" bestFit="1" customWidth="1"/>
    <col min="10" max="10" width="17.28515625" bestFit="1" customWidth="1"/>
    <col min="11" max="11" width="9.7109375" bestFit="1" customWidth="1"/>
    <col min="12" max="12" width="13.85546875" bestFit="1" customWidth="1"/>
    <col min="13" max="13" width="16.7109375" bestFit="1" customWidth="1"/>
  </cols>
  <sheetData>
    <row r="1" spans="3:13" x14ac:dyDescent="0.25">
      <c r="C1" s="14" t="s">
        <v>1386</v>
      </c>
      <c r="D1" s="14" t="s">
        <v>1383</v>
      </c>
      <c r="E1" s="14" t="s">
        <v>1384</v>
      </c>
      <c r="F1" s="14" t="s">
        <v>1385</v>
      </c>
      <c r="G1" s="14" t="s">
        <v>676</v>
      </c>
      <c r="H1" s="14" t="s">
        <v>677</v>
      </c>
      <c r="I1" s="14" t="s">
        <v>692</v>
      </c>
      <c r="J1" s="14" t="s">
        <v>695</v>
      </c>
      <c r="K1" s="14" t="s">
        <v>699</v>
      </c>
      <c r="L1" s="14" t="s">
        <v>700</v>
      </c>
      <c r="M1" s="11" t="s">
        <v>694</v>
      </c>
    </row>
    <row r="2" spans="3:13" x14ac:dyDescent="0.25">
      <c r="C2" s="13">
        <v>1</v>
      </c>
      <c r="D2" s="13">
        <v>57</v>
      </c>
      <c r="E2" s="13">
        <v>57</v>
      </c>
      <c r="F2" s="13">
        <v>55</v>
      </c>
      <c r="G2" s="13">
        <v>73300057890</v>
      </c>
      <c r="H2" s="13" t="s">
        <v>717</v>
      </c>
      <c r="I2" s="13">
        <v>72</v>
      </c>
      <c r="J2" s="13">
        <v>115.5</v>
      </c>
      <c r="K2" s="13">
        <v>50</v>
      </c>
      <c r="L2" s="13">
        <v>165.5</v>
      </c>
      <c r="M2" s="12">
        <v>25</v>
      </c>
    </row>
    <row r="3" spans="3:13" x14ac:dyDescent="0.25">
      <c r="C3" s="13">
        <v>2</v>
      </c>
      <c r="D3" s="13">
        <v>18</v>
      </c>
      <c r="E3" s="13">
        <v>16</v>
      </c>
      <c r="F3" s="13">
        <v>9</v>
      </c>
      <c r="G3" s="13">
        <v>73356635176</v>
      </c>
      <c r="H3" s="13" t="s">
        <v>722</v>
      </c>
      <c r="I3" s="13">
        <v>88</v>
      </c>
      <c r="J3" s="13">
        <v>135.5</v>
      </c>
      <c r="K3" s="13">
        <v>48</v>
      </c>
      <c r="L3" s="13">
        <v>183.5</v>
      </c>
      <c r="M3" s="12">
        <v>25</v>
      </c>
    </row>
    <row r="4" spans="3:13" x14ac:dyDescent="0.25">
      <c r="C4" s="13">
        <v>3</v>
      </c>
      <c r="D4" s="13">
        <v>18</v>
      </c>
      <c r="E4" s="13">
        <v>24</v>
      </c>
      <c r="F4" s="13">
        <v>15</v>
      </c>
      <c r="G4" s="13">
        <v>73373751482</v>
      </c>
      <c r="H4" s="13" t="s">
        <v>725</v>
      </c>
      <c r="I4" s="13">
        <v>88</v>
      </c>
      <c r="J4" s="13">
        <v>134</v>
      </c>
      <c r="K4" s="13">
        <v>47</v>
      </c>
      <c r="L4" s="13">
        <v>181</v>
      </c>
      <c r="M4" s="12">
        <v>25</v>
      </c>
    </row>
    <row r="5" spans="3:13" x14ac:dyDescent="0.25">
      <c r="C5" s="13">
        <v>4</v>
      </c>
      <c r="D5" s="13">
        <v>1</v>
      </c>
      <c r="E5" s="13">
        <v>1</v>
      </c>
      <c r="F5" s="13">
        <v>3</v>
      </c>
      <c r="G5" s="13">
        <v>73269194521</v>
      </c>
      <c r="H5" s="13" t="s">
        <v>727</v>
      </c>
      <c r="I5" s="13">
        <v>94</v>
      </c>
      <c r="J5" s="13">
        <v>143.5</v>
      </c>
      <c r="K5" s="13">
        <v>44</v>
      </c>
      <c r="L5" s="13">
        <v>187.5</v>
      </c>
      <c r="M5" s="12">
        <v>25</v>
      </c>
    </row>
    <row r="6" spans="3:13" x14ac:dyDescent="0.25">
      <c r="C6" s="13">
        <v>5</v>
      </c>
      <c r="D6" s="13">
        <v>57</v>
      </c>
      <c r="E6" s="13">
        <v>58</v>
      </c>
      <c r="F6" s="13">
        <v>59</v>
      </c>
      <c r="G6" s="13">
        <v>73309965981</v>
      </c>
      <c r="H6" s="13" t="s">
        <v>734</v>
      </c>
      <c r="I6" s="13">
        <v>72</v>
      </c>
      <c r="J6" s="13">
        <v>112.5</v>
      </c>
      <c r="K6" s="13">
        <v>40</v>
      </c>
      <c r="L6" s="13">
        <v>152.5</v>
      </c>
      <c r="M6" s="12">
        <v>23.63</v>
      </c>
    </row>
    <row r="7" spans="3:13" x14ac:dyDescent="0.25">
      <c r="C7" s="13">
        <v>6</v>
      </c>
      <c r="D7" s="13">
        <v>5</v>
      </c>
      <c r="E7" s="13">
        <v>4</v>
      </c>
      <c r="F7" s="13">
        <v>15</v>
      </c>
      <c r="G7" s="13">
        <v>73366026919</v>
      </c>
      <c r="H7" s="13" t="s">
        <v>741</v>
      </c>
      <c r="I7" s="13">
        <v>90</v>
      </c>
      <c r="J7" s="13">
        <v>139</v>
      </c>
      <c r="K7" s="13">
        <v>42</v>
      </c>
      <c r="L7" s="13">
        <v>181</v>
      </c>
      <c r="M7" s="12">
        <v>25</v>
      </c>
    </row>
    <row r="8" spans="3:13" x14ac:dyDescent="0.25">
      <c r="C8" s="13">
        <v>7</v>
      </c>
      <c r="D8" s="13">
        <v>15</v>
      </c>
      <c r="E8" s="13">
        <v>14</v>
      </c>
      <c r="F8" s="13">
        <v>12</v>
      </c>
      <c r="G8" s="13">
        <v>73385730968</v>
      </c>
      <c r="H8" s="13" t="s">
        <v>744</v>
      </c>
      <c r="I8" s="13">
        <v>89</v>
      </c>
      <c r="J8" s="13">
        <v>136</v>
      </c>
      <c r="K8" s="13">
        <v>46</v>
      </c>
      <c r="L8" s="13">
        <v>182</v>
      </c>
      <c r="M8" s="12">
        <v>25</v>
      </c>
    </row>
    <row r="9" spans="3:13" x14ac:dyDescent="0.25">
      <c r="C9" s="13">
        <v>8</v>
      </c>
      <c r="D9" s="13">
        <v>43</v>
      </c>
      <c r="E9" s="13">
        <v>44</v>
      </c>
      <c r="F9" s="13">
        <v>34</v>
      </c>
      <c r="G9" s="13">
        <v>73385578325</v>
      </c>
      <c r="H9" s="13" t="s">
        <v>746</v>
      </c>
      <c r="I9" s="13">
        <v>81</v>
      </c>
      <c r="J9" s="13">
        <v>126.5</v>
      </c>
      <c r="K9" s="13">
        <v>49</v>
      </c>
      <c r="L9" s="13">
        <v>175.5</v>
      </c>
      <c r="M9" s="12">
        <v>25</v>
      </c>
    </row>
    <row r="10" spans="3:13" x14ac:dyDescent="0.25">
      <c r="C10" s="13">
        <v>9</v>
      </c>
      <c r="D10" s="13">
        <v>28</v>
      </c>
      <c r="E10" s="13">
        <v>20</v>
      </c>
      <c r="F10" s="13">
        <v>28</v>
      </c>
      <c r="G10" s="13">
        <v>73381619751</v>
      </c>
      <c r="H10" s="13" t="s">
        <v>757</v>
      </c>
      <c r="I10" s="13">
        <v>86</v>
      </c>
      <c r="J10" s="13">
        <v>134.5</v>
      </c>
      <c r="K10" s="13">
        <v>42</v>
      </c>
      <c r="L10" s="13">
        <v>176.5</v>
      </c>
      <c r="M10" s="12">
        <v>25</v>
      </c>
    </row>
    <row r="11" spans="3:13" x14ac:dyDescent="0.25">
      <c r="C11" s="13">
        <v>10</v>
      </c>
      <c r="D11" s="13">
        <v>29</v>
      </c>
      <c r="E11" s="13">
        <v>33</v>
      </c>
      <c r="F11" s="13">
        <v>38</v>
      </c>
      <c r="G11" s="13">
        <v>73382777174</v>
      </c>
      <c r="H11" s="13" t="s">
        <v>765</v>
      </c>
      <c r="I11" s="13">
        <v>85</v>
      </c>
      <c r="J11" s="13">
        <v>130.5</v>
      </c>
      <c r="K11" s="13">
        <v>43</v>
      </c>
      <c r="L11" s="13">
        <v>173.5</v>
      </c>
      <c r="M11" s="12">
        <v>25</v>
      </c>
    </row>
    <row r="12" spans="3:13" x14ac:dyDescent="0.25">
      <c r="C12" s="13">
        <v>11</v>
      </c>
      <c r="D12" s="13">
        <v>15</v>
      </c>
      <c r="E12" s="13">
        <v>17</v>
      </c>
      <c r="F12" s="13">
        <v>24</v>
      </c>
      <c r="G12" s="13">
        <v>73282119489</v>
      </c>
      <c r="H12" s="13" t="s">
        <v>770</v>
      </c>
      <c r="I12" s="13">
        <v>89</v>
      </c>
      <c r="J12" s="13">
        <v>135</v>
      </c>
      <c r="K12" s="13">
        <v>43</v>
      </c>
      <c r="L12" s="13">
        <v>178</v>
      </c>
      <c r="M12" s="12">
        <v>25</v>
      </c>
    </row>
    <row r="13" spans="3:13" x14ac:dyDescent="0.25">
      <c r="C13" s="13">
        <v>12</v>
      </c>
      <c r="D13" s="13">
        <v>49</v>
      </c>
      <c r="E13" s="13">
        <v>48</v>
      </c>
      <c r="F13" s="13">
        <v>51</v>
      </c>
      <c r="G13" s="13">
        <v>73578876494</v>
      </c>
      <c r="H13" s="13" t="s">
        <v>773</v>
      </c>
      <c r="I13" s="13">
        <v>78</v>
      </c>
      <c r="J13" s="13">
        <v>123.5</v>
      </c>
      <c r="K13" s="13">
        <v>48</v>
      </c>
      <c r="L13" s="13">
        <v>171.5</v>
      </c>
      <c r="M13" s="12">
        <v>25</v>
      </c>
    </row>
    <row r="14" spans="3:13" x14ac:dyDescent="0.25">
      <c r="C14" s="13">
        <v>13</v>
      </c>
      <c r="D14" s="13">
        <v>55</v>
      </c>
      <c r="E14" s="13">
        <v>55</v>
      </c>
      <c r="F14" s="13">
        <v>57</v>
      </c>
      <c r="G14" s="13">
        <v>73256164928</v>
      </c>
      <c r="H14" s="13" t="s">
        <v>778</v>
      </c>
      <c r="I14" s="13">
        <v>76</v>
      </c>
      <c r="J14" s="13">
        <v>120</v>
      </c>
      <c r="K14" s="13">
        <v>42</v>
      </c>
      <c r="L14" s="13">
        <v>162</v>
      </c>
      <c r="M14" s="12">
        <v>25</v>
      </c>
    </row>
    <row r="15" spans="3:13" x14ac:dyDescent="0.25">
      <c r="C15" s="13">
        <v>14</v>
      </c>
      <c r="D15" s="13">
        <v>5</v>
      </c>
      <c r="E15" s="13">
        <v>13</v>
      </c>
      <c r="F15" s="13">
        <v>14</v>
      </c>
      <c r="G15" s="13">
        <v>73323252312</v>
      </c>
      <c r="H15" s="13" t="s">
        <v>779</v>
      </c>
      <c r="I15" s="13">
        <v>90</v>
      </c>
      <c r="J15" s="13">
        <v>136.5</v>
      </c>
      <c r="K15" s="13">
        <v>45</v>
      </c>
      <c r="L15" s="13">
        <v>181.5</v>
      </c>
      <c r="M15" s="12">
        <v>24.54</v>
      </c>
    </row>
    <row r="16" spans="3:13" x14ac:dyDescent="0.25">
      <c r="C16" s="13">
        <v>15</v>
      </c>
      <c r="D16" s="13">
        <v>5</v>
      </c>
      <c r="E16" s="13">
        <v>4</v>
      </c>
      <c r="F16" s="13">
        <v>8</v>
      </c>
      <c r="G16" s="13">
        <v>73356616018</v>
      </c>
      <c r="H16" s="13" t="s">
        <v>789</v>
      </c>
      <c r="I16" s="13">
        <v>90</v>
      </c>
      <c r="J16" s="13">
        <v>139</v>
      </c>
      <c r="K16" s="13">
        <v>46</v>
      </c>
      <c r="L16" s="13">
        <v>185</v>
      </c>
      <c r="M16" s="12">
        <v>25</v>
      </c>
    </row>
    <row r="17" spans="3:13" x14ac:dyDescent="0.25">
      <c r="C17" s="13">
        <v>16</v>
      </c>
      <c r="D17" s="13">
        <v>29</v>
      </c>
      <c r="E17" s="13">
        <v>30</v>
      </c>
      <c r="F17" s="13">
        <v>22</v>
      </c>
      <c r="G17" s="13">
        <v>73383082475</v>
      </c>
      <c r="H17" s="13" t="s">
        <v>804</v>
      </c>
      <c r="I17" s="13">
        <v>85</v>
      </c>
      <c r="J17" s="13">
        <v>131.5</v>
      </c>
      <c r="K17" s="13">
        <v>47</v>
      </c>
      <c r="L17" s="13">
        <v>178.5</v>
      </c>
      <c r="M17" s="12">
        <v>25</v>
      </c>
    </row>
    <row r="18" spans="3:13" x14ac:dyDescent="0.25">
      <c r="C18" s="13">
        <v>17</v>
      </c>
      <c r="D18" s="13">
        <v>49</v>
      </c>
      <c r="E18" s="13">
        <v>48</v>
      </c>
      <c r="F18" s="13">
        <v>38</v>
      </c>
      <c r="G18" s="13">
        <v>73381660640</v>
      </c>
      <c r="H18" s="13" t="s">
        <v>821</v>
      </c>
      <c r="I18" s="13">
        <v>78</v>
      </c>
      <c r="J18" s="13">
        <v>123.5</v>
      </c>
      <c r="K18" s="13">
        <v>50</v>
      </c>
      <c r="L18" s="13">
        <v>173.5</v>
      </c>
      <c r="M18" s="12">
        <v>25</v>
      </c>
    </row>
    <row r="19" spans="3:13" x14ac:dyDescent="0.25">
      <c r="C19" s="13">
        <v>18</v>
      </c>
      <c r="D19" s="13">
        <v>15</v>
      </c>
      <c r="E19" s="13">
        <v>6</v>
      </c>
      <c r="F19" s="13">
        <v>7</v>
      </c>
      <c r="G19" s="13">
        <v>73270474205</v>
      </c>
      <c r="H19" s="13" t="s">
        <v>830</v>
      </c>
      <c r="I19" s="13">
        <v>89</v>
      </c>
      <c r="J19" s="13">
        <v>138.5</v>
      </c>
      <c r="K19" s="13">
        <v>48</v>
      </c>
      <c r="L19" s="13">
        <v>186.5</v>
      </c>
      <c r="M19" s="12">
        <v>25</v>
      </c>
    </row>
    <row r="20" spans="3:13" x14ac:dyDescent="0.25">
      <c r="C20" s="13">
        <v>19</v>
      </c>
      <c r="D20" s="13">
        <v>5</v>
      </c>
      <c r="E20" s="13">
        <v>14</v>
      </c>
      <c r="F20" s="13">
        <v>31</v>
      </c>
      <c r="G20" s="13">
        <v>73355351007</v>
      </c>
      <c r="H20" s="13" t="s">
        <v>835</v>
      </c>
      <c r="I20" s="13">
        <v>90</v>
      </c>
      <c r="J20" s="13">
        <v>136</v>
      </c>
      <c r="K20" s="13">
        <v>40</v>
      </c>
      <c r="L20" s="13">
        <v>176</v>
      </c>
      <c r="M20" s="12">
        <v>24.54</v>
      </c>
    </row>
    <row r="21" spans="3:13" x14ac:dyDescent="0.25">
      <c r="C21" s="13">
        <v>20</v>
      </c>
      <c r="D21" s="13">
        <v>29</v>
      </c>
      <c r="E21" s="13">
        <v>30</v>
      </c>
      <c r="F21" s="13">
        <v>17</v>
      </c>
      <c r="G21" s="13">
        <v>73257566437</v>
      </c>
      <c r="H21" s="13" t="s">
        <v>840</v>
      </c>
      <c r="I21" s="13">
        <v>85</v>
      </c>
      <c r="J21" s="13">
        <v>131.5</v>
      </c>
      <c r="K21" s="13">
        <v>49</v>
      </c>
      <c r="L21" s="13">
        <v>180.5</v>
      </c>
      <c r="M21" s="12">
        <v>25</v>
      </c>
    </row>
    <row r="22" spans="3:13" x14ac:dyDescent="0.25">
      <c r="C22" s="13">
        <v>21</v>
      </c>
      <c r="D22" s="13">
        <v>5</v>
      </c>
      <c r="E22" s="13">
        <v>7</v>
      </c>
      <c r="F22" s="13">
        <v>5</v>
      </c>
      <c r="G22" s="13">
        <v>73355978676</v>
      </c>
      <c r="H22" s="13" t="s">
        <v>860</v>
      </c>
      <c r="I22" s="13">
        <v>90</v>
      </c>
      <c r="J22" s="13">
        <v>138</v>
      </c>
      <c r="K22" s="13">
        <v>49</v>
      </c>
      <c r="L22" s="13">
        <v>187</v>
      </c>
      <c r="M22" s="12">
        <v>24.5</v>
      </c>
    </row>
    <row r="23" spans="3:13" x14ac:dyDescent="0.25">
      <c r="C23" s="13">
        <v>22</v>
      </c>
      <c r="D23" s="13">
        <v>5</v>
      </c>
      <c r="E23" s="13">
        <v>11</v>
      </c>
      <c r="F23" s="13">
        <v>3</v>
      </c>
      <c r="G23" s="13">
        <v>73366305693</v>
      </c>
      <c r="H23" s="13" t="s">
        <v>862</v>
      </c>
      <c r="I23" s="13">
        <v>90</v>
      </c>
      <c r="J23" s="13">
        <v>137.5</v>
      </c>
      <c r="K23" s="13">
        <v>50</v>
      </c>
      <c r="L23" s="13">
        <v>187.5</v>
      </c>
      <c r="M23" s="12">
        <v>25</v>
      </c>
    </row>
    <row r="24" spans="3:13" x14ac:dyDescent="0.25">
      <c r="C24" s="13">
        <v>23</v>
      </c>
      <c r="D24" s="13">
        <v>38</v>
      </c>
      <c r="E24" s="13">
        <v>39</v>
      </c>
      <c r="F24" s="13">
        <v>25</v>
      </c>
      <c r="G24" s="13">
        <v>73374900587</v>
      </c>
      <c r="H24" s="13" t="s">
        <v>870</v>
      </c>
      <c r="I24" s="13">
        <v>83</v>
      </c>
      <c r="J24" s="13">
        <v>128.5</v>
      </c>
      <c r="K24" s="13">
        <v>49</v>
      </c>
      <c r="L24" s="13">
        <v>177.5</v>
      </c>
      <c r="M24" s="12">
        <v>24.5</v>
      </c>
    </row>
    <row r="25" spans="3:13" x14ac:dyDescent="0.25">
      <c r="C25" s="13">
        <v>24</v>
      </c>
      <c r="D25" s="13">
        <v>34</v>
      </c>
      <c r="E25" s="13">
        <v>30</v>
      </c>
      <c r="F25" s="13">
        <v>28</v>
      </c>
      <c r="G25" s="13">
        <v>73346943312</v>
      </c>
      <c r="H25" s="13" t="s">
        <v>888</v>
      </c>
      <c r="I25" s="13">
        <v>84</v>
      </c>
      <c r="J25" s="13">
        <v>131.5</v>
      </c>
      <c r="K25" s="13">
        <v>45</v>
      </c>
      <c r="L25" s="13">
        <v>176.5</v>
      </c>
      <c r="M25" s="12">
        <v>25</v>
      </c>
    </row>
    <row r="26" spans="3:13" x14ac:dyDescent="0.25">
      <c r="C26" s="13">
        <v>25</v>
      </c>
      <c r="D26" s="13">
        <v>29</v>
      </c>
      <c r="E26" s="13">
        <v>34</v>
      </c>
      <c r="F26" s="13">
        <v>26</v>
      </c>
      <c r="G26" s="13">
        <v>73385833698</v>
      </c>
      <c r="H26" s="13" t="s">
        <v>892</v>
      </c>
      <c r="I26" s="13">
        <v>85</v>
      </c>
      <c r="J26" s="13">
        <v>130</v>
      </c>
      <c r="K26" s="13">
        <v>47</v>
      </c>
      <c r="L26" s="13">
        <v>177</v>
      </c>
      <c r="M26" s="12">
        <v>25</v>
      </c>
    </row>
    <row r="27" spans="3:13" x14ac:dyDescent="0.25">
      <c r="C27" s="13">
        <v>26</v>
      </c>
      <c r="D27" s="13">
        <v>49</v>
      </c>
      <c r="E27" s="13">
        <v>48</v>
      </c>
      <c r="F27" s="13">
        <v>45</v>
      </c>
      <c r="G27" s="13">
        <v>73286806905</v>
      </c>
      <c r="H27" s="13" t="s">
        <v>895</v>
      </c>
      <c r="I27" s="13">
        <v>78</v>
      </c>
      <c r="J27" s="13">
        <v>123.5</v>
      </c>
      <c r="K27" s="13">
        <v>49</v>
      </c>
      <c r="L27" s="13">
        <v>172.5</v>
      </c>
      <c r="M27" s="12">
        <v>25</v>
      </c>
    </row>
    <row r="28" spans="3:13" x14ac:dyDescent="0.25">
      <c r="C28" s="13">
        <v>27</v>
      </c>
      <c r="D28" s="13">
        <v>5</v>
      </c>
      <c r="E28" s="13">
        <v>17</v>
      </c>
      <c r="F28" s="13">
        <v>20</v>
      </c>
      <c r="G28" s="13">
        <v>73323292443</v>
      </c>
      <c r="H28" s="13" t="s">
        <v>897</v>
      </c>
      <c r="I28" s="13">
        <v>90</v>
      </c>
      <c r="J28" s="13">
        <v>135</v>
      </c>
      <c r="K28" s="13">
        <v>44</v>
      </c>
      <c r="L28" s="13">
        <v>179</v>
      </c>
      <c r="M28" s="12">
        <v>24.54</v>
      </c>
    </row>
    <row r="29" spans="3:13" x14ac:dyDescent="0.25">
      <c r="C29" s="13">
        <v>28</v>
      </c>
      <c r="D29" s="13">
        <v>29</v>
      </c>
      <c r="E29" s="13">
        <v>34</v>
      </c>
      <c r="F29" s="13">
        <v>26</v>
      </c>
      <c r="G29" s="13">
        <v>73403121094</v>
      </c>
      <c r="H29" s="13" t="s">
        <v>902</v>
      </c>
      <c r="I29" s="13">
        <v>85</v>
      </c>
      <c r="J29" s="13">
        <v>130</v>
      </c>
      <c r="K29" s="13">
        <v>47</v>
      </c>
      <c r="L29" s="13">
        <v>177</v>
      </c>
      <c r="M29" s="12">
        <v>25</v>
      </c>
    </row>
    <row r="30" spans="3:13" x14ac:dyDescent="0.25">
      <c r="C30" s="13">
        <v>29</v>
      </c>
      <c r="D30" s="13">
        <v>18</v>
      </c>
      <c r="E30" s="13">
        <v>20</v>
      </c>
      <c r="F30" s="13">
        <v>11</v>
      </c>
      <c r="G30" s="13">
        <v>73327485789</v>
      </c>
      <c r="H30" s="13" t="s">
        <v>919</v>
      </c>
      <c r="I30" s="13">
        <v>88</v>
      </c>
      <c r="J30" s="13">
        <v>134.5</v>
      </c>
      <c r="K30" s="13">
        <v>48</v>
      </c>
      <c r="L30" s="13">
        <v>182.5</v>
      </c>
      <c r="M30" s="12">
        <v>25</v>
      </c>
    </row>
    <row r="31" spans="3:13" x14ac:dyDescent="0.25">
      <c r="C31" s="13">
        <v>30</v>
      </c>
      <c r="D31" s="13">
        <v>49</v>
      </c>
      <c r="E31" s="13">
        <v>54</v>
      </c>
      <c r="F31" s="13">
        <v>54</v>
      </c>
      <c r="G31" s="13">
        <v>73386139740</v>
      </c>
      <c r="H31" s="13" t="s">
        <v>921</v>
      </c>
      <c r="I31" s="13">
        <v>78</v>
      </c>
      <c r="J31" s="13">
        <v>120.5</v>
      </c>
      <c r="K31" s="13">
        <v>46</v>
      </c>
      <c r="L31" s="13">
        <v>166.5</v>
      </c>
      <c r="M31" s="12">
        <v>25</v>
      </c>
    </row>
    <row r="32" spans="3:13" x14ac:dyDescent="0.25">
      <c r="C32" s="13">
        <v>31</v>
      </c>
      <c r="D32" s="13">
        <v>22</v>
      </c>
      <c r="E32" s="13">
        <v>28</v>
      </c>
      <c r="F32" s="13">
        <v>12</v>
      </c>
      <c r="G32" s="13">
        <v>73375068257</v>
      </c>
      <c r="H32" s="13" t="s">
        <v>923</v>
      </c>
      <c r="I32" s="13">
        <v>87</v>
      </c>
      <c r="J32" s="13">
        <v>133</v>
      </c>
      <c r="K32" s="13">
        <v>49</v>
      </c>
      <c r="L32" s="13">
        <v>182</v>
      </c>
      <c r="M32" s="12">
        <v>25</v>
      </c>
    </row>
    <row r="33" spans="3:13" x14ac:dyDescent="0.25">
      <c r="C33" s="13">
        <v>32</v>
      </c>
      <c r="D33" s="13">
        <v>56</v>
      </c>
      <c r="E33" s="13">
        <v>56</v>
      </c>
      <c r="F33" s="13">
        <v>56</v>
      </c>
      <c r="G33" s="13">
        <v>73255944085</v>
      </c>
      <c r="H33" s="13" t="s">
        <v>932</v>
      </c>
      <c r="I33" s="13">
        <v>74</v>
      </c>
      <c r="J33" s="13">
        <v>118.5</v>
      </c>
      <c r="K33" s="13">
        <v>44</v>
      </c>
      <c r="L33" s="13">
        <v>162.5</v>
      </c>
      <c r="M33" s="12">
        <v>24.17</v>
      </c>
    </row>
    <row r="34" spans="3:13" x14ac:dyDescent="0.25">
      <c r="C34" s="13">
        <v>33</v>
      </c>
      <c r="D34" s="13">
        <v>2</v>
      </c>
      <c r="E34" s="13">
        <v>2</v>
      </c>
      <c r="F34" s="13">
        <v>1</v>
      </c>
      <c r="G34" s="13">
        <v>73355201725</v>
      </c>
      <c r="H34" s="13" t="s">
        <v>936</v>
      </c>
      <c r="I34" s="13">
        <v>93</v>
      </c>
      <c r="J34" s="13">
        <v>142</v>
      </c>
      <c r="K34" s="13">
        <v>49</v>
      </c>
      <c r="L34" s="13">
        <v>191</v>
      </c>
      <c r="M34" s="12">
        <v>25</v>
      </c>
    </row>
    <row r="35" spans="3:13" x14ac:dyDescent="0.25">
      <c r="C35" s="13">
        <v>34</v>
      </c>
      <c r="D35" s="13">
        <v>43</v>
      </c>
      <c r="E35" s="13">
        <v>46</v>
      </c>
      <c r="F35" s="13">
        <v>40</v>
      </c>
      <c r="G35" s="13">
        <v>73375122478</v>
      </c>
      <c r="H35" s="13" t="s">
        <v>943</v>
      </c>
      <c r="I35" s="13">
        <v>81</v>
      </c>
      <c r="J35" s="13">
        <v>125</v>
      </c>
      <c r="K35" s="13">
        <v>48</v>
      </c>
      <c r="L35" s="13">
        <v>173</v>
      </c>
      <c r="M35" s="12">
        <v>25</v>
      </c>
    </row>
    <row r="36" spans="3:13" x14ac:dyDescent="0.25">
      <c r="C36" s="13">
        <v>35</v>
      </c>
      <c r="D36" s="13">
        <v>22</v>
      </c>
      <c r="E36" s="13">
        <v>26</v>
      </c>
      <c r="F36" s="13">
        <v>45</v>
      </c>
      <c r="G36" s="13">
        <v>73407253485</v>
      </c>
      <c r="H36" s="13" t="s">
        <v>945</v>
      </c>
      <c r="I36" s="13">
        <v>87</v>
      </c>
      <c r="J36" s="13">
        <v>133.5</v>
      </c>
      <c r="K36" s="13">
        <v>39</v>
      </c>
      <c r="L36" s="13">
        <v>172.5</v>
      </c>
      <c r="M36" s="12">
        <v>23.5</v>
      </c>
    </row>
    <row r="37" spans="3:13" x14ac:dyDescent="0.25">
      <c r="C37" s="13">
        <v>36</v>
      </c>
      <c r="D37" s="13">
        <v>49</v>
      </c>
      <c r="E37" s="13">
        <v>47</v>
      </c>
      <c r="F37" s="13">
        <v>45</v>
      </c>
      <c r="G37" s="13">
        <v>73378788144</v>
      </c>
      <c r="H37" s="13" t="s">
        <v>948</v>
      </c>
      <c r="I37" s="13">
        <v>78</v>
      </c>
      <c r="J37" s="13">
        <v>124.5</v>
      </c>
      <c r="K37" s="13">
        <v>48</v>
      </c>
      <c r="L37" s="13">
        <v>172.5</v>
      </c>
      <c r="M37" s="12">
        <v>25</v>
      </c>
    </row>
    <row r="38" spans="3:13" x14ac:dyDescent="0.25">
      <c r="C38" s="13">
        <v>37</v>
      </c>
      <c r="D38" s="13">
        <v>47</v>
      </c>
      <c r="E38" s="13">
        <v>45</v>
      </c>
      <c r="F38" s="13">
        <v>34</v>
      </c>
      <c r="G38" s="13">
        <v>73288391416</v>
      </c>
      <c r="H38" s="13" t="s">
        <v>953</v>
      </c>
      <c r="I38" s="13">
        <v>79</v>
      </c>
      <c r="J38" s="13">
        <v>125.5</v>
      </c>
      <c r="K38" s="13">
        <v>50</v>
      </c>
      <c r="L38" s="13">
        <v>175.5</v>
      </c>
      <c r="M38" s="12">
        <v>25</v>
      </c>
    </row>
    <row r="39" spans="3:13" x14ac:dyDescent="0.25">
      <c r="C39" s="13">
        <v>38</v>
      </c>
      <c r="D39" s="13">
        <v>47</v>
      </c>
      <c r="E39" s="13">
        <v>51</v>
      </c>
      <c r="F39" s="13">
        <v>49</v>
      </c>
      <c r="G39" s="13">
        <v>73333160116</v>
      </c>
      <c r="H39" s="13" t="s">
        <v>955</v>
      </c>
      <c r="I39" s="13">
        <v>79</v>
      </c>
      <c r="J39" s="13">
        <v>123</v>
      </c>
      <c r="K39" s="13">
        <v>49</v>
      </c>
      <c r="L39" s="13">
        <v>172</v>
      </c>
      <c r="M39" s="12">
        <v>25</v>
      </c>
    </row>
    <row r="40" spans="3:13" x14ac:dyDescent="0.25">
      <c r="C40" s="13">
        <v>39</v>
      </c>
      <c r="D40" s="13">
        <v>42</v>
      </c>
      <c r="E40" s="13">
        <v>37</v>
      </c>
      <c r="F40" s="13">
        <v>45</v>
      </c>
      <c r="G40" s="13">
        <v>73334409016</v>
      </c>
      <c r="H40" s="13" t="s">
        <v>962</v>
      </c>
      <c r="I40" s="13">
        <v>82</v>
      </c>
      <c r="J40" s="13">
        <v>129.5</v>
      </c>
      <c r="K40" s="13">
        <v>43</v>
      </c>
      <c r="L40" s="13">
        <v>172.5</v>
      </c>
      <c r="M40" s="12">
        <v>25</v>
      </c>
    </row>
    <row r="41" spans="3:13" x14ac:dyDescent="0.25">
      <c r="C41" s="13">
        <v>40</v>
      </c>
      <c r="D41" s="13">
        <v>22</v>
      </c>
      <c r="E41" s="13">
        <v>20</v>
      </c>
      <c r="F41" s="13">
        <v>19</v>
      </c>
      <c r="G41" s="13">
        <v>73256062552</v>
      </c>
      <c r="H41" s="13" t="s">
        <v>964</v>
      </c>
      <c r="I41" s="13">
        <v>87</v>
      </c>
      <c r="J41" s="13">
        <v>134.5</v>
      </c>
      <c r="K41" s="13">
        <v>45</v>
      </c>
      <c r="L41" s="13">
        <v>179.5</v>
      </c>
      <c r="M41" s="12">
        <v>25</v>
      </c>
    </row>
    <row r="42" spans="3:13" x14ac:dyDescent="0.25">
      <c r="C42" s="13">
        <v>41</v>
      </c>
      <c r="D42" s="13">
        <v>22</v>
      </c>
      <c r="E42" s="13">
        <v>24</v>
      </c>
      <c r="F42" s="13">
        <v>18</v>
      </c>
      <c r="G42" s="13">
        <v>73295609226</v>
      </c>
      <c r="H42" s="13" t="s">
        <v>974</v>
      </c>
      <c r="I42" s="13">
        <v>87</v>
      </c>
      <c r="J42" s="13">
        <v>134</v>
      </c>
      <c r="K42" s="13">
        <v>46</v>
      </c>
      <c r="L42" s="13">
        <v>180</v>
      </c>
      <c r="M42" s="12">
        <v>25</v>
      </c>
    </row>
    <row r="43" spans="3:13" x14ac:dyDescent="0.25">
      <c r="C43" s="13">
        <v>42</v>
      </c>
      <c r="D43" s="13">
        <v>57</v>
      </c>
      <c r="E43" s="13">
        <v>59</v>
      </c>
      <c r="F43" s="13">
        <v>58</v>
      </c>
      <c r="G43" s="13">
        <v>73338616584</v>
      </c>
      <c r="H43" s="13" t="s">
        <v>977</v>
      </c>
      <c r="I43" s="13">
        <v>72</v>
      </c>
      <c r="J43" s="13">
        <v>110.5</v>
      </c>
      <c r="K43" s="13">
        <v>50</v>
      </c>
      <c r="L43" s="13">
        <v>160.5</v>
      </c>
      <c r="M43" s="12">
        <v>24.58</v>
      </c>
    </row>
    <row r="44" spans="3:13" x14ac:dyDescent="0.25">
      <c r="C44" s="13">
        <v>43</v>
      </c>
      <c r="D44" s="13">
        <v>46</v>
      </c>
      <c r="E44" s="13">
        <v>51</v>
      </c>
      <c r="F44" s="13">
        <v>40</v>
      </c>
      <c r="G44" s="13">
        <v>73338199632</v>
      </c>
      <c r="H44" s="13" t="s">
        <v>984</v>
      </c>
      <c r="I44" s="13">
        <v>80</v>
      </c>
      <c r="J44" s="13">
        <v>123</v>
      </c>
      <c r="K44" s="13">
        <v>50</v>
      </c>
      <c r="L44" s="13">
        <v>173</v>
      </c>
      <c r="M44" s="12">
        <v>25</v>
      </c>
    </row>
    <row r="45" spans="3:13" x14ac:dyDescent="0.25">
      <c r="C45" s="13">
        <v>44</v>
      </c>
      <c r="D45" s="13">
        <v>54</v>
      </c>
      <c r="E45" s="13">
        <v>53</v>
      </c>
      <c r="F45" s="13">
        <v>53</v>
      </c>
      <c r="G45" s="13">
        <v>73267084683</v>
      </c>
      <c r="H45" s="13" t="s">
        <v>996</v>
      </c>
      <c r="I45" s="13">
        <v>77</v>
      </c>
      <c r="J45" s="13">
        <v>121.5</v>
      </c>
      <c r="K45" s="13">
        <v>47</v>
      </c>
      <c r="L45" s="13">
        <v>168.5</v>
      </c>
      <c r="M45" s="12">
        <v>25</v>
      </c>
    </row>
    <row r="46" spans="3:13" x14ac:dyDescent="0.25">
      <c r="C46" s="13">
        <v>45</v>
      </c>
      <c r="D46" s="13">
        <v>5</v>
      </c>
      <c r="E46" s="13">
        <v>12</v>
      </c>
      <c r="F46" s="13">
        <v>5</v>
      </c>
      <c r="G46" s="13">
        <v>73364654837</v>
      </c>
      <c r="H46" s="13" t="s">
        <v>998</v>
      </c>
      <c r="I46" s="13">
        <v>90</v>
      </c>
      <c r="J46" s="13">
        <v>137</v>
      </c>
      <c r="K46" s="13">
        <v>50</v>
      </c>
      <c r="L46" s="13">
        <v>187</v>
      </c>
      <c r="M46" s="12">
        <v>25</v>
      </c>
    </row>
    <row r="47" spans="3:13" x14ac:dyDescent="0.25">
      <c r="C47" s="13">
        <v>46</v>
      </c>
      <c r="D47" s="13">
        <v>38</v>
      </c>
      <c r="E47" s="13">
        <v>38</v>
      </c>
      <c r="F47" s="13">
        <v>31</v>
      </c>
      <c r="G47" s="13">
        <v>73356575917</v>
      </c>
      <c r="H47" s="13" t="s">
        <v>1000</v>
      </c>
      <c r="I47" s="13">
        <v>83</v>
      </c>
      <c r="J47" s="13">
        <v>129</v>
      </c>
      <c r="K47" s="13">
        <v>47</v>
      </c>
      <c r="L47" s="13">
        <v>176</v>
      </c>
      <c r="M47" s="12">
        <v>25</v>
      </c>
    </row>
    <row r="48" spans="3:13" x14ac:dyDescent="0.25">
      <c r="C48" s="13">
        <v>47</v>
      </c>
      <c r="D48" s="13">
        <v>18</v>
      </c>
      <c r="E48" s="13">
        <v>20</v>
      </c>
      <c r="F48" s="13">
        <v>22</v>
      </c>
      <c r="G48" s="13">
        <v>73397162380</v>
      </c>
      <c r="H48" s="13" t="s">
        <v>1002</v>
      </c>
      <c r="I48" s="13">
        <v>88</v>
      </c>
      <c r="J48" s="13">
        <v>134.5</v>
      </c>
      <c r="K48" s="13">
        <v>44</v>
      </c>
      <c r="L48" s="13">
        <v>178.5</v>
      </c>
      <c r="M48" s="12">
        <v>25</v>
      </c>
    </row>
    <row r="49" spans="3:13" x14ac:dyDescent="0.25">
      <c r="C49" s="13">
        <v>48</v>
      </c>
      <c r="D49" s="13">
        <v>5</v>
      </c>
      <c r="E49" s="13">
        <v>7</v>
      </c>
      <c r="F49" s="13">
        <v>20</v>
      </c>
      <c r="G49" s="13">
        <v>73272526463</v>
      </c>
      <c r="H49" s="13" t="s">
        <v>1010</v>
      </c>
      <c r="I49" s="13">
        <v>90</v>
      </c>
      <c r="J49" s="13">
        <v>138</v>
      </c>
      <c r="K49" s="13">
        <v>41</v>
      </c>
      <c r="L49" s="13">
        <v>179</v>
      </c>
      <c r="M49" s="12">
        <v>25</v>
      </c>
    </row>
    <row r="50" spans="3:13" x14ac:dyDescent="0.25">
      <c r="C50" s="13">
        <v>49</v>
      </c>
      <c r="D50" s="13">
        <v>38</v>
      </c>
      <c r="E50" s="13">
        <v>42</v>
      </c>
      <c r="F50" s="13">
        <v>34</v>
      </c>
      <c r="G50" s="13">
        <v>73280617965</v>
      </c>
      <c r="H50" s="13" t="s">
        <v>1022</v>
      </c>
      <c r="I50" s="13">
        <v>83</v>
      </c>
      <c r="J50" s="13">
        <v>127.5</v>
      </c>
      <c r="K50" s="13">
        <v>48</v>
      </c>
      <c r="L50" s="13">
        <v>175.5</v>
      </c>
      <c r="M50" s="12">
        <v>25</v>
      </c>
    </row>
    <row r="51" spans="3:13" x14ac:dyDescent="0.25">
      <c r="C51" s="13">
        <v>50</v>
      </c>
      <c r="D51" s="13">
        <v>34</v>
      </c>
      <c r="E51" s="13">
        <v>29</v>
      </c>
      <c r="F51" s="13">
        <v>49</v>
      </c>
      <c r="G51" s="13">
        <v>73257693117</v>
      </c>
      <c r="H51" s="13" t="s">
        <v>1051</v>
      </c>
      <c r="I51" s="13">
        <v>84</v>
      </c>
      <c r="J51" s="13">
        <v>132</v>
      </c>
      <c r="K51" s="13">
        <v>40</v>
      </c>
      <c r="L51" s="13">
        <v>172</v>
      </c>
      <c r="M51" s="12">
        <v>25</v>
      </c>
    </row>
    <row r="52" spans="3:13" x14ac:dyDescent="0.25">
      <c r="C52" s="13">
        <v>51</v>
      </c>
      <c r="D52" s="13">
        <v>34</v>
      </c>
      <c r="E52" s="13">
        <v>34</v>
      </c>
      <c r="F52" s="13">
        <v>40</v>
      </c>
      <c r="G52" s="13">
        <v>73347147457</v>
      </c>
      <c r="H52" s="13" t="s">
        <v>1056</v>
      </c>
      <c r="I52" s="13">
        <v>84</v>
      </c>
      <c r="J52" s="13">
        <v>130</v>
      </c>
      <c r="K52" s="13">
        <v>43</v>
      </c>
      <c r="L52" s="13">
        <v>173</v>
      </c>
      <c r="M52" s="12">
        <v>25</v>
      </c>
    </row>
    <row r="53" spans="3:13" x14ac:dyDescent="0.25">
      <c r="C53" s="13">
        <v>52</v>
      </c>
      <c r="D53" s="13">
        <v>2</v>
      </c>
      <c r="E53" s="13">
        <v>3</v>
      </c>
      <c r="F53" s="13">
        <v>2</v>
      </c>
      <c r="G53" s="13">
        <v>73286835003</v>
      </c>
      <c r="H53" s="13" t="s">
        <v>1059</v>
      </c>
      <c r="I53" s="13">
        <v>93</v>
      </c>
      <c r="J53" s="13">
        <v>141.5</v>
      </c>
      <c r="K53" s="13">
        <v>47</v>
      </c>
      <c r="L53" s="13">
        <v>188.5</v>
      </c>
      <c r="M53" s="12">
        <v>25</v>
      </c>
    </row>
    <row r="54" spans="3:13" x14ac:dyDescent="0.25">
      <c r="C54" s="13">
        <v>53</v>
      </c>
      <c r="D54" s="13">
        <v>5</v>
      </c>
      <c r="E54" s="13">
        <v>7</v>
      </c>
      <c r="F54" s="13">
        <v>40</v>
      </c>
      <c r="G54" s="13">
        <v>73255564308</v>
      </c>
      <c r="H54" s="13" t="s">
        <v>1067</v>
      </c>
      <c r="I54" s="13">
        <v>90</v>
      </c>
      <c r="J54" s="13">
        <v>138</v>
      </c>
      <c r="K54" s="13">
        <v>35</v>
      </c>
      <c r="L54" s="13">
        <v>173</v>
      </c>
      <c r="M54" s="12">
        <v>24.61</v>
      </c>
    </row>
    <row r="55" spans="3:13" x14ac:dyDescent="0.25">
      <c r="C55" s="13">
        <v>54</v>
      </c>
      <c r="D55" s="13">
        <v>38</v>
      </c>
      <c r="E55" s="13">
        <v>39</v>
      </c>
      <c r="F55" s="13">
        <v>52</v>
      </c>
      <c r="G55" s="13">
        <v>73271806248</v>
      </c>
      <c r="H55" s="13" t="s">
        <v>1074</v>
      </c>
      <c r="I55" s="13">
        <v>83</v>
      </c>
      <c r="J55" s="13">
        <v>128.5</v>
      </c>
      <c r="K55" s="13">
        <v>42</v>
      </c>
      <c r="L55" s="13">
        <v>170.5</v>
      </c>
      <c r="M55" s="12">
        <v>25</v>
      </c>
    </row>
    <row r="56" spans="3:13" x14ac:dyDescent="0.25">
      <c r="C56" s="13">
        <v>55</v>
      </c>
      <c r="D56" s="13">
        <v>4</v>
      </c>
      <c r="E56" s="13">
        <v>7</v>
      </c>
      <c r="F56" s="13">
        <v>10</v>
      </c>
      <c r="G56" s="13">
        <v>73399149145</v>
      </c>
      <c r="H56" s="13" t="s">
        <v>1081</v>
      </c>
      <c r="I56" s="13">
        <v>91</v>
      </c>
      <c r="J56" s="13">
        <v>138</v>
      </c>
      <c r="K56" s="13">
        <v>45</v>
      </c>
      <c r="L56" s="13">
        <v>183</v>
      </c>
      <c r="M56" s="12">
        <v>25</v>
      </c>
    </row>
    <row r="57" spans="3:13" x14ac:dyDescent="0.25">
      <c r="C57" s="13">
        <v>56</v>
      </c>
      <c r="D57" s="13">
        <v>34</v>
      </c>
      <c r="E57" s="13">
        <v>39</v>
      </c>
      <c r="F57" s="13">
        <v>37</v>
      </c>
      <c r="G57" s="13">
        <v>73354021947</v>
      </c>
      <c r="H57" s="13" t="s">
        <v>1091</v>
      </c>
      <c r="I57" s="13">
        <v>84</v>
      </c>
      <c r="J57" s="13">
        <v>128.5</v>
      </c>
      <c r="K57" s="13">
        <v>46</v>
      </c>
      <c r="L57" s="13">
        <v>174.5</v>
      </c>
      <c r="M57" s="12">
        <v>24.54</v>
      </c>
    </row>
    <row r="58" spans="3:13" x14ac:dyDescent="0.25">
      <c r="C58" s="13">
        <v>57</v>
      </c>
      <c r="D58" s="13">
        <v>22</v>
      </c>
      <c r="E58" s="13">
        <v>26</v>
      </c>
      <c r="F58" s="13">
        <v>28</v>
      </c>
      <c r="G58" s="13">
        <v>73366637174</v>
      </c>
      <c r="H58" s="13" t="s">
        <v>1099</v>
      </c>
      <c r="I58" s="13">
        <v>87</v>
      </c>
      <c r="J58" s="13">
        <v>133.5</v>
      </c>
      <c r="K58" s="13">
        <v>43</v>
      </c>
      <c r="L58" s="13">
        <v>176.5</v>
      </c>
      <c r="M58" s="12">
        <v>24</v>
      </c>
    </row>
    <row r="59" spans="3:13" x14ac:dyDescent="0.25">
      <c r="C59" s="13">
        <v>58</v>
      </c>
      <c r="D59" s="13">
        <v>22</v>
      </c>
      <c r="E59" s="13">
        <v>17</v>
      </c>
      <c r="F59" s="13">
        <v>31</v>
      </c>
      <c r="G59" s="13">
        <v>73304938711</v>
      </c>
      <c r="H59" s="13" t="s">
        <v>1101</v>
      </c>
      <c r="I59" s="13">
        <v>87</v>
      </c>
      <c r="J59" s="13">
        <v>135</v>
      </c>
      <c r="K59" s="13">
        <v>41</v>
      </c>
      <c r="L59" s="13">
        <v>176</v>
      </c>
      <c r="M59" s="12">
        <v>25</v>
      </c>
    </row>
    <row r="60" spans="3:13" x14ac:dyDescent="0.25">
      <c r="C60" s="13">
        <v>59</v>
      </c>
      <c r="D60" s="13">
        <v>43</v>
      </c>
      <c r="E60" s="13">
        <v>43</v>
      </c>
      <c r="F60" s="13">
        <v>40</v>
      </c>
      <c r="G60" s="13">
        <v>73271011271</v>
      </c>
      <c r="H60" s="13" t="s">
        <v>1104</v>
      </c>
      <c r="I60" s="13">
        <v>81</v>
      </c>
      <c r="J60" s="13">
        <v>127</v>
      </c>
      <c r="K60" s="13">
        <v>46</v>
      </c>
      <c r="L60" s="13">
        <v>173</v>
      </c>
      <c r="M60" s="12">
        <v>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Frissites_Felvettek_DiakLista">
                <anchor moveWithCells="1" sizeWithCells="1">
                  <from>
                    <xdr:col>0</xdr:col>
                    <xdr:colOff>190500</xdr:colOff>
                    <xdr:row>1</xdr:row>
                    <xdr:rowOff>0</xdr:rowOff>
                  </from>
                  <to>
                    <xdr:col>1</xdr:col>
                    <xdr:colOff>171450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Export_Felvettek_UjMunkafuzetbe">
                <anchor moveWithCells="1" sizeWithCells="1">
                  <from>
                    <xdr:col>0</xdr:col>
                    <xdr:colOff>38100</xdr:colOff>
                    <xdr:row>5</xdr:row>
                    <xdr:rowOff>0</xdr:rowOff>
                  </from>
                  <to>
                    <xdr:col>1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Export_Eselyesek_UjMunkafuzetbe">
                <anchor moveWithCells="1" sizeWithCells="1">
                  <from>
                    <xdr:col>0</xdr:col>
                    <xdr:colOff>57150</xdr:colOff>
                    <xdr:row>7</xdr:row>
                    <xdr:rowOff>19050</xdr:rowOff>
                  </from>
                  <to>
                    <xdr:col>1</xdr:col>
                    <xdr:colOff>533400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Nezzuk_Elutasitottak_IrasbeliEsely">
                <anchor moveWithCells="1" sizeWithCells="1">
                  <from>
                    <xdr:col>0</xdr:col>
                    <xdr:colOff>180975</xdr:colOff>
                    <xdr:row>2</xdr:row>
                    <xdr:rowOff>161925</xdr:rowOff>
                  </from>
                  <to>
                    <xdr:col>1</xdr:col>
                    <xdr:colOff>295275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E3ED7-936B-44C9-9CAF-3898AC51254B}">
  <sheetPr codeName="Munka8"/>
  <dimension ref="A1:A343"/>
  <sheetViews>
    <sheetView workbookViewId="0"/>
  </sheetViews>
  <sheetFormatPr defaultRowHeight="15" x14ac:dyDescent="0.25"/>
  <sheetData>
    <row r="1" spans="1:1" x14ac:dyDescent="0.25">
      <c r="A1" t="s">
        <v>1382</v>
      </c>
    </row>
    <row r="2" spans="1:1" x14ac:dyDescent="0.25">
      <c r="A2" t="s">
        <v>717</v>
      </c>
    </row>
    <row r="3" spans="1:1" x14ac:dyDescent="0.25">
      <c r="A3" t="s">
        <v>718</v>
      </c>
    </row>
    <row r="4" spans="1:1" x14ac:dyDescent="0.25">
      <c r="A4" t="s">
        <v>719</v>
      </c>
    </row>
    <row r="5" spans="1:1" x14ac:dyDescent="0.25">
      <c r="A5" t="s">
        <v>720</v>
      </c>
    </row>
    <row r="6" spans="1:1" x14ac:dyDescent="0.25">
      <c r="A6" t="s">
        <v>721</v>
      </c>
    </row>
    <row r="7" spans="1:1" x14ac:dyDescent="0.25">
      <c r="A7" t="s">
        <v>722</v>
      </c>
    </row>
    <row r="8" spans="1:1" x14ac:dyDescent="0.25">
      <c r="A8" t="s">
        <v>724</v>
      </c>
    </row>
    <row r="9" spans="1:1" x14ac:dyDescent="0.25">
      <c r="A9" t="s">
        <v>725</v>
      </c>
    </row>
    <row r="10" spans="1:1" x14ac:dyDescent="0.25">
      <c r="A10" t="s">
        <v>727</v>
      </c>
    </row>
    <row r="11" spans="1:1" x14ac:dyDescent="0.25">
      <c r="A11" t="s">
        <v>729</v>
      </c>
    </row>
    <row r="12" spans="1:1" x14ac:dyDescent="0.25">
      <c r="A12" t="s">
        <v>730</v>
      </c>
    </row>
    <row r="13" spans="1:1" x14ac:dyDescent="0.25">
      <c r="A13" t="s">
        <v>731</v>
      </c>
    </row>
    <row r="14" spans="1:1" x14ac:dyDescent="0.25">
      <c r="A14" t="s">
        <v>732</v>
      </c>
    </row>
    <row r="15" spans="1:1" x14ac:dyDescent="0.25">
      <c r="A15" t="s">
        <v>733</v>
      </c>
    </row>
    <row r="16" spans="1:1" x14ac:dyDescent="0.25">
      <c r="A16" t="s">
        <v>734</v>
      </c>
    </row>
    <row r="17" spans="1:1" x14ac:dyDescent="0.25">
      <c r="A17" t="s">
        <v>735</v>
      </c>
    </row>
    <row r="18" spans="1:1" x14ac:dyDescent="0.25">
      <c r="A18" t="s">
        <v>736</v>
      </c>
    </row>
    <row r="19" spans="1:1" x14ac:dyDescent="0.25">
      <c r="A19" t="s">
        <v>737</v>
      </c>
    </row>
    <row r="20" spans="1:1" x14ac:dyDescent="0.25">
      <c r="A20" t="s">
        <v>740</v>
      </c>
    </row>
    <row r="21" spans="1:1" x14ac:dyDescent="0.25">
      <c r="A21" t="s">
        <v>741</v>
      </c>
    </row>
    <row r="22" spans="1:1" x14ac:dyDescent="0.25">
      <c r="A22" t="s">
        <v>743</v>
      </c>
    </row>
    <row r="23" spans="1:1" x14ac:dyDescent="0.25">
      <c r="A23" t="s">
        <v>744</v>
      </c>
    </row>
    <row r="24" spans="1:1" x14ac:dyDescent="0.25">
      <c r="A24" t="s">
        <v>746</v>
      </c>
    </row>
    <row r="25" spans="1:1" x14ac:dyDescent="0.25">
      <c r="A25" t="s">
        <v>748</v>
      </c>
    </row>
    <row r="26" spans="1:1" x14ac:dyDescent="0.25">
      <c r="A26" t="s">
        <v>749</v>
      </c>
    </row>
    <row r="27" spans="1:1" x14ac:dyDescent="0.25">
      <c r="A27" t="s">
        <v>750</v>
      </c>
    </row>
    <row r="28" spans="1:1" x14ac:dyDescent="0.25">
      <c r="A28" t="s">
        <v>751</v>
      </c>
    </row>
    <row r="29" spans="1:1" x14ac:dyDescent="0.25">
      <c r="A29" t="s">
        <v>752</v>
      </c>
    </row>
    <row r="30" spans="1:1" x14ac:dyDescent="0.25">
      <c r="A30" t="s">
        <v>753</v>
      </c>
    </row>
    <row r="31" spans="1:1" x14ac:dyDescent="0.25">
      <c r="A31" t="s">
        <v>754</v>
      </c>
    </row>
    <row r="32" spans="1:1" x14ac:dyDescent="0.25">
      <c r="A32" t="s">
        <v>755</v>
      </c>
    </row>
    <row r="33" spans="1:1" x14ac:dyDescent="0.25">
      <c r="A33" t="s">
        <v>756</v>
      </c>
    </row>
    <row r="34" spans="1:1" x14ac:dyDescent="0.25">
      <c r="A34" t="s">
        <v>757</v>
      </c>
    </row>
    <row r="35" spans="1:1" x14ac:dyDescent="0.25">
      <c r="A35" t="s">
        <v>759</v>
      </c>
    </row>
    <row r="36" spans="1:1" x14ac:dyDescent="0.25">
      <c r="A36" t="s">
        <v>760</v>
      </c>
    </row>
    <row r="37" spans="1:1" x14ac:dyDescent="0.25">
      <c r="A37" t="s">
        <v>761</v>
      </c>
    </row>
    <row r="38" spans="1:1" x14ac:dyDescent="0.25">
      <c r="A38" t="s">
        <v>762</v>
      </c>
    </row>
    <row r="39" spans="1:1" x14ac:dyDescent="0.25">
      <c r="A39" t="s">
        <v>763</v>
      </c>
    </row>
    <row r="40" spans="1:1" x14ac:dyDescent="0.25">
      <c r="A40" t="s">
        <v>764</v>
      </c>
    </row>
    <row r="41" spans="1:1" x14ac:dyDescent="0.25">
      <c r="A41" t="s">
        <v>765</v>
      </c>
    </row>
    <row r="42" spans="1:1" x14ac:dyDescent="0.25">
      <c r="A42" t="s">
        <v>767</v>
      </c>
    </row>
    <row r="43" spans="1:1" x14ac:dyDescent="0.25">
      <c r="A43" t="s">
        <v>768</v>
      </c>
    </row>
    <row r="44" spans="1:1" x14ac:dyDescent="0.25">
      <c r="A44" t="s">
        <v>769</v>
      </c>
    </row>
    <row r="45" spans="1:1" x14ac:dyDescent="0.25">
      <c r="A45" t="s">
        <v>770</v>
      </c>
    </row>
    <row r="46" spans="1:1" x14ac:dyDescent="0.25">
      <c r="A46" t="s">
        <v>772</v>
      </c>
    </row>
    <row r="47" spans="1:1" x14ac:dyDescent="0.25">
      <c r="A47" t="s">
        <v>773</v>
      </c>
    </row>
    <row r="48" spans="1:1" x14ac:dyDescent="0.25">
      <c r="A48" t="s">
        <v>774</v>
      </c>
    </row>
    <row r="49" spans="1:1" x14ac:dyDescent="0.25">
      <c r="A49" t="s">
        <v>775</v>
      </c>
    </row>
    <row r="50" spans="1:1" x14ac:dyDescent="0.25">
      <c r="A50" t="s">
        <v>777</v>
      </c>
    </row>
    <row r="51" spans="1:1" x14ac:dyDescent="0.25">
      <c r="A51" t="s">
        <v>778</v>
      </c>
    </row>
    <row r="52" spans="1:1" x14ac:dyDescent="0.25">
      <c r="A52" t="s">
        <v>779</v>
      </c>
    </row>
    <row r="53" spans="1:1" x14ac:dyDescent="0.25">
      <c r="A53" t="s">
        <v>781</v>
      </c>
    </row>
    <row r="54" spans="1:1" x14ac:dyDescent="0.25">
      <c r="A54" t="s">
        <v>782</v>
      </c>
    </row>
    <row r="55" spans="1:1" x14ac:dyDescent="0.25">
      <c r="A55" t="s">
        <v>783</v>
      </c>
    </row>
    <row r="56" spans="1:1" x14ac:dyDescent="0.25">
      <c r="A56" t="s">
        <v>784</v>
      </c>
    </row>
    <row r="57" spans="1:1" x14ac:dyDescent="0.25">
      <c r="A57" t="s">
        <v>785</v>
      </c>
    </row>
    <row r="58" spans="1:1" x14ac:dyDescent="0.25">
      <c r="A58" t="s">
        <v>786</v>
      </c>
    </row>
    <row r="59" spans="1:1" x14ac:dyDescent="0.25">
      <c r="A59" t="s">
        <v>787</v>
      </c>
    </row>
    <row r="60" spans="1:1" x14ac:dyDescent="0.25">
      <c r="A60" t="s">
        <v>788</v>
      </c>
    </row>
    <row r="61" spans="1:1" x14ac:dyDescent="0.25">
      <c r="A61" t="s">
        <v>789</v>
      </c>
    </row>
    <row r="62" spans="1:1" x14ac:dyDescent="0.25">
      <c r="A62" t="s">
        <v>791</v>
      </c>
    </row>
    <row r="63" spans="1:1" x14ac:dyDescent="0.25">
      <c r="A63" t="s">
        <v>792</v>
      </c>
    </row>
    <row r="64" spans="1:1" x14ac:dyDescent="0.25">
      <c r="A64" t="s">
        <v>793</v>
      </c>
    </row>
    <row r="65" spans="1:1" x14ac:dyDescent="0.25">
      <c r="A65" t="s">
        <v>794</v>
      </c>
    </row>
    <row r="66" spans="1:1" x14ac:dyDescent="0.25">
      <c r="A66" t="s">
        <v>795</v>
      </c>
    </row>
    <row r="67" spans="1:1" x14ac:dyDescent="0.25">
      <c r="A67" t="s">
        <v>796</v>
      </c>
    </row>
    <row r="68" spans="1:1" x14ac:dyDescent="0.25">
      <c r="A68" t="s">
        <v>797</v>
      </c>
    </row>
    <row r="69" spans="1:1" x14ac:dyDescent="0.25">
      <c r="A69" t="s">
        <v>798</v>
      </c>
    </row>
    <row r="70" spans="1:1" x14ac:dyDescent="0.25">
      <c r="A70" t="s">
        <v>799</v>
      </c>
    </row>
    <row r="71" spans="1:1" x14ac:dyDescent="0.25">
      <c r="A71" t="s">
        <v>800</v>
      </c>
    </row>
    <row r="72" spans="1:1" x14ac:dyDescent="0.25">
      <c r="A72" t="s">
        <v>801</v>
      </c>
    </row>
    <row r="73" spans="1:1" x14ac:dyDescent="0.25">
      <c r="A73" t="s">
        <v>802</v>
      </c>
    </row>
    <row r="74" spans="1:1" x14ac:dyDescent="0.25">
      <c r="A74" t="s">
        <v>803</v>
      </c>
    </row>
    <row r="75" spans="1:1" x14ac:dyDescent="0.25">
      <c r="A75" t="s">
        <v>804</v>
      </c>
    </row>
    <row r="76" spans="1:1" x14ac:dyDescent="0.25">
      <c r="A76" t="s">
        <v>806</v>
      </c>
    </row>
    <row r="77" spans="1:1" x14ac:dyDescent="0.25">
      <c r="A77" t="s">
        <v>807</v>
      </c>
    </row>
    <row r="78" spans="1:1" x14ac:dyDescent="0.25">
      <c r="A78" t="s">
        <v>808</v>
      </c>
    </row>
    <row r="79" spans="1:1" x14ac:dyDescent="0.25">
      <c r="A79" t="s">
        <v>809</v>
      </c>
    </row>
    <row r="80" spans="1:1" x14ac:dyDescent="0.25">
      <c r="A80" t="s">
        <v>811</v>
      </c>
    </row>
    <row r="81" spans="1:1" x14ac:dyDescent="0.25">
      <c r="A81" t="s">
        <v>812</v>
      </c>
    </row>
    <row r="82" spans="1:1" x14ac:dyDescent="0.25">
      <c r="A82" t="s">
        <v>813</v>
      </c>
    </row>
    <row r="83" spans="1:1" x14ac:dyDescent="0.25">
      <c r="A83" t="s">
        <v>814</v>
      </c>
    </row>
    <row r="84" spans="1:1" x14ac:dyDescent="0.25">
      <c r="A84" t="s">
        <v>815</v>
      </c>
    </row>
    <row r="85" spans="1:1" x14ac:dyDescent="0.25">
      <c r="A85" t="s">
        <v>816</v>
      </c>
    </row>
    <row r="86" spans="1:1" x14ac:dyDescent="0.25">
      <c r="A86" t="s">
        <v>817</v>
      </c>
    </row>
    <row r="87" spans="1:1" x14ac:dyDescent="0.25">
      <c r="A87" t="s">
        <v>818</v>
      </c>
    </row>
    <row r="88" spans="1:1" x14ac:dyDescent="0.25">
      <c r="A88" t="s">
        <v>819</v>
      </c>
    </row>
    <row r="89" spans="1:1" x14ac:dyDescent="0.25">
      <c r="A89" t="s">
        <v>820</v>
      </c>
    </row>
    <row r="90" spans="1:1" x14ac:dyDescent="0.25">
      <c r="A90" t="s">
        <v>821</v>
      </c>
    </row>
    <row r="91" spans="1:1" x14ac:dyDescent="0.25">
      <c r="A91" t="s">
        <v>823</v>
      </c>
    </row>
    <row r="92" spans="1:1" x14ac:dyDescent="0.25">
      <c r="A92" t="s">
        <v>824</v>
      </c>
    </row>
    <row r="93" spans="1:1" x14ac:dyDescent="0.25">
      <c r="A93" t="s">
        <v>825</v>
      </c>
    </row>
    <row r="94" spans="1:1" x14ac:dyDescent="0.25">
      <c r="A94" t="s">
        <v>826</v>
      </c>
    </row>
    <row r="95" spans="1:1" x14ac:dyDescent="0.25">
      <c r="A95" t="s">
        <v>827</v>
      </c>
    </row>
    <row r="96" spans="1:1" x14ac:dyDescent="0.25">
      <c r="A96" t="s">
        <v>828</v>
      </c>
    </row>
    <row r="97" spans="1:1" x14ac:dyDescent="0.25">
      <c r="A97" t="s">
        <v>829</v>
      </c>
    </row>
    <row r="98" spans="1:1" x14ac:dyDescent="0.25">
      <c r="A98" t="s">
        <v>830</v>
      </c>
    </row>
    <row r="99" spans="1:1" x14ac:dyDescent="0.25">
      <c r="A99" t="s">
        <v>833</v>
      </c>
    </row>
    <row r="100" spans="1:1" x14ac:dyDescent="0.25">
      <c r="A100" t="s">
        <v>834</v>
      </c>
    </row>
    <row r="101" spans="1:1" x14ac:dyDescent="0.25">
      <c r="A101" t="s">
        <v>835</v>
      </c>
    </row>
    <row r="102" spans="1:1" x14ac:dyDescent="0.25">
      <c r="A102" t="s">
        <v>837</v>
      </c>
    </row>
    <row r="103" spans="1:1" x14ac:dyDescent="0.25">
      <c r="A103" t="s">
        <v>838</v>
      </c>
    </row>
    <row r="104" spans="1:1" x14ac:dyDescent="0.25">
      <c r="A104" t="s">
        <v>839</v>
      </c>
    </row>
    <row r="105" spans="1:1" x14ac:dyDescent="0.25">
      <c r="A105" t="s">
        <v>840</v>
      </c>
    </row>
    <row r="106" spans="1:1" x14ac:dyDescent="0.25">
      <c r="A106" t="s">
        <v>842</v>
      </c>
    </row>
    <row r="107" spans="1:1" x14ac:dyDescent="0.25">
      <c r="A107" t="s">
        <v>843</v>
      </c>
    </row>
    <row r="108" spans="1:1" x14ac:dyDescent="0.25">
      <c r="A108" t="s">
        <v>844</v>
      </c>
    </row>
    <row r="109" spans="1:1" x14ac:dyDescent="0.25">
      <c r="A109" t="s">
        <v>845</v>
      </c>
    </row>
    <row r="110" spans="1:1" x14ac:dyDescent="0.25">
      <c r="A110" t="s">
        <v>846</v>
      </c>
    </row>
    <row r="111" spans="1:1" x14ac:dyDescent="0.25">
      <c r="A111" t="s">
        <v>847</v>
      </c>
    </row>
    <row r="112" spans="1:1" x14ac:dyDescent="0.25">
      <c r="A112" t="s">
        <v>848</v>
      </c>
    </row>
    <row r="113" spans="1:1" x14ac:dyDescent="0.25">
      <c r="A113" t="s">
        <v>849</v>
      </c>
    </row>
    <row r="114" spans="1:1" x14ac:dyDescent="0.25">
      <c r="A114" t="s">
        <v>850</v>
      </c>
    </row>
    <row r="115" spans="1:1" x14ac:dyDescent="0.25">
      <c r="A115" t="s">
        <v>851</v>
      </c>
    </row>
    <row r="116" spans="1:1" x14ac:dyDescent="0.25">
      <c r="A116" t="s">
        <v>852</v>
      </c>
    </row>
    <row r="117" spans="1:1" x14ac:dyDescent="0.25">
      <c r="A117" t="s">
        <v>853</v>
      </c>
    </row>
    <row r="118" spans="1:1" x14ac:dyDescent="0.25">
      <c r="A118" t="s">
        <v>854</v>
      </c>
    </row>
    <row r="119" spans="1:1" x14ac:dyDescent="0.25">
      <c r="A119" t="s">
        <v>855</v>
      </c>
    </row>
    <row r="120" spans="1:1" x14ac:dyDescent="0.25">
      <c r="A120" t="s">
        <v>857</v>
      </c>
    </row>
    <row r="121" spans="1:1" x14ac:dyDescent="0.25">
      <c r="A121" t="s">
        <v>858</v>
      </c>
    </row>
    <row r="122" spans="1:1" x14ac:dyDescent="0.25">
      <c r="A122" t="s">
        <v>1380</v>
      </c>
    </row>
    <row r="123" spans="1:1" x14ac:dyDescent="0.25">
      <c r="A123" t="s">
        <v>860</v>
      </c>
    </row>
    <row r="124" spans="1:1" x14ac:dyDescent="0.25">
      <c r="A124" t="s">
        <v>862</v>
      </c>
    </row>
    <row r="125" spans="1:1" x14ac:dyDescent="0.25">
      <c r="A125" t="s">
        <v>864</v>
      </c>
    </row>
    <row r="126" spans="1:1" x14ac:dyDescent="0.25">
      <c r="A126" t="s">
        <v>865</v>
      </c>
    </row>
    <row r="127" spans="1:1" x14ac:dyDescent="0.25">
      <c r="A127" t="s">
        <v>866</v>
      </c>
    </row>
    <row r="128" spans="1:1" x14ac:dyDescent="0.25">
      <c r="A128" t="s">
        <v>867</v>
      </c>
    </row>
    <row r="129" spans="1:1" x14ac:dyDescent="0.25">
      <c r="A129" t="s">
        <v>868</v>
      </c>
    </row>
    <row r="130" spans="1:1" x14ac:dyDescent="0.25">
      <c r="A130" t="s">
        <v>869</v>
      </c>
    </row>
    <row r="131" spans="1:1" x14ac:dyDescent="0.25">
      <c r="A131" t="s">
        <v>870</v>
      </c>
    </row>
    <row r="132" spans="1:1" x14ac:dyDescent="0.25">
      <c r="A132" t="s">
        <v>872</v>
      </c>
    </row>
    <row r="133" spans="1:1" x14ac:dyDescent="0.25">
      <c r="A133" t="s">
        <v>873</v>
      </c>
    </row>
    <row r="134" spans="1:1" x14ac:dyDescent="0.25">
      <c r="A134" t="s">
        <v>874</v>
      </c>
    </row>
    <row r="135" spans="1:1" x14ac:dyDescent="0.25">
      <c r="A135" t="s">
        <v>876</v>
      </c>
    </row>
    <row r="136" spans="1:1" x14ac:dyDescent="0.25">
      <c r="A136" t="s">
        <v>877</v>
      </c>
    </row>
    <row r="137" spans="1:1" x14ac:dyDescent="0.25">
      <c r="A137" t="s">
        <v>878</v>
      </c>
    </row>
    <row r="138" spans="1:1" x14ac:dyDescent="0.25">
      <c r="A138" t="s">
        <v>879</v>
      </c>
    </row>
    <row r="139" spans="1:1" x14ac:dyDescent="0.25">
      <c r="A139" t="s">
        <v>880</v>
      </c>
    </row>
    <row r="140" spans="1:1" x14ac:dyDescent="0.25">
      <c r="A140" t="s">
        <v>881</v>
      </c>
    </row>
    <row r="141" spans="1:1" x14ac:dyDescent="0.25">
      <c r="A141" t="s">
        <v>882</v>
      </c>
    </row>
    <row r="142" spans="1:1" x14ac:dyDescent="0.25">
      <c r="A142" t="s">
        <v>883</v>
      </c>
    </row>
    <row r="143" spans="1:1" x14ac:dyDescent="0.25">
      <c r="A143" t="s">
        <v>884</v>
      </c>
    </row>
    <row r="144" spans="1:1" x14ac:dyDescent="0.25">
      <c r="A144" t="s">
        <v>885</v>
      </c>
    </row>
    <row r="145" spans="1:1" x14ac:dyDescent="0.25">
      <c r="A145" t="s">
        <v>886</v>
      </c>
    </row>
    <row r="146" spans="1:1" x14ac:dyDescent="0.25">
      <c r="A146" t="s">
        <v>887</v>
      </c>
    </row>
    <row r="147" spans="1:1" x14ac:dyDescent="0.25">
      <c r="A147" t="s">
        <v>888</v>
      </c>
    </row>
    <row r="148" spans="1:1" x14ac:dyDescent="0.25">
      <c r="A148" t="s">
        <v>890</v>
      </c>
    </row>
    <row r="149" spans="1:1" x14ac:dyDescent="0.25">
      <c r="A149" t="s">
        <v>891</v>
      </c>
    </row>
    <row r="150" spans="1:1" x14ac:dyDescent="0.25">
      <c r="A150" t="s">
        <v>892</v>
      </c>
    </row>
    <row r="151" spans="1:1" x14ac:dyDescent="0.25">
      <c r="A151" t="s">
        <v>894</v>
      </c>
    </row>
    <row r="152" spans="1:1" x14ac:dyDescent="0.25">
      <c r="A152" t="s">
        <v>895</v>
      </c>
    </row>
    <row r="153" spans="1:1" x14ac:dyDescent="0.25">
      <c r="A153" t="s">
        <v>897</v>
      </c>
    </row>
    <row r="154" spans="1:1" x14ac:dyDescent="0.25">
      <c r="A154" t="s">
        <v>899</v>
      </c>
    </row>
    <row r="155" spans="1:1" x14ac:dyDescent="0.25">
      <c r="A155" t="s">
        <v>900</v>
      </c>
    </row>
    <row r="156" spans="1:1" x14ac:dyDescent="0.25">
      <c r="A156" t="s">
        <v>901</v>
      </c>
    </row>
    <row r="157" spans="1:1" x14ac:dyDescent="0.25">
      <c r="A157" t="s">
        <v>902</v>
      </c>
    </row>
    <row r="158" spans="1:1" x14ac:dyDescent="0.25">
      <c r="A158" t="s">
        <v>904</v>
      </c>
    </row>
    <row r="159" spans="1:1" x14ac:dyDescent="0.25">
      <c r="A159" t="s">
        <v>905</v>
      </c>
    </row>
    <row r="160" spans="1:1" x14ac:dyDescent="0.25">
      <c r="A160" t="s">
        <v>906</v>
      </c>
    </row>
    <row r="161" spans="1:1" x14ac:dyDescent="0.25">
      <c r="A161" t="s">
        <v>907</v>
      </c>
    </row>
    <row r="162" spans="1:1" x14ac:dyDescent="0.25">
      <c r="A162" t="s">
        <v>908</v>
      </c>
    </row>
    <row r="163" spans="1:1" x14ac:dyDescent="0.25">
      <c r="A163" t="s">
        <v>909</v>
      </c>
    </row>
    <row r="164" spans="1:1" x14ac:dyDescent="0.25">
      <c r="A164" t="s">
        <v>910</v>
      </c>
    </row>
    <row r="165" spans="1:1" x14ac:dyDescent="0.25">
      <c r="A165" t="s">
        <v>911</v>
      </c>
    </row>
    <row r="166" spans="1:1" x14ac:dyDescent="0.25">
      <c r="A166" t="s">
        <v>913</v>
      </c>
    </row>
    <row r="167" spans="1:1" x14ac:dyDescent="0.25">
      <c r="A167" t="s">
        <v>914</v>
      </c>
    </row>
    <row r="168" spans="1:1" x14ac:dyDescent="0.25">
      <c r="A168" t="s">
        <v>915</v>
      </c>
    </row>
    <row r="169" spans="1:1" x14ac:dyDescent="0.25">
      <c r="A169" t="s">
        <v>916</v>
      </c>
    </row>
    <row r="170" spans="1:1" x14ac:dyDescent="0.25">
      <c r="A170" t="s">
        <v>917</v>
      </c>
    </row>
    <row r="171" spans="1:1" x14ac:dyDescent="0.25">
      <c r="A171" t="s">
        <v>919</v>
      </c>
    </row>
    <row r="172" spans="1:1" x14ac:dyDescent="0.25">
      <c r="A172" t="s">
        <v>921</v>
      </c>
    </row>
    <row r="173" spans="1:1" x14ac:dyDescent="0.25">
      <c r="A173" t="s">
        <v>922</v>
      </c>
    </row>
    <row r="174" spans="1:1" x14ac:dyDescent="0.25">
      <c r="A174" t="s">
        <v>923</v>
      </c>
    </row>
    <row r="175" spans="1:1" x14ac:dyDescent="0.25">
      <c r="A175" t="s">
        <v>925</v>
      </c>
    </row>
    <row r="176" spans="1:1" x14ac:dyDescent="0.25">
      <c r="A176" t="s">
        <v>926</v>
      </c>
    </row>
    <row r="177" spans="1:1" x14ac:dyDescent="0.25">
      <c r="A177" t="s">
        <v>927</v>
      </c>
    </row>
    <row r="178" spans="1:1" x14ac:dyDescent="0.25">
      <c r="A178" t="s">
        <v>929</v>
      </c>
    </row>
    <row r="179" spans="1:1" x14ac:dyDescent="0.25">
      <c r="A179" t="s">
        <v>930</v>
      </c>
    </row>
    <row r="180" spans="1:1" x14ac:dyDescent="0.25">
      <c r="A180" t="s">
        <v>931</v>
      </c>
    </row>
    <row r="181" spans="1:1" x14ac:dyDescent="0.25">
      <c r="A181" t="s">
        <v>932</v>
      </c>
    </row>
    <row r="182" spans="1:1" x14ac:dyDescent="0.25">
      <c r="A182" t="s">
        <v>933</v>
      </c>
    </row>
    <row r="183" spans="1:1" x14ac:dyDescent="0.25">
      <c r="A183" t="s">
        <v>934</v>
      </c>
    </row>
    <row r="184" spans="1:1" x14ac:dyDescent="0.25">
      <c r="A184" t="s">
        <v>935</v>
      </c>
    </row>
    <row r="185" spans="1:1" x14ac:dyDescent="0.25">
      <c r="A185" t="s">
        <v>936</v>
      </c>
    </row>
    <row r="186" spans="1:1" x14ac:dyDescent="0.25">
      <c r="A186" t="s">
        <v>938</v>
      </c>
    </row>
    <row r="187" spans="1:1" x14ac:dyDescent="0.25">
      <c r="A187" t="s">
        <v>940</v>
      </c>
    </row>
    <row r="188" spans="1:1" x14ac:dyDescent="0.25">
      <c r="A188" t="s">
        <v>941</v>
      </c>
    </row>
    <row r="189" spans="1:1" x14ac:dyDescent="0.25">
      <c r="A189" t="s">
        <v>942</v>
      </c>
    </row>
    <row r="190" spans="1:1" x14ac:dyDescent="0.25">
      <c r="A190" t="s">
        <v>943</v>
      </c>
    </row>
    <row r="191" spans="1:1" x14ac:dyDescent="0.25">
      <c r="A191" t="s">
        <v>945</v>
      </c>
    </row>
    <row r="192" spans="1:1" x14ac:dyDescent="0.25">
      <c r="A192" t="s">
        <v>947</v>
      </c>
    </row>
    <row r="193" spans="1:1" x14ac:dyDescent="0.25">
      <c r="A193" t="s">
        <v>948</v>
      </c>
    </row>
    <row r="194" spans="1:1" x14ac:dyDescent="0.25">
      <c r="A194" t="s">
        <v>950</v>
      </c>
    </row>
    <row r="195" spans="1:1" x14ac:dyDescent="0.25">
      <c r="A195" t="s">
        <v>951</v>
      </c>
    </row>
    <row r="196" spans="1:1" x14ac:dyDescent="0.25">
      <c r="A196" t="s">
        <v>952</v>
      </c>
    </row>
    <row r="197" spans="1:1" x14ac:dyDescent="0.25">
      <c r="A197" t="s">
        <v>953</v>
      </c>
    </row>
    <row r="198" spans="1:1" x14ac:dyDescent="0.25">
      <c r="A198" t="s">
        <v>955</v>
      </c>
    </row>
    <row r="199" spans="1:1" x14ac:dyDescent="0.25">
      <c r="A199" t="s">
        <v>957</v>
      </c>
    </row>
    <row r="200" spans="1:1" x14ac:dyDescent="0.25">
      <c r="A200" t="s">
        <v>958</v>
      </c>
    </row>
    <row r="201" spans="1:1" x14ac:dyDescent="0.25">
      <c r="A201" t="s">
        <v>959</v>
      </c>
    </row>
    <row r="202" spans="1:1" x14ac:dyDescent="0.25">
      <c r="A202" t="s">
        <v>960</v>
      </c>
    </row>
    <row r="203" spans="1:1" x14ac:dyDescent="0.25">
      <c r="A203" t="s">
        <v>961</v>
      </c>
    </row>
    <row r="204" spans="1:1" x14ac:dyDescent="0.25">
      <c r="A204" t="s">
        <v>962</v>
      </c>
    </row>
    <row r="205" spans="1:1" x14ac:dyDescent="0.25">
      <c r="A205" t="s">
        <v>964</v>
      </c>
    </row>
    <row r="206" spans="1:1" x14ac:dyDescent="0.25">
      <c r="A206" t="s">
        <v>965</v>
      </c>
    </row>
    <row r="207" spans="1:1" x14ac:dyDescent="0.25">
      <c r="A207" t="s">
        <v>966</v>
      </c>
    </row>
    <row r="208" spans="1:1" x14ac:dyDescent="0.25">
      <c r="A208" t="s">
        <v>968</v>
      </c>
    </row>
    <row r="209" spans="1:1" x14ac:dyDescent="0.25">
      <c r="A209" t="s">
        <v>969</v>
      </c>
    </row>
    <row r="210" spans="1:1" x14ac:dyDescent="0.25">
      <c r="A210" t="s">
        <v>970</v>
      </c>
    </row>
    <row r="211" spans="1:1" x14ac:dyDescent="0.25">
      <c r="A211" t="s">
        <v>971</v>
      </c>
    </row>
    <row r="212" spans="1:1" x14ac:dyDescent="0.25">
      <c r="A212" t="s">
        <v>972</v>
      </c>
    </row>
    <row r="213" spans="1:1" x14ac:dyDescent="0.25">
      <c r="A213" t="s">
        <v>973</v>
      </c>
    </row>
    <row r="214" spans="1:1" x14ac:dyDescent="0.25">
      <c r="A214" t="s">
        <v>974</v>
      </c>
    </row>
    <row r="215" spans="1:1" x14ac:dyDescent="0.25">
      <c r="A215" t="s">
        <v>976</v>
      </c>
    </row>
    <row r="216" spans="1:1" x14ac:dyDescent="0.25">
      <c r="A216" t="s">
        <v>977</v>
      </c>
    </row>
    <row r="217" spans="1:1" x14ac:dyDescent="0.25">
      <c r="A217" t="s">
        <v>978</v>
      </c>
    </row>
    <row r="218" spans="1:1" x14ac:dyDescent="0.25">
      <c r="A218" t="s">
        <v>979</v>
      </c>
    </row>
    <row r="219" spans="1:1" x14ac:dyDescent="0.25">
      <c r="A219" t="s">
        <v>980</v>
      </c>
    </row>
    <row r="220" spans="1:1" x14ac:dyDescent="0.25">
      <c r="A220" t="s">
        <v>981</v>
      </c>
    </row>
    <row r="221" spans="1:1" x14ac:dyDescent="0.25">
      <c r="A221" t="s">
        <v>982</v>
      </c>
    </row>
    <row r="222" spans="1:1" x14ac:dyDescent="0.25">
      <c r="A222" t="s">
        <v>983</v>
      </c>
    </row>
    <row r="223" spans="1:1" x14ac:dyDescent="0.25">
      <c r="A223" t="s">
        <v>984</v>
      </c>
    </row>
    <row r="224" spans="1:1" x14ac:dyDescent="0.25">
      <c r="A224" t="s">
        <v>986</v>
      </c>
    </row>
    <row r="225" spans="1:1" x14ac:dyDescent="0.25">
      <c r="A225" t="s">
        <v>987</v>
      </c>
    </row>
    <row r="226" spans="1:1" x14ac:dyDescent="0.25">
      <c r="A226" t="s">
        <v>988</v>
      </c>
    </row>
    <row r="227" spans="1:1" x14ac:dyDescent="0.25">
      <c r="A227" t="s">
        <v>989</v>
      </c>
    </row>
    <row r="228" spans="1:1" x14ac:dyDescent="0.25">
      <c r="A228" t="s">
        <v>990</v>
      </c>
    </row>
    <row r="229" spans="1:1" x14ac:dyDescent="0.25">
      <c r="A229" t="s">
        <v>991</v>
      </c>
    </row>
    <row r="230" spans="1:1" x14ac:dyDescent="0.25">
      <c r="A230" t="s">
        <v>992</v>
      </c>
    </row>
    <row r="231" spans="1:1" x14ac:dyDescent="0.25">
      <c r="A231" t="s">
        <v>993</v>
      </c>
    </row>
    <row r="232" spans="1:1" x14ac:dyDescent="0.25">
      <c r="A232" t="s">
        <v>994</v>
      </c>
    </row>
    <row r="233" spans="1:1" x14ac:dyDescent="0.25">
      <c r="A233" t="s">
        <v>995</v>
      </c>
    </row>
    <row r="234" spans="1:1" x14ac:dyDescent="0.25">
      <c r="A234" t="s">
        <v>996</v>
      </c>
    </row>
    <row r="235" spans="1:1" x14ac:dyDescent="0.25">
      <c r="A235" t="s">
        <v>997</v>
      </c>
    </row>
    <row r="236" spans="1:1" x14ac:dyDescent="0.25">
      <c r="A236" t="s">
        <v>998</v>
      </c>
    </row>
    <row r="237" spans="1:1" x14ac:dyDescent="0.25">
      <c r="A237" t="s">
        <v>1000</v>
      </c>
    </row>
    <row r="238" spans="1:1" x14ac:dyDescent="0.25">
      <c r="A238" t="s">
        <v>1002</v>
      </c>
    </row>
    <row r="239" spans="1:1" x14ac:dyDescent="0.25">
      <c r="A239" t="s">
        <v>1004</v>
      </c>
    </row>
    <row r="240" spans="1:1" x14ac:dyDescent="0.25">
      <c r="A240" t="s">
        <v>1005</v>
      </c>
    </row>
    <row r="241" spans="1:1" x14ac:dyDescent="0.25">
      <c r="A241" t="s">
        <v>1006</v>
      </c>
    </row>
    <row r="242" spans="1:1" x14ac:dyDescent="0.25">
      <c r="A242" t="s">
        <v>1007</v>
      </c>
    </row>
    <row r="243" spans="1:1" x14ac:dyDescent="0.25">
      <c r="A243" t="s">
        <v>1008</v>
      </c>
    </row>
    <row r="244" spans="1:1" x14ac:dyDescent="0.25">
      <c r="A244" t="s">
        <v>1009</v>
      </c>
    </row>
    <row r="245" spans="1:1" x14ac:dyDescent="0.25">
      <c r="A245" t="s">
        <v>1010</v>
      </c>
    </row>
    <row r="246" spans="1:1" x14ac:dyDescent="0.25">
      <c r="A246" t="s">
        <v>1012</v>
      </c>
    </row>
    <row r="247" spans="1:1" x14ac:dyDescent="0.25">
      <c r="A247" t="s">
        <v>1013</v>
      </c>
    </row>
    <row r="248" spans="1:1" x14ac:dyDescent="0.25">
      <c r="A248" t="s">
        <v>1014</v>
      </c>
    </row>
    <row r="249" spans="1:1" x14ac:dyDescent="0.25">
      <c r="A249" t="s">
        <v>1015</v>
      </c>
    </row>
    <row r="250" spans="1:1" x14ac:dyDescent="0.25">
      <c r="A250" t="s">
        <v>1016</v>
      </c>
    </row>
    <row r="251" spans="1:1" x14ac:dyDescent="0.25">
      <c r="A251" t="s">
        <v>1017</v>
      </c>
    </row>
    <row r="252" spans="1:1" x14ac:dyDescent="0.25">
      <c r="A252" t="s">
        <v>1018</v>
      </c>
    </row>
    <row r="253" spans="1:1" x14ac:dyDescent="0.25">
      <c r="A253" t="s">
        <v>1019</v>
      </c>
    </row>
    <row r="254" spans="1:1" x14ac:dyDescent="0.25">
      <c r="A254" t="s">
        <v>1020</v>
      </c>
    </row>
    <row r="255" spans="1:1" x14ac:dyDescent="0.25">
      <c r="A255" t="s">
        <v>1021</v>
      </c>
    </row>
    <row r="256" spans="1:1" x14ac:dyDescent="0.25">
      <c r="A256" t="s">
        <v>1022</v>
      </c>
    </row>
    <row r="257" spans="1:1" x14ac:dyDescent="0.25">
      <c r="A257" t="s">
        <v>1024</v>
      </c>
    </row>
    <row r="258" spans="1:1" x14ac:dyDescent="0.25">
      <c r="A258" t="s">
        <v>1025</v>
      </c>
    </row>
    <row r="259" spans="1:1" x14ac:dyDescent="0.25">
      <c r="A259" t="s">
        <v>1026</v>
      </c>
    </row>
    <row r="260" spans="1:1" x14ac:dyDescent="0.25">
      <c r="A260" t="s">
        <v>1027</v>
      </c>
    </row>
    <row r="261" spans="1:1" x14ac:dyDescent="0.25">
      <c r="A261" t="s">
        <v>1028</v>
      </c>
    </row>
    <row r="262" spans="1:1" x14ac:dyDescent="0.25">
      <c r="A262" t="s">
        <v>1029</v>
      </c>
    </row>
    <row r="263" spans="1:1" x14ac:dyDescent="0.25">
      <c r="A263" t="s">
        <v>1030</v>
      </c>
    </row>
    <row r="264" spans="1:1" x14ac:dyDescent="0.25">
      <c r="A264" t="s">
        <v>1031</v>
      </c>
    </row>
    <row r="265" spans="1:1" x14ac:dyDescent="0.25">
      <c r="A265" t="s">
        <v>1032</v>
      </c>
    </row>
    <row r="266" spans="1:1" x14ac:dyDescent="0.25">
      <c r="A266" t="s">
        <v>1033</v>
      </c>
    </row>
    <row r="267" spans="1:1" x14ac:dyDescent="0.25">
      <c r="A267" t="s">
        <v>1034</v>
      </c>
    </row>
    <row r="268" spans="1:1" x14ac:dyDescent="0.25">
      <c r="A268" t="s">
        <v>1035</v>
      </c>
    </row>
    <row r="269" spans="1:1" x14ac:dyDescent="0.25">
      <c r="A269" t="s">
        <v>1036</v>
      </c>
    </row>
    <row r="270" spans="1:1" x14ac:dyDescent="0.25">
      <c r="A270" t="s">
        <v>1037</v>
      </c>
    </row>
    <row r="271" spans="1:1" x14ac:dyDescent="0.25">
      <c r="A271" t="s">
        <v>1038</v>
      </c>
    </row>
    <row r="272" spans="1:1" x14ac:dyDescent="0.25">
      <c r="A272" t="s">
        <v>1039</v>
      </c>
    </row>
    <row r="273" spans="1:1" x14ac:dyDescent="0.25">
      <c r="A273" t="s">
        <v>1040</v>
      </c>
    </row>
    <row r="274" spans="1:1" x14ac:dyDescent="0.25">
      <c r="A274" t="s">
        <v>1041</v>
      </c>
    </row>
    <row r="275" spans="1:1" x14ac:dyDescent="0.25">
      <c r="A275" t="s">
        <v>1042</v>
      </c>
    </row>
    <row r="276" spans="1:1" x14ac:dyDescent="0.25">
      <c r="A276" t="s">
        <v>1043</v>
      </c>
    </row>
    <row r="277" spans="1:1" x14ac:dyDescent="0.25">
      <c r="A277" t="s">
        <v>1381</v>
      </c>
    </row>
    <row r="278" spans="1:1" x14ac:dyDescent="0.25">
      <c r="A278" t="s">
        <v>1045</v>
      </c>
    </row>
    <row r="279" spans="1:1" x14ac:dyDescent="0.25">
      <c r="A279" t="s">
        <v>1046</v>
      </c>
    </row>
    <row r="280" spans="1:1" x14ac:dyDescent="0.25">
      <c r="A280" t="s">
        <v>1047</v>
      </c>
    </row>
    <row r="281" spans="1:1" x14ac:dyDescent="0.25">
      <c r="A281" t="s">
        <v>1048</v>
      </c>
    </row>
    <row r="282" spans="1:1" x14ac:dyDescent="0.25">
      <c r="A282" t="s">
        <v>1049</v>
      </c>
    </row>
    <row r="283" spans="1:1" x14ac:dyDescent="0.25">
      <c r="A283" t="s">
        <v>1050</v>
      </c>
    </row>
    <row r="284" spans="1:1" x14ac:dyDescent="0.25">
      <c r="A284" t="s">
        <v>1051</v>
      </c>
    </row>
    <row r="285" spans="1:1" x14ac:dyDescent="0.25">
      <c r="A285" t="s">
        <v>1053</v>
      </c>
    </row>
    <row r="286" spans="1:1" x14ac:dyDescent="0.25">
      <c r="A286" t="s">
        <v>1054</v>
      </c>
    </row>
    <row r="287" spans="1:1" x14ac:dyDescent="0.25">
      <c r="A287" t="s">
        <v>1055</v>
      </c>
    </row>
    <row r="288" spans="1:1" x14ac:dyDescent="0.25">
      <c r="A288" t="s">
        <v>1056</v>
      </c>
    </row>
    <row r="289" spans="1:1" x14ac:dyDescent="0.25">
      <c r="A289" t="s">
        <v>1058</v>
      </c>
    </row>
    <row r="290" spans="1:1" x14ac:dyDescent="0.25">
      <c r="A290" t="s">
        <v>1059</v>
      </c>
    </row>
    <row r="291" spans="1:1" x14ac:dyDescent="0.25">
      <c r="A291" t="s">
        <v>1061</v>
      </c>
    </row>
    <row r="292" spans="1:1" x14ac:dyDescent="0.25">
      <c r="A292" t="s">
        <v>1062</v>
      </c>
    </row>
    <row r="293" spans="1:1" x14ac:dyDescent="0.25">
      <c r="A293" t="s">
        <v>1063</v>
      </c>
    </row>
    <row r="294" spans="1:1" x14ac:dyDescent="0.25">
      <c r="A294" t="s">
        <v>1064</v>
      </c>
    </row>
    <row r="295" spans="1:1" x14ac:dyDescent="0.25">
      <c r="A295" t="s">
        <v>1065</v>
      </c>
    </row>
    <row r="296" spans="1:1" x14ac:dyDescent="0.25">
      <c r="A296" t="s">
        <v>1066</v>
      </c>
    </row>
    <row r="297" spans="1:1" x14ac:dyDescent="0.25">
      <c r="A297" t="s">
        <v>1067</v>
      </c>
    </row>
    <row r="298" spans="1:1" x14ac:dyDescent="0.25">
      <c r="A298" t="s">
        <v>1069</v>
      </c>
    </row>
    <row r="299" spans="1:1" x14ac:dyDescent="0.25">
      <c r="A299" t="s">
        <v>1070</v>
      </c>
    </row>
    <row r="300" spans="1:1" x14ac:dyDescent="0.25">
      <c r="A300" t="s">
        <v>1071</v>
      </c>
    </row>
    <row r="301" spans="1:1" x14ac:dyDescent="0.25">
      <c r="A301" t="s">
        <v>1072</v>
      </c>
    </row>
    <row r="302" spans="1:1" x14ac:dyDescent="0.25">
      <c r="A302" t="s">
        <v>1073</v>
      </c>
    </row>
    <row r="303" spans="1:1" x14ac:dyDescent="0.25">
      <c r="A303" t="s">
        <v>1074</v>
      </c>
    </row>
    <row r="304" spans="1:1" x14ac:dyDescent="0.25">
      <c r="A304" t="s">
        <v>1075</v>
      </c>
    </row>
    <row r="305" spans="1:1" x14ac:dyDescent="0.25">
      <c r="A305" t="s">
        <v>1076</v>
      </c>
    </row>
    <row r="306" spans="1:1" x14ac:dyDescent="0.25">
      <c r="A306" t="s">
        <v>1077</v>
      </c>
    </row>
    <row r="307" spans="1:1" x14ac:dyDescent="0.25">
      <c r="A307" t="s">
        <v>1078</v>
      </c>
    </row>
    <row r="308" spans="1:1" x14ac:dyDescent="0.25">
      <c r="A308" t="s">
        <v>1079</v>
      </c>
    </row>
    <row r="309" spans="1:1" x14ac:dyDescent="0.25">
      <c r="A309" t="s">
        <v>1080</v>
      </c>
    </row>
    <row r="310" spans="1:1" x14ac:dyDescent="0.25">
      <c r="A310" t="s">
        <v>1081</v>
      </c>
    </row>
    <row r="311" spans="1:1" x14ac:dyDescent="0.25">
      <c r="A311" t="s">
        <v>1083</v>
      </c>
    </row>
    <row r="312" spans="1:1" x14ac:dyDescent="0.25">
      <c r="A312" t="s">
        <v>1084</v>
      </c>
    </row>
    <row r="313" spans="1:1" x14ac:dyDescent="0.25">
      <c r="A313" t="s">
        <v>1085</v>
      </c>
    </row>
    <row r="314" spans="1:1" x14ac:dyDescent="0.25">
      <c r="A314" t="s">
        <v>1086</v>
      </c>
    </row>
    <row r="315" spans="1:1" x14ac:dyDescent="0.25">
      <c r="A315" t="s">
        <v>1087</v>
      </c>
    </row>
    <row r="316" spans="1:1" x14ac:dyDescent="0.25">
      <c r="A316" t="s">
        <v>1088</v>
      </c>
    </row>
    <row r="317" spans="1:1" x14ac:dyDescent="0.25">
      <c r="A317" t="s">
        <v>1089</v>
      </c>
    </row>
    <row r="318" spans="1:1" x14ac:dyDescent="0.25">
      <c r="A318" t="s">
        <v>1090</v>
      </c>
    </row>
    <row r="319" spans="1:1" x14ac:dyDescent="0.25">
      <c r="A319" t="s">
        <v>1091</v>
      </c>
    </row>
    <row r="320" spans="1:1" x14ac:dyDescent="0.25">
      <c r="A320" t="s">
        <v>1093</v>
      </c>
    </row>
    <row r="321" spans="1:1" x14ac:dyDescent="0.25">
      <c r="A321" t="s">
        <v>1094</v>
      </c>
    </row>
    <row r="322" spans="1:1" x14ac:dyDescent="0.25">
      <c r="A322" t="s">
        <v>1095</v>
      </c>
    </row>
    <row r="323" spans="1:1" x14ac:dyDescent="0.25">
      <c r="A323" t="s">
        <v>1096</v>
      </c>
    </row>
    <row r="324" spans="1:1" x14ac:dyDescent="0.25">
      <c r="A324" t="s">
        <v>1097</v>
      </c>
    </row>
    <row r="325" spans="1:1" x14ac:dyDescent="0.25">
      <c r="A325" t="s">
        <v>1098</v>
      </c>
    </row>
    <row r="326" spans="1:1" x14ac:dyDescent="0.25">
      <c r="A326" t="s">
        <v>1099</v>
      </c>
    </row>
    <row r="327" spans="1:1" x14ac:dyDescent="0.25">
      <c r="A327" t="s">
        <v>1101</v>
      </c>
    </row>
    <row r="328" spans="1:1" x14ac:dyDescent="0.25">
      <c r="A328" t="s">
        <v>1103</v>
      </c>
    </row>
    <row r="329" spans="1:1" x14ac:dyDescent="0.25">
      <c r="A329" t="s">
        <v>1104</v>
      </c>
    </row>
    <row r="330" spans="1:1" x14ac:dyDescent="0.25">
      <c r="A330" t="s">
        <v>1106</v>
      </c>
    </row>
    <row r="331" spans="1:1" x14ac:dyDescent="0.25">
      <c r="A331" t="s">
        <v>1107</v>
      </c>
    </row>
    <row r="332" spans="1:1" x14ac:dyDescent="0.25">
      <c r="A332" t="s">
        <v>1108</v>
      </c>
    </row>
    <row r="333" spans="1:1" x14ac:dyDescent="0.25">
      <c r="A333" t="s">
        <v>1109</v>
      </c>
    </row>
    <row r="334" spans="1:1" x14ac:dyDescent="0.25">
      <c r="A334" t="s">
        <v>1110</v>
      </c>
    </row>
    <row r="335" spans="1:1" x14ac:dyDescent="0.25">
      <c r="A335" t="s">
        <v>1111</v>
      </c>
    </row>
    <row r="336" spans="1:1" x14ac:dyDescent="0.25">
      <c r="A336" t="s">
        <v>1112</v>
      </c>
    </row>
    <row r="337" spans="1:1" x14ac:dyDescent="0.25">
      <c r="A337" t="s">
        <v>1113</v>
      </c>
    </row>
    <row r="338" spans="1:1" x14ac:dyDescent="0.25">
      <c r="A338" t="s">
        <v>1114</v>
      </c>
    </row>
    <row r="339" spans="1:1" x14ac:dyDescent="0.25">
      <c r="A339" t="s">
        <v>1115</v>
      </c>
    </row>
    <row r="340" spans="1:1" x14ac:dyDescent="0.25">
      <c r="A340" t="s">
        <v>1116</v>
      </c>
    </row>
    <row r="341" spans="1:1" x14ac:dyDescent="0.25">
      <c r="A341" t="s">
        <v>1117</v>
      </c>
    </row>
    <row r="342" spans="1:1" x14ac:dyDescent="0.25">
      <c r="A342" t="s">
        <v>1118</v>
      </c>
    </row>
    <row r="343" spans="1:1" x14ac:dyDescent="0.25">
      <c r="A343" t="s">
        <v>1119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9D7E4-A3BD-4E39-9828-0CFBEB87C0F3}">
  <sheetPr codeName="Munka12"/>
  <dimension ref="A1:AM50"/>
  <sheetViews>
    <sheetView topLeftCell="A34" workbookViewId="0">
      <selection activeCell="H56" sqref="H56"/>
    </sheetView>
  </sheetViews>
  <sheetFormatPr defaultRowHeight="15" x14ac:dyDescent="0.25"/>
  <cols>
    <col min="1" max="1" width="12" bestFit="1" customWidth="1"/>
    <col min="2" max="2" width="28" bestFit="1" customWidth="1"/>
    <col min="3" max="3" width="19.7109375" bestFit="1" customWidth="1"/>
    <col min="4" max="4" width="12.28515625" bestFit="1" customWidth="1"/>
    <col min="5" max="5" width="19.7109375" bestFit="1" customWidth="1"/>
    <col min="6" max="6" width="15.28515625" bestFit="1" customWidth="1"/>
    <col min="7" max="7" width="11.5703125" bestFit="1" customWidth="1"/>
    <col min="8" max="8" width="5.28515625" bestFit="1" customWidth="1"/>
    <col min="9" max="9" width="20.28515625" bestFit="1" customWidth="1"/>
    <col min="10" max="10" width="16.140625" bestFit="1" customWidth="1"/>
    <col min="11" max="11" width="20.42578125" bestFit="1" customWidth="1"/>
    <col min="12" max="12" width="15.42578125" bestFit="1" customWidth="1"/>
    <col min="13" max="13" width="15.7109375" bestFit="1" customWidth="1"/>
    <col min="14" max="14" width="16.85546875" bestFit="1" customWidth="1"/>
    <col min="15" max="15" width="19.7109375" bestFit="1" customWidth="1"/>
    <col min="16" max="16" width="15.7109375" bestFit="1" customWidth="1"/>
    <col min="17" max="17" width="9.7109375" bestFit="1" customWidth="1"/>
    <col min="18" max="18" width="19.7109375" bestFit="1" customWidth="1"/>
    <col min="19" max="19" width="11.7109375" bestFit="1" customWidth="1"/>
    <col min="20" max="20" width="22.28515625" bestFit="1" customWidth="1"/>
    <col min="21" max="21" width="19.7109375" bestFit="1" customWidth="1"/>
    <col min="22" max="22" width="21.7109375" bestFit="1" customWidth="1"/>
    <col min="23" max="23" width="32.140625" bestFit="1" customWidth="1"/>
    <col min="24" max="24" width="11" bestFit="1" customWidth="1"/>
    <col min="25" max="25" width="21.42578125" bestFit="1" customWidth="1"/>
    <col min="26" max="26" width="4.85546875" hidden="1" customWidth="1"/>
    <col min="27" max="27" width="7.7109375" bestFit="1" customWidth="1"/>
    <col min="28" max="28" width="11" bestFit="1" customWidth="1"/>
    <col min="29" max="29" width="15.7109375" bestFit="1" customWidth="1"/>
    <col min="30" max="30" width="15.42578125" bestFit="1" customWidth="1"/>
    <col min="31" max="32" width="18" bestFit="1" customWidth="1"/>
    <col min="33" max="33" width="19.7109375" bestFit="1" customWidth="1"/>
    <col min="34" max="34" width="13.7109375" bestFit="1" customWidth="1"/>
    <col min="35" max="35" width="10.28515625" bestFit="1" customWidth="1"/>
    <col min="36" max="36" width="15.7109375" bestFit="1" customWidth="1"/>
    <col min="37" max="37" width="18.28515625" bestFit="1" customWidth="1"/>
    <col min="38" max="38" width="11" bestFit="1" customWidth="1"/>
    <col min="39" max="39" width="20" bestFit="1" customWidth="1"/>
  </cols>
  <sheetData>
    <row r="1" spans="1:39" s="26" customFormat="1" x14ac:dyDescent="0.25">
      <c r="A1" s="26" t="s">
        <v>676</v>
      </c>
      <c r="B1" s="26" t="s">
        <v>1121</v>
      </c>
      <c r="C1" s="26" t="s">
        <v>1629</v>
      </c>
      <c r="D1" s="26" t="s">
        <v>1659</v>
      </c>
      <c r="E1" s="26" t="s">
        <v>1638</v>
      </c>
      <c r="F1" s="26" t="s">
        <v>1653</v>
      </c>
      <c r="G1" s="26" t="s">
        <v>1656</v>
      </c>
      <c r="H1" s="26" t="s">
        <v>1643</v>
      </c>
      <c r="I1" s="26" t="s">
        <v>1634</v>
      </c>
      <c r="J1" s="26" t="s">
        <v>1651</v>
      </c>
      <c r="K1" s="26" t="s">
        <v>1650</v>
      </c>
      <c r="L1" s="26" t="s">
        <v>1649</v>
      </c>
      <c r="M1" s="26" t="s">
        <v>1641</v>
      </c>
      <c r="N1" s="26" t="s">
        <v>1661</v>
      </c>
      <c r="O1" s="26" t="s">
        <v>1637</v>
      </c>
      <c r="P1" s="26" t="s">
        <v>1645</v>
      </c>
      <c r="Q1" s="26" t="s">
        <v>1644</v>
      </c>
      <c r="R1" s="26" t="s">
        <v>1630</v>
      </c>
      <c r="S1" s="26" t="s">
        <v>1639</v>
      </c>
      <c r="T1" s="26" t="s">
        <v>1627</v>
      </c>
      <c r="U1" s="26" t="s">
        <v>1628</v>
      </c>
      <c r="V1" s="26" t="s">
        <v>1646</v>
      </c>
      <c r="W1" s="26" t="s">
        <v>1662</v>
      </c>
      <c r="X1" s="26" t="s">
        <v>1655</v>
      </c>
      <c r="Y1" s="26" t="s">
        <v>1660</v>
      </c>
      <c r="Z1" s="26" t="s">
        <v>1665</v>
      </c>
      <c r="AA1" s="26" t="s">
        <v>1636</v>
      </c>
      <c r="AB1" s="26" t="s">
        <v>1648</v>
      </c>
      <c r="AC1" s="26" t="s">
        <v>1647</v>
      </c>
      <c r="AD1" s="26" t="s">
        <v>1652</v>
      </c>
      <c r="AE1" s="26" t="s">
        <v>1635</v>
      </c>
      <c r="AF1" s="26" t="s">
        <v>1657</v>
      </c>
      <c r="AG1" s="26" t="s">
        <v>1632</v>
      </c>
      <c r="AH1" s="26" t="s">
        <v>1654</v>
      </c>
      <c r="AI1" s="26" t="s">
        <v>1642</v>
      </c>
      <c r="AJ1" s="26" t="s">
        <v>1633</v>
      </c>
      <c r="AK1" s="26" t="s">
        <v>1664</v>
      </c>
      <c r="AL1" s="26" t="s">
        <v>1631</v>
      </c>
      <c r="AM1" s="26" t="s">
        <v>1658</v>
      </c>
    </row>
    <row r="2" spans="1:39" x14ac:dyDescent="0.25">
      <c r="A2">
        <v>73346943312</v>
      </c>
      <c r="B2" t="s">
        <v>888</v>
      </c>
      <c r="C2">
        <v>5</v>
      </c>
      <c r="D2" t="s">
        <v>831</v>
      </c>
      <c r="E2" t="s">
        <v>831</v>
      </c>
      <c r="F2" t="s">
        <v>831</v>
      </c>
      <c r="G2" t="s">
        <v>831</v>
      </c>
      <c r="H2" t="s">
        <v>831</v>
      </c>
      <c r="I2" t="s">
        <v>831</v>
      </c>
      <c r="J2" t="s">
        <v>831</v>
      </c>
      <c r="K2" t="s">
        <v>831</v>
      </c>
      <c r="L2" t="s">
        <v>831</v>
      </c>
      <c r="M2" t="s">
        <v>831</v>
      </c>
      <c r="N2" t="s">
        <v>831</v>
      </c>
      <c r="O2" t="s">
        <v>831</v>
      </c>
      <c r="P2" t="s">
        <v>831</v>
      </c>
      <c r="Q2" t="s">
        <v>831</v>
      </c>
      <c r="R2">
        <v>5</v>
      </c>
      <c r="S2" t="s">
        <v>831</v>
      </c>
      <c r="T2">
        <v>5</v>
      </c>
      <c r="U2">
        <v>5</v>
      </c>
      <c r="V2" t="s">
        <v>831</v>
      </c>
      <c r="W2" t="s">
        <v>831</v>
      </c>
      <c r="X2" t="s">
        <v>831</v>
      </c>
      <c r="Y2" t="s">
        <v>831</v>
      </c>
      <c r="Z2">
        <v>1</v>
      </c>
      <c r="AA2" t="s">
        <v>831</v>
      </c>
      <c r="AB2" t="s">
        <v>831</v>
      </c>
      <c r="AC2" t="s">
        <v>831</v>
      </c>
      <c r="AD2" t="s">
        <v>831</v>
      </c>
      <c r="AE2" t="s">
        <v>831</v>
      </c>
      <c r="AF2" t="s">
        <v>831</v>
      </c>
      <c r="AG2" t="s">
        <v>831</v>
      </c>
      <c r="AH2" t="s">
        <v>831</v>
      </c>
      <c r="AI2" t="s">
        <v>831</v>
      </c>
      <c r="AJ2" t="s">
        <v>831</v>
      </c>
      <c r="AK2" t="s">
        <v>831</v>
      </c>
      <c r="AL2" t="s">
        <v>831</v>
      </c>
      <c r="AM2" t="s">
        <v>831</v>
      </c>
    </row>
    <row r="3" spans="1:39" x14ac:dyDescent="0.25">
      <c r="A3">
        <v>73388275400</v>
      </c>
      <c r="B3" t="s">
        <v>1032</v>
      </c>
      <c r="C3">
        <v>5</v>
      </c>
      <c r="D3" t="s">
        <v>831</v>
      </c>
      <c r="E3" t="s">
        <v>831</v>
      </c>
      <c r="F3" t="s">
        <v>831</v>
      </c>
      <c r="G3" t="s">
        <v>831</v>
      </c>
      <c r="H3" t="s">
        <v>831</v>
      </c>
      <c r="I3">
        <v>5</v>
      </c>
      <c r="J3" t="s">
        <v>831</v>
      </c>
      <c r="K3" t="s">
        <v>831</v>
      </c>
      <c r="L3" t="s">
        <v>831</v>
      </c>
      <c r="M3" t="s">
        <v>831</v>
      </c>
      <c r="N3" t="s">
        <v>831</v>
      </c>
      <c r="O3" t="s">
        <v>831</v>
      </c>
      <c r="P3" t="s">
        <v>831</v>
      </c>
      <c r="Q3" t="s">
        <v>831</v>
      </c>
      <c r="R3">
        <v>5</v>
      </c>
      <c r="S3" t="s">
        <v>831</v>
      </c>
      <c r="T3">
        <v>5</v>
      </c>
      <c r="U3">
        <v>5</v>
      </c>
      <c r="V3" t="s">
        <v>831</v>
      </c>
      <c r="W3" t="s">
        <v>831</v>
      </c>
      <c r="X3" t="s">
        <v>831</v>
      </c>
      <c r="Y3" t="s">
        <v>831</v>
      </c>
      <c r="Z3">
        <v>0</v>
      </c>
      <c r="AA3">
        <v>5</v>
      </c>
      <c r="AB3" t="s">
        <v>831</v>
      </c>
      <c r="AC3" t="s">
        <v>831</v>
      </c>
      <c r="AD3" t="s">
        <v>831</v>
      </c>
      <c r="AE3">
        <v>5</v>
      </c>
      <c r="AF3" t="s">
        <v>831</v>
      </c>
      <c r="AG3">
        <v>5</v>
      </c>
      <c r="AH3" t="s">
        <v>831</v>
      </c>
      <c r="AI3" t="s">
        <v>831</v>
      </c>
      <c r="AJ3">
        <v>5</v>
      </c>
      <c r="AK3" t="s">
        <v>831</v>
      </c>
      <c r="AL3">
        <v>5</v>
      </c>
      <c r="AM3" t="s">
        <v>831</v>
      </c>
    </row>
    <row r="4" spans="1:39" x14ac:dyDescent="0.25">
      <c r="A4">
        <v>73322244020</v>
      </c>
      <c r="B4" t="s">
        <v>1017</v>
      </c>
      <c r="C4">
        <v>5</v>
      </c>
      <c r="D4" t="s">
        <v>831</v>
      </c>
      <c r="E4">
        <v>5</v>
      </c>
      <c r="F4" t="s">
        <v>831</v>
      </c>
      <c r="G4" t="s">
        <v>831</v>
      </c>
      <c r="H4" t="s">
        <v>831</v>
      </c>
      <c r="I4" t="s">
        <v>831</v>
      </c>
      <c r="J4" t="s">
        <v>831</v>
      </c>
      <c r="K4" t="s">
        <v>831</v>
      </c>
      <c r="L4" t="s">
        <v>831</v>
      </c>
      <c r="M4" t="s">
        <v>831</v>
      </c>
      <c r="N4" t="s">
        <v>831</v>
      </c>
      <c r="O4">
        <v>5</v>
      </c>
      <c r="P4" t="s">
        <v>831</v>
      </c>
      <c r="Q4" t="s">
        <v>831</v>
      </c>
      <c r="R4">
        <v>4</v>
      </c>
      <c r="S4" t="s">
        <v>831</v>
      </c>
      <c r="T4">
        <v>4</v>
      </c>
      <c r="U4">
        <v>5</v>
      </c>
      <c r="V4" t="s">
        <v>831</v>
      </c>
      <c r="W4" t="s">
        <v>831</v>
      </c>
      <c r="X4" t="s">
        <v>831</v>
      </c>
      <c r="Y4" t="s">
        <v>831</v>
      </c>
      <c r="Z4">
        <v>0</v>
      </c>
      <c r="AA4" t="s">
        <v>831</v>
      </c>
      <c r="AB4" t="s">
        <v>831</v>
      </c>
      <c r="AC4" t="s">
        <v>831</v>
      </c>
      <c r="AD4" t="s">
        <v>831</v>
      </c>
      <c r="AE4" t="s">
        <v>831</v>
      </c>
      <c r="AF4" t="s">
        <v>831</v>
      </c>
      <c r="AG4" t="s">
        <v>831</v>
      </c>
      <c r="AH4" t="s">
        <v>831</v>
      </c>
      <c r="AI4" t="s">
        <v>831</v>
      </c>
      <c r="AJ4" t="s">
        <v>831</v>
      </c>
      <c r="AK4" t="s">
        <v>831</v>
      </c>
      <c r="AL4" t="s">
        <v>831</v>
      </c>
      <c r="AM4" t="s">
        <v>831</v>
      </c>
    </row>
    <row r="5" spans="1:39" x14ac:dyDescent="0.25">
      <c r="A5">
        <v>73300057890</v>
      </c>
      <c r="B5" t="s">
        <v>717</v>
      </c>
      <c r="C5">
        <v>5</v>
      </c>
      <c r="D5" t="s">
        <v>831</v>
      </c>
      <c r="E5">
        <v>5</v>
      </c>
      <c r="F5" t="s">
        <v>831</v>
      </c>
      <c r="G5" t="s">
        <v>831</v>
      </c>
      <c r="H5" t="s">
        <v>831</v>
      </c>
      <c r="I5" t="s">
        <v>831</v>
      </c>
      <c r="J5" t="s">
        <v>831</v>
      </c>
      <c r="K5" t="s">
        <v>831</v>
      </c>
      <c r="L5" t="s">
        <v>831</v>
      </c>
      <c r="M5" t="s">
        <v>831</v>
      </c>
      <c r="N5" t="s">
        <v>831</v>
      </c>
      <c r="O5" t="s">
        <v>831</v>
      </c>
      <c r="P5" t="s">
        <v>831</v>
      </c>
      <c r="Q5" t="s">
        <v>831</v>
      </c>
      <c r="R5">
        <v>5</v>
      </c>
      <c r="S5" t="s">
        <v>831</v>
      </c>
      <c r="T5">
        <v>5</v>
      </c>
      <c r="U5">
        <v>5</v>
      </c>
      <c r="V5" t="s">
        <v>831</v>
      </c>
      <c r="W5" t="s">
        <v>831</v>
      </c>
      <c r="X5" t="s">
        <v>831</v>
      </c>
      <c r="Y5" t="s">
        <v>831</v>
      </c>
      <c r="Z5">
        <v>0</v>
      </c>
      <c r="AA5" t="s">
        <v>831</v>
      </c>
      <c r="AB5" t="s">
        <v>831</v>
      </c>
      <c r="AC5" t="s">
        <v>831</v>
      </c>
      <c r="AD5" t="s">
        <v>831</v>
      </c>
      <c r="AE5">
        <v>5</v>
      </c>
      <c r="AF5" t="s">
        <v>831</v>
      </c>
      <c r="AG5">
        <v>5</v>
      </c>
      <c r="AH5" t="s">
        <v>831</v>
      </c>
      <c r="AI5" t="s">
        <v>831</v>
      </c>
      <c r="AJ5">
        <v>5</v>
      </c>
      <c r="AK5" t="s">
        <v>831</v>
      </c>
      <c r="AL5">
        <v>5</v>
      </c>
      <c r="AM5" t="s">
        <v>831</v>
      </c>
    </row>
    <row r="6" spans="1:39" x14ac:dyDescent="0.25">
      <c r="A6">
        <v>73385089644</v>
      </c>
      <c r="B6" t="s">
        <v>887</v>
      </c>
      <c r="C6">
        <v>5</v>
      </c>
      <c r="D6" t="s">
        <v>831</v>
      </c>
      <c r="E6" s="27">
        <v>5</v>
      </c>
      <c r="F6" t="s">
        <v>831</v>
      </c>
      <c r="G6" t="s">
        <v>831</v>
      </c>
      <c r="H6" t="s">
        <v>831</v>
      </c>
      <c r="I6">
        <v>5</v>
      </c>
      <c r="J6" t="s">
        <v>831</v>
      </c>
      <c r="K6" t="s">
        <v>831</v>
      </c>
      <c r="L6" t="s">
        <v>831</v>
      </c>
      <c r="M6">
        <v>0</v>
      </c>
      <c r="N6" t="s">
        <v>831</v>
      </c>
      <c r="O6">
        <v>5</v>
      </c>
      <c r="P6" t="s">
        <v>831</v>
      </c>
      <c r="Q6" t="s">
        <v>831</v>
      </c>
      <c r="R6">
        <v>5</v>
      </c>
      <c r="S6">
        <v>5</v>
      </c>
      <c r="T6" t="s">
        <v>831</v>
      </c>
      <c r="U6">
        <v>5</v>
      </c>
      <c r="V6" t="s">
        <v>831</v>
      </c>
      <c r="W6" t="s">
        <v>831</v>
      </c>
      <c r="X6" t="s">
        <v>831</v>
      </c>
      <c r="Y6" t="s">
        <v>831</v>
      </c>
      <c r="Z6">
        <v>1</v>
      </c>
      <c r="AA6" t="s">
        <v>831</v>
      </c>
      <c r="AB6" t="s">
        <v>831</v>
      </c>
      <c r="AC6" t="s">
        <v>831</v>
      </c>
      <c r="AD6" t="s">
        <v>831</v>
      </c>
      <c r="AE6">
        <v>5</v>
      </c>
      <c r="AF6" t="s">
        <v>831</v>
      </c>
      <c r="AG6">
        <v>5</v>
      </c>
      <c r="AH6" t="s">
        <v>831</v>
      </c>
      <c r="AI6" t="s">
        <v>831</v>
      </c>
      <c r="AJ6">
        <v>5</v>
      </c>
      <c r="AK6" t="s">
        <v>831</v>
      </c>
      <c r="AL6">
        <v>5</v>
      </c>
      <c r="AM6" t="s">
        <v>831</v>
      </c>
    </row>
    <row r="7" spans="1:39" x14ac:dyDescent="0.25">
      <c r="A7">
        <v>74049545321</v>
      </c>
      <c r="B7" t="s">
        <v>1114</v>
      </c>
      <c r="C7">
        <v>5</v>
      </c>
      <c r="D7" t="s">
        <v>831</v>
      </c>
      <c r="E7">
        <v>5</v>
      </c>
      <c r="F7" t="s">
        <v>831</v>
      </c>
      <c r="G7" t="s">
        <v>831</v>
      </c>
      <c r="H7" t="s">
        <v>831</v>
      </c>
      <c r="I7">
        <v>5</v>
      </c>
      <c r="J7" t="s">
        <v>831</v>
      </c>
      <c r="K7" t="s">
        <v>831</v>
      </c>
      <c r="L7" t="s">
        <v>831</v>
      </c>
      <c r="M7" t="s">
        <v>831</v>
      </c>
      <c r="N7" t="s">
        <v>831</v>
      </c>
      <c r="O7" t="s">
        <v>831</v>
      </c>
      <c r="P7" t="s">
        <v>831</v>
      </c>
      <c r="Q7" t="s">
        <v>831</v>
      </c>
      <c r="R7">
        <v>5</v>
      </c>
      <c r="S7" t="s">
        <v>831</v>
      </c>
      <c r="T7" t="s">
        <v>1640</v>
      </c>
      <c r="U7" t="s">
        <v>1663</v>
      </c>
      <c r="V7" t="s">
        <v>831</v>
      </c>
      <c r="W7" t="s">
        <v>831</v>
      </c>
      <c r="X7" t="s">
        <v>831</v>
      </c>
      <c r="Y7" t="s">
        <v>831</v>
      </c>
      <c r="Z7">
        <v>0</v>
      </c>
      <c r="AA7" t="s">
        <v>831</v>
      </c>
      <c r="AB7" t="s">
        <v>831</v>
      </c>
      <c r="AC7" t="s">
        <v>831</v>
      </c>
      <c r="AD7" t="s">
        <v>831</v>
      </c>
      <c r="AE7">
        <v>5</v>
      </c>
      <c r="AF7" t="s">
        <v>831</v>
      </c>
      <c r="AG7">
        <v>5</v>
      </c>
      <c r="AH7" t="s">
        <v>831</v>
      </c>
      <c r="AI7" t="s">
        <v>831</v>
      </c>
      <c r="AJ7">
        <v>5</v>
      </c>
      <c r="AK7" t="s">
        <v>831</v>
      </c>
      <c r="AL7">
        <v>5</v>
      </c>
      <c r="AM7" t="s">
        <v>831</v>
      </c>
    </row>
    <row r="8" spans="1:39" x14ac:dyDescent="0.25">
      <c r="A8">
        <v>73386303079</v>
      </c>
      <c r="B8" t="s">
        <v>763</v>
      </c>
      <c r="C8">
        <v>5</v>
      </c>
      <c r="D8" t="s">
        <v>831</v>
      </c>
      <c r="E8" t="s">
        <v>831</v>
      </c>
      <c r="F8" t="s">
        <v>831</v>
      </c>
      <c r="G8" t="s">
        <v>831</v>
      </c>
      <c r="H8" t="s">
        <v>831</v>
      </c>
      <c r="I8" t="s">
        <v>831</v>
      </c>
      <c r="J8" t="s">
        <v>831</v>
      </c>
      <c r="K8" t="s">
        <v>831</v>
      </c>
      <c r="L8" t="s">
        <v>831</v>
      </c>
      <c r="M8" t="s">
        <v>831</v>
      </c>
      <c r="N8" t="s">
        <v>831</v>
      </c>
      <c r="O8" t="s">
        <v>831</v>
      </c>
      <c r="P8" t="s">
        <v>831</v>
      </c>
      <c r="Q8" t="s">
        <v>831</v>
      </c>
      <c r="R8" t="s">
        <v>831</v>
      </c>
      <c r="S8" t="s">
        <v>831</v>
      </c>
      <c r="T8">
        <v>4</v>
      </c>
      <c r="U8">
        <v>5</v>
      </c>
      <c r="V8" t="s">
        <v>831</v>
      </c>
      <c r="W8" t="s">
        <v>831</v>
      </c>
      <c r="X8" t="s">
        <v>831</v>
      </c>
      <c r="Y8" t="s">
        <v>831</v>
      </c>
      <c r="Z8">
        <v>0</v>
      </c>
      <c r="AA8" t="s">
        <v>831</v>
      </c>
      <c r="AB8" t="s">
        <v>831</v>
      </c>
      <c r="AC8" t="s">
        <v>831</v>
      </c>
      <c r="AD8" t="s">
        <v>831</v>
      </c>
      <c r="AE8" t="s">
        <v>831</v>
      </c>
      <c r="AF8" t="s">
        <v>831</v>
      </c>
      <c r="AG8" t="s">
        <v>831</v>
      </c>
      <c r="AH8" t="s">
        <v>831</v>
      </c>
      <c r="AI8" t="s">
        <v>831</v>
      </c>
      <c r="AJ8" t="s">
        <v>831</v>
      </c>
      <c r="AK8" t="s">
        <v>831</v>
      </c>
      <c r="AL8" t="s">
        <v>831</v>
      </c>
      <c r="AM8" t="s">
        <v>831</v>
      </c>
    </row>
    <row r="9" spans="1:39" x14ac:dyDescent="0.25">
      <c r="A9">
        <v>73336703303</v>
      </c>
      <c r="B9" t="s">
        <v>797</v>
      </c>
      <c r="C9">
        <v>5</v>
      </c>
      <c r="D9" t="s">
        <v>831</v>
      </c>
      <c r="E9" t="s">
        <v>831</v>
      </c>
      <c r="F9" t="s">
        <v>831</v>
      </c>
      <c r="G9" t="s">
        <v>831</v>
      </c>
      <c r="H9" t="s">
        <v>831</v>
      </c>
      <c r="I9" t="s">
        <v>831</v>
      </c>
      <c r="J9" t="s">
        <v>831</v>
      </c>
      <c r="K9" t="s">
        <v>831</v>
      </c>
      <c r="L9" t="s">
        <v>831</v>
      </c>
      <c r="M9" t="s">
        <v>831</v>
      </c>
      <c r="N9" t="s">
        <v>831</v>
      </c>
      <c r="O9" t="s">
        <v>831</v>
      </c>
      <c r="P9" t="s">
        <v>831</v>
      </c>
      <c r="Q9" t="s">
        <v>831</v>
      </c>
      <c r="R9">
        <v>5</v>
      </c>
      <c r="S9">
        <v>5</v>
      </c>
      <c r="T9">
        <v>5</v>
      </c>
      <c r="U9">
        <v>5</v>
      </c>
      <c r="V9" t="s">
        <v>831</v>
      </c>
      <c r="W9" t="s">
        <v>831</v>
      </c>
      <c r="X9" t="s">
        <v>831</v>
      </c>
      <c r="Y9" t="s">
        <v>831</v>
      </c>
      <c r="Z9">
        <v>0</v>
      </c>
      <c r="AA9" t="s">
        <v>831</v>
      </c>
      <c r="AB9" t="s">
        <v>831</v>
      </c>
      <c r="AC9" t="s">
        <v>831</v>
      </c>
      <c r="AD9" t="s">
        <v>831</v>
      </c>
      <c r="AE9" t="s">
        <v>831</v>
      </c>
      <c r="AF9" t="s">
        <v>831</v>
      </c>
      <c r="AG9" t="s">
        <v>831</v>
      </c>
      <c r="AH9" t="s">
        <v>831</v>
      </c>
      <c r="AI9" t="s">
        <v>831</v>
      </c>
      <c r="AJ9" t="s">
        <v>831</v>
      </c>
      <c r="AK9" t="s">
        <v>831</v>
      </c>
      <c r="AL9" t="s">
        <v>831</v>
      </c>
      <c r="AM9" t="s">
        <v>831</v>
      </c>
    </row>
    <row r="10" spans="1:39" x14ac:dyDescent="0.25">
      <c r="A10">
        <v>73391739931</v>
      </c>
      <c r="B10" t="s">
        <v>1063</v>
      </c>
      <c r="C10">
        <v>5</v>
      </c>
      <c r="D10" t="s">
        <v>831</v>
      </c>
      <c r="E10" t="s">
        <v>831</v>
      </c>
      <c r="F10" t="s">
        <v>831</v>
      </c>
      <c r="G10" t="s">
        <v>831</v>
      </c>
      <c r="H10" t="s">
        <v>831</v>
      </c>
      <c r="I10" t="s">
        <v>831</v>
      </c>
      <c r="J10" t="s">
        <v>831</v>
      </c>
      <c r="K10" t="s">
        <v>831</v>
      </c>
      <c r="L10" t="s">
        <v>831</v>
      </c>
      <c r="M10" t="s">
        <v>831</v>
      </c>
      <c r="N10" t="s">
        <v>831</v>
      </c>
      <c r="O10" t="s">
        <v>831</v>
      </c>
      <c r="P10" t="s">
        <v>831</v>
      </c>
      <c r="Q10" t="s">
        <v>831</v>
      </c>
      <c r="R10" t="s">
        <v>831</v>
      </c>
      <c r="S10" t="s">
        <v>831</v>
      </c>
      <c r="T10">
        <v>5</v>
      </c>
      <c r="U10">
        <v>5</v>
      </c>
      <c r="V10" t="s">
        <v>831</v>
      </c>
      <c r="W10" t="s">
        <v>831</v>
      </c>
      <c r="X10" t="s">
        <v>831</v>
      </c>
      <c r="Y10" t="s">
        <v>831</v>
      </c>
      <c r="Z10">
        <v>0</v>
      </c>
      <c r="AA10" t="s">
        <v>831</v>
      </c>
      <c r="AB10" t="s">
        <v>831</v>
      </c>
      <c r="AC10" t="s">
        <v>831</v>
      </c>
      <c r="AD10" t="s">
        <v>831</v>
      </c>
      <c r="AE10" t="s">
        <v>831</v>
      </c>
      <c r="AF10" t="s">
        <v>831</v>
      </c>
      <c r="AG10" t="s">
        <v>831</v>
      </c>
      <c r="AH10" t="s">
        <v>831</v>
      </c>
      <c r="AI10" t="s">
        <v>831</v>
      </c>
      <c r="AJ10" t="s">
        <v>831</v>
      </c>
      <c r="AK10" t="s">
        <v>831</v>
      </c>
      <c r="AL10" t="s">
        <v>831</v>
      </c>
      <c r="AM10" t="s">
        <v>831</v>
      </c>
    </row>
    <row r="11" spans="1:39" x14ac:dyDescent="0.25">
      <c r="A11">
        <v>73375735058</v>
      </c>
      <c r="B11" t="s">
        <v>1043</v>
      </c>
      <c r="C11">
        <v>5</v>
      </c>
      <c r="D11" t="s">
        <v>831</v>
      </c>
      <c r="E11">
        <v>5</v>
      </c>
      <c r="F11" t="s">
        <v>831</v>
      </c>
      <c r="G11" t="s">
        <v>831</v>
      </c>
      <c r="H11" t="s">
        <v>831</v>
      </c>
      <c r="I11" t="s">
        <v>831</v>
      </c>
      <c r="J11" t="s">
        <v>831</v>
      </c>
      <c r="K11" t="s">
        <v>831</v>
      </c>
      <c r="L11" t="s">
        <v>831</v>
      </c>
      <c r="M11" t="s">
        <v>831</v>
      </c>
      <c r="N11" t="s">
        <v>831</v>
      </c>
      <c r="O11">
        <v>5</v>
      </c>
      <c r="P11" t="s">
        <v>831</v>
      </c>
      <c r="Q11" t="s">
        <v>831</v>
      </c>
      <c r="R11">
        <v>5</v>
      </c>
      <c r="S11">
        <v>5</v>
      </c>
      <c r="T11" t="s">
        <v>831</v>
      </c>
      <c r="U11">
        <v>5</v>
      </c>
      <c r="V11" t="s">
        <v>831</v>
      </c>
      <c r="W11" t="s">
        <v>831</v>
      </c>
      <c r="X11" t="s">
        <v>831</v>
      </c>
      <c r="Y11" t="s">
        <v>831</v>
      </c>
      <c r="Z11">
        <v>0</v>
      </c>
      <c r="AA11" t="s">
        <v>831</v>
      </c>
      <c r="AB11" t="s">
        <v>831</v>
      </c>
      <c r="AC11" t="s">
        <v>831</v>
      </c>
      <c r="AD11" t="s">
        <v>831</v>
      </c>
      <c r="AE11" t="s">
        <v>831</v>
      </c>
      <c r="AF11" t="s">
        <v>831</v>
      </c>
      <c r="AG11" t="s">
        <v>831</v>
      </c>
      <c r="AH11" t="s">
        <v>831</v>
      </c>
      <c r="AI11" t="s">
        <v>831</v>
      </c>
      <c r="AJ11">
        <v>5</v>
      </c>
      <c r="AK11" t="s">
        <v>831</v>
      </c>
      <c r="AL11" t="s">
        <v>831</v>
      </c>
      <c r="AM11" t="s">
        <v>831</v>
      </c>
    </row>
    <row r="12" spans="1:39" x14ac:dyDescent="0.25">
      <c r="A12">
        <v>73381418047</v>
      </c>
      <c r="B12" t="s">
        <v>721</v>
      </c>
      <c r="C12">
        <v>5</v>
      </c>
      <c r="D12" t="s">
        <v>831</v>
      </c>
      <c r="E12">
        <v>5</v>
      </c>
      <c r="F12" t="s">
        <v>831</v>
      </c>
      <c r="G12" t="s">
        <v>831</v>
      </c>
      <c r="H12" t="s">
        <v>831</v>
      </c>
      <c r="I12">
        <v>5</v>
      </c>
      <c r="J12" t="s">
        <v>831</v>
      </c>
      <c r="K12" t="s">
        <v>831</v>
      </c>
      <c r="L12" t="s">
        <v>831</v>
      </c>
      <c r="M12" t="s">
        <v>831</v>
      </c>
      <c r="N12" t="s">
        <v>831</v>
      </c>
      <c r="O12" t="s">
        <v>831</v>
      </c>
      <c r="P12" t="s">
        <v>831</v>
      </c>
      <c r="Q12" t="s">
        <v>831</v>
      </c>
      <c r="R12">
        <v>5</v>
      </c>
      <c r="S12" t="s">
        <v>831</v>
      </c>
      <c r="T12">
        <v>5</v>
      </c>
      <c r="U12">
        <v>5</v>
      </c>
      <c r="V12" t="s">
        <v>831</v>
      </c>
      <c r="W12" t="s">
        <v>831</v>
      </c>
      <c r="X12" t="s">
        <v>831</v>
      </c>
      <c r="Y12" t="s">
        <v>831</v>
      </c>
      <c r="Z12">
        <v>0</v>
      </c>
      <c r="AA12" t="s">
        <v>831</v>
      </c>
      <c r="AB12" t="s">
        <v>831</v>
      </c>
      <c r="AC12" t="s">
        <v>831</v>
      </c>
      <c r="AD12" t="s">
        <v>831</v>
      </c>
      <c r="AE12">
        <v>5</v>
      </c>
      <c r="AF12" t="s">
        <v>831</v>
      </c>
      <c r="AG12">
        <v>5</v>
      </c>
      <c r="AH12" t="s">
        <v>831</v>
      </c>
      <c r="AI12" t="s">
        <v>831</v>
      </c>
      <c r="AJ12">
        <v>5</v>
      </c>
      <c r="AK12" t="s">
        <v>831</v>
      </c>
      <c r="AL12">
        <v>5</v>
      </c>
      <c r="AM12" t="s">
        <v>831</v>
      </c>
    </row>
    <row r="13" spans="1:39" x14ac:dyDescent="0.25">
      <c r="A13">
        <v>73390999640</v>
      </c>
      <c r="B13" t="s">
        <v>959</v>
      </c>
      <c r="C13">
        <v>5</v>
      </c>
      <c r="D13" t="s">
        <v>831</v>
      </c>
      <c r="E13">
        <v>5</v>
      </c>
      <c r="F13" t="s">
        <v>831</v>
      </c>
      <c r="G13" t="s">
        <v>831</v>
      </c>
      <c r="H13" t="s">
        <v>831</v>
      </c>
      <c r="I13">
        <v>5</v>
      </c>
      <c r="J13" t="s">
        <v>831</v>
      </c>
      <c r="K13" t="s">
        <v>831</v>
      </c>
      <c r="L13" t="s">
        <v>831</v>
      </c>
      <c r="M13" t="s">
        <v>831</v>
      </c>
      <c r="N13" t="s">
        <v>831</v>
      </c>
      <c r="O13">
        <v>5</v>
      </c>
      <c r="P13" t="s">
        <v>831</v>
      </c>
      <c r="Q13" t="s">
        <v>831</v>
      </c>
      <c r="R13">
        <v>5</v>
      </c>
      <c r="S13">
        <v>5</v>
      </c>
      <c r="T13" t="s">
        <v>831</v>
      </c>
      <c r="U13">
        <v>5</v>
      </c>
      <c r="V13" t="s">
        <v>831</v>
      </c>
      <c r="W13" t="s">
        <v>831</v>
      </c>
      <c r="X13" t="s">
        <v>831</v>
      </c>
      <c r="Y13" t="s">
        <v>831</v>
      </c>
      <c r="Z13">
        <v>0</v>
      </c>
      <c r="AA13" t="s">
        <v>831</v>
      </c>
      <c r="AB13" t="s">
        <v>831</v>
      </c>
      <c r="AC13" t="s">
        <v>831</v>
      </c>
      <c r="AD13" t="s">
        <v>831</v>
      </c>
      <c r="AE13">
        <v>5</v>
      </c>
      <c r="AF13" t="s">
        <v>831</v>
      </c>
      <c r="AG13">
        <v>5</v>
      </c>
      <c r="AH13" t="s">
        <v>831</v>
      </c>
      <c r="AI13" t="s">
        <v>831</v>
      </c>
      <c r="AJ13">
        <v>5</v>
      </c>
      <c r="AK13" t="s">
        <v>831</v>
      </c>
      <c r="AL13">
        <v>5</v>
      </c>
      <c r="AM13" t="s">
        <v>831</v>
      </c>
    </row>
    <row r="14" spans="1:39" x14ac:dyDescent="0.25">
      <c r="A14">
        <v>73325573588</v>
      </c>
      <c r="B14" t="s">
        <v>864</v>
      </c>
      <c r="C14">
        <v>5</v>
      </c>
      <c r="D14" t="s">
        <v>831</v>
      </c>
      <c r="E14">
        <v>5</v>
      </c>
      <c r="F14" t="s">
        <v>831</v>
      </c>
      <c r="G14" t="s">
        <v>831</v>
      </c>
      <c r="H14" t="s">
        <v>831</v>
      </c>
      <c r="I14">
        <v>5</v>
      </c>
      <c r="J14" t="s">
        <v>831</v>
      </c>
      <c r="K14" t="s">
        <v>831</v>
      </c>
      <c r="L14" t="s">
        <v>831</v>
      </c>
      <c r="M14" t="s">
        <v>831</v>
      </c>
      <c r="N14" t="s">
        <v>831</v>
      </c>
      <c r="O14">
        <v>5</v>
      </c>
      <c r="P14" t="s">
        <v>831</v>
      </c>
      <c r="Q14" t="s">
        <v>831</v>
      </c>
      <c r="R14">
        <v>5</v>
      </c>
      <c r="S14">
        <v>5</v>
      </c>
      <c r="T14" t="s">
        <v>831</v>
      </c>
      <c r="U14">
        <v>5</v>
      </c>
      <c r="V14" t="s">
        <v>831</v>
      </c>
      <c r="W14" t="s">
        <v>831</v>
      </c>
      <c r="X14" t="s">
        <v>831</v>
      </c>
      <c r="Y14" t="s">
        <v>831</v>
      </c>
      <c r="Z14">
        <v>0</v>
      </c>
      <c r="AA14" t="s">
        <v>831</v>
      </c>
      <c r="AB14" t="s">
        <v>831</v>
      </c>
      <c r="AC14" t="s">
        <v>831</v>
      </c>
      <c r="AD14" t="s">
        <v>831</v>
      </c>
      <c r="AE14">
        <v>5</v>
      </c>
      <c r="AF14" t="s">
        <v>831</v>
      </c>
      <c r="AG14">
        <v>5</v>
      </c>
      <c r="AH14" t="s">
        <v>831</v>
      </c>
      <c r="AI14" t="s">
        <v>831</v>
      </c>
      <c r="AJ14">
        <v>5</v>
      </c>
      <c r="AK14" t="s">
        <v>831</v>
      </c>
      <c r="AL14">
        <v>5</v>
      </c>
      <c r="AM14" t="s">
        <v>831</v>
      </c>
    </row>
    <row r="15" spans="1:39" x14ac:dyDescent="0.25">
      <c r="A15">
        <v>73346874841</v>
      </c>
      <c r="B15" t="s">
        <v>764</v>
      </c>
      <c r="C15">
        <v>5</v>
      </c>
      <c r="D15" t="s">
        <v>831</v>
      </c>
      <c r="E15">
        <v>5</v>
      </c>
      <c r="F15" t="s">
        <v>831</v>
      </c>
      <c r="G15" t="s">
        <v>831</v>
      </c>
      <c r="H15" t="s">
        <v>831</v>
      </c>
      <c r="I15" t="s">
        <v>831</v>
      </c>
      <c r="J15" t="s">
        <v>831</v>
      </c>
      <c r="K15" t="s">
        <v>831</v>
      </c>
      <c r="L15" t="s">
        <v>831</v>
      </c>
      <c r="M15" t="s">
        <v>831</v>
      </c>
      <c r="N15" t="s">
        <v>831</v>
      </c>
      <c r="O15">
        <v>5</v>
      </c>
      <c r="P15" t="s">
        <v>831</v>
      </c>
      <c r="Q15" t="s">
        <v>831</v>
      </c>
      <c r="R15">
        <v>5</v>
      </c>
      <c r="S15">
        <v>5</v>
      </c>
      <c r="T15" t="s">
        <v>831</v>
      </c>
      <c r="U15">
        <v>5</v>
      </c>
      <c r="V15" t="s">
        <v>831</v>
      </c>
      <c r="W15" t="s">
        <v>831</v>
      </c>
      <c r="X15" t="s">
        <v>831</v>
      </c>
      <c r="Y15" t="s">
        <v>831</v>
      </c>
      <c r="Z15">
        <v>0</v>
      </c>
      <c r="AA15" t="s">
        <v>831</v>
      </c>
      <c r="AB15" t="s">
        <v>831</v>
      </c>
      <c r="AC15" t="s">
        <v>831</v>
      </c>
      <c r="AD15" t="s">
        <v>831</v>
      </c>
      <c r="AE15">
        <v>5</v>
      </c>
      <c r="AF15" t="s">
        <v>831</v>
      </c>
      <c r="AG15">
        <v>5</v>
      </c>
      <c r="AH15" t="s">
        <v>831</v>
      </c>
      <c r="AI15" t="s">
        <v>831</v>
      </c>
      <c r="AJ15">
        <v>5</v>
      </c>
      <c r="AK15" t="s">
        <v>831</v>
      </c>
      <c r="AL15">
        <v>5</v>
      </c>
      <c r="AM15" t="s">
        <v>831</v>
      </c>
    </row>
    <row r="16" spans="1:39" x14ac:dyDescent="0.25">
      <c r="A16">
        <v>73355331944</v>
      </c>
      <c r="B16" t="s">
        <v>795</v>
      </c>
      <c r="C16">
        <v>5</v>
      </c>
      <c r="D16" t="s">
        <v>831</v>
      </c>
      <c r="E16">
        <v>5</v>
      </c>
      <c r="F16" t="s">
        <v>831</v>
      </c>
      <c r="G16" t="s">
        <v>831</v>
      </c>
      <c r="H16" t="s">
        <v>831</v>
      </c>
      <c r="I16" t="s">
        <v>831</v>
      </c>
      <c r="J16" t="s">
        <v>831</v>
      </c>
      <c r="K16" t="s">
        <v>831</v>
      </c>
      <c r="L16" t="s">
        <v>831</v>
      </c>
      <c r="M16">
        <v>5</v>
      </c>
      <c r="N16" t="s">
        <v>831</v>
      </c>
      <c r="O16">
        <v>3</v>
      </c>
      <c r="P16" t="s">
        <v>831</v>
      </c>
      <c r="Q16" t="s">
        <v>831</v>
      </c>
      <c r="R16">
        <v>4</v>
      </c>
      <c r="S16">
        <v>5</v>
      </c>
      <c r="T16" t="s">
        <v>831</v>
      </c>
      <c r="U16">
        <v>5</v>
      </c>
      <c r="V16" t="s">
        <v>831</v>
      </c>
      <c r="W16" t="s">
        <v>831</v>
      </c>
      <c r="X16" t="s">
        <v>831</v>
      </c>
      <c r="Y16" t="s">
        <v>831</v>
      </c>
      <c r="Z16">
        <v>0</v>
      </c>
      <c r="AA16" t="s">
        <v>831</v>
      </c>
      <c r="AB16" t="s">
        <v>831</v>
      </c>
      <c r="AC16" t="s">
        <v>831</v>
      </c>
      <c r="AD16" t="s">
        <v>831</v>
      </c>
      <c r="AE16">
        <v>5</v>
      </c>
      <c r="AF16" t="s">
        <v>831</v>
      </c>
      <c r="AG16">
        <v>5</v>
      </c>
      <c r="AH16" t="s">
        <v>831</v>
      </c>
      <c r="AI16" t="s">
        <v>831</v>
      </c>
      <c r="AJ16">
        <v>5</v>
      </c>
      <c r="AK16" t="s">
        <v>831</v>
      </c>
      <c r="AL16">
        <v>5</v>
      </c>
      <c r="AM16" t="s">
        <v>831</v>
      </c>
    </row>
    <row r="17" spans="1:39" x14ac:dyDescent="0.25">
      <c r="A17">
        <v>73271909334</v>
      </c>
      <c r="B17" t="s">
        <v>1108</v>
      </c>
      <c r="C17">
        <v>5</v>
      </c>
      <c r="D17" t="s">
        <v>831</v>
      </c>
      <c r="E17">
        <v>5</v>
      </c>
      <c r="F17" t="s">
        <v>831</v>
      </c>
      <c r="G17" t="s">
        <v>831</v>
      </c>
      <c r="H17" t="s">
        <v>831</v>
      </c>
      <c r="I17">
        <v>5</v>
      </c>
      <c r="J17" t="s">
        <v>831</v>
      </c>
      <c r="K17" t="s">
        <v>831</v>
      </c>
      <c r="L17" t="s">
        <v>831</v>
      </c>
      <c r="M17" t="s">
        <v>831</v>
      </c>
      <c r="N17" t="s">
        <v>831</v>
      </c>
      <c r="O17" t="s">
        <v>831</v>
      </c>
      <c r="P17" t="s">
        <v>831</v>
      </c>
      <c r="Q17" t="s">
        <v>831</v>
      </c>
      <c r="R17">
        <v>5</v>
      </c>
      <c r="S17" t="s">
        <v>831</v>
      </c>
      <c r="T17">
        <v>5</v>
      </c>
      <c r="U17">
        <v>5</v>
      </c>
      <c r="V17" t="s">
        <v>831</v>
      </c>
      <c r="W17" t="s">
        <v>831</v>
      </c>
      <c r="X17" t="s">
        <v>831</v>
      </c>
      <c r="Y17" t="s">
        <v>831</v>
      </c>
      <c r="Z17">
        <v>0</v>
      </c>
      <c r="AA17" t="s">
        <v>831</v>
      </c>
      <c r="AB17" t="s">
        <v>831</v>
      </c>
      <c r="AC17" t="s">
        <v>831</v>
      </c>
      <c r="AD17" t="s">
        <v>831</v>
      </c>
      <c r="AE17">
        <v>5</v>
      </c>
      <c r="AF17" t="s">
        <v>831</v>
      </c>
      <c r="AG17">
        <v>5</v>
      </c>
      <c r="AH17" t="s">
        <v>831</v>
      </c>
      <c r="AI17">
        <v>5</v>
      </c>
      <c r="AJ17">
        <v>5</v>
      </c>
      <c r="AK17" t="s">
        <v>831</v>
      </c>
      <c r="AL17">
        <v>5</v>
      </c>
      <c r="AM17" t="s">
        <v>831</v>
      </c>
    </row>
    <row r="18" spans="1:39" x14ac:dyDescent="0.25">
      <c r="A18">
        <v>73397906008</v>
      </c>
      <c r="B18" t="s">
        <v>913</v>
      </c>
      <c r="C18">
        <v>5</v>
      </c>
      <c r="D18" t="s">
        <v>831</v>
      </c>
      <c r="E18">
        <v>5</v>
      </c>
      <c r="F18" t="s">
        <v>831</v>
      </c>
      <c r="G18" t="s">
        <v>831</v>
      </c>
      <c r="H18" t="s">
        <v>831</v>
      </c>
      <c r="I18">
        <v>5</v>
      </c>
      <c r="J18" t="s">
        <v>831</v>
      </c>
      <c r="K18" t="s">
        <v>831</v>
      </c>
      <c r="L18" t="s">
        <v>831</v>
      </c>
      <c r="M18" t="s">
        <v>831</v>
      </c>
      <c r="N18" t="s">
        <v>831</v>
      </c>
      <c r="O18">
        <v>5</v>
      </c>
      <c r="P18" t="s">
        <v>831</v>
      </c>
      <c r="Q18" t="s">
        <v>831</v>
      </c>
      <c r="R18">
        <v>5</v>
      </c>
      <c r="S18">
        <v>5</v>
      </c>
      <c r="T18" t="s">
        <v>831</v>
      </c>
      <c r="U18">
        <v>5</v>
      </c>
      <c r="V18" t="s">
        <v>831</v>
      </c>
      <c r="W18" t="s">
        <v>831</v>
      </c>
      <c r="X18" t="s">
        <v>831</v>
      </c>
      <c r="Y18" t="s">
        <v>831</v>
      </c>
      <c r="Z18">
        <v>0</v>
      </c>
      <c r="AA18" t="s">
        <v>831</v>
      </c>
      <c r="AB18" t="s">
        <v>831</v>
      </c>
      <c r="AC18" t="s">
        <v>831</v>
      </c>
      <c r="AD18" t="s">
        <v>831</v>
      </c>
      <c r="AE18">
        <v>5</v>
      </c>
      <c r="AF18" t="s">
        <v>831</v>
      </c>
      <c r="AG18">
        <v>5</v>
      </c>
      <c r="AH18" t="s">
        <v>831</v>
      </c>
      <c r="AI18" t="s">
        <v>831</v>
      </c>
      <c r="AJ18">
        <v>5</v>
      </c>
      <c r="AK18" t="s">
        <v>831</v>
      </c>
      <c r="AL18">
        <v>5</v>
      </c>
      <c r="AM18" t="s">
        <v>831</v>
      </c>
    </row>
    <row r="19" spans="1:39" x14ac:dyDescent="0.25">
      <c r="A19">
        <v>73307053848</v>
      </c>
      <c r="B19" t="s">
        <v>853</v>
      </c>
      <c r="C19">
        <v>4</v>
      </c>
      <c r="D19" t="s">
        <v>831</v>
      </c>
      <c r="E19">
        <v>5</v>
      </c>
      <c r="F19" t="s">
        <v>831</v>
      </c>
      <c r="G19" t="s">
        <v>831</v>
      </c>
      <c r="H19" t="s">
        <v>831</v>
      </c>
      <c r="I19">
        <v>5</v>
      </c>
      <c r="J19" t="s">
        <v>831</v>
      </c>
      <c r="K19" t="s">
        <v>831</v>
      </c>
      <c r="L19" t="s">
        <v>831</v>
      </c>
      <c r="M19" t="s">
        <v>831</v>
      </c>
      <c r="N19" t="s">
        <v>831</v>
      </c>
      <c r="O19">
        <v>5</v>
      </c>
      <c r="P19" t="s">
        <v>831</v>
      </c>
      <c r="Q19" t="s">
        <v>831</v>
      </c>
      <c r="R19">
        <v>4</v>
      </c>
      <c r="S19">
        <v>5</v>
      </c>
      <c r="T19" t="s">
        <v>831</v>
      </c>
      <c r="U19">
        <v>5</v>
      </c>
      <c r="V19" t="s">
        <v>831</v>
      </c>
      <c r="W19" t="s">
        <v>831</v>
      </c>
      <c r="X19" t="s">
        <v>831</v>
      </c>
      <c r="Y19" t="s">
        <v>831</v>
      </c>
      <c r="Z19">
        <v>0</v>
      </c>
      <c r="AA19">
        <v>5</v>
      </c>
      <c r="AB19" t="s">
        <v>831</v>
      </c>
      <c r="AC19" t="s">
        <v>831</v>
      </c>
      <c r="AD19" t="s">
        <v>831</v>
      </c>
      <c r="AE19">
        <v>5</v>
      </c>
      <c r="AF19" t="s">
        <v>831</v>
      </c>
      <c r="AG19">
        <v>5</v>
      </c>
      <c r="AH19" t="s">
        <v>831</v>
      </c>
      <c r="AI19" t="s">
        <v>831</v>
      </c>
      <c r="AJ19">
        <v>5</v>
      </c>
      <c r="AK19" t="s">
        <v>831</v>
      </c>
      <c r="AL19">
        <v>5</v>
      </c>
      <c r="AM19" t="s">
        <v>831</v>
      </c>
    </row>
    <row r="20" spans="1:39" x14ac:dyDescent="0.25">
      <c r="A20">
        <v>73312541774</v>
      </c>
      <c r="B20" t="s">
        <v>1045</v>
      </c>
      <c r="C20">
        <v>5</v>
      </c>
      <c r="D20" t="s">
        <v>831</v>
      </c>
      <c r="E20" t="s">
        <v>831</v>
      </c>
      <c r="F20" t="s">
        <v>831</v>
      </c>
      <c r="G20" t="s">
        <v>831</v>
      </c>
      <c r="H20" t="s">
        <v>831</v>
      </c>
      <c r="I20" t="s">
        <v>831</v>
      </c>
      <c r="J20" t="s">
        <v>831</v>
      </c>
      <c r="K20" t="s">
        <v>831</v>
      </c>
      <c r="L20" t="s">
        <v>831</v>
      </c>
      <c r="M20" t="s">
        <v>831</v>
      </c>
      <c r="N20" t="s">
        <v>831</v>
      </c>
      <c r="O20">
        <v>5</v>
      </c>
      <c r="P20" t="s">
        <v>831</v>
      </c>
      <c r="Q20" t="s">
        <v>831</v>
      </c>
      <c r="R20">
        <v>5</v>
      </c>
      <c r="S20">
        <v>5</v>
      </c>
      <c r="T20" t="s">
        <v>831</v>
      </c>
      <c r="U20">
        <v>5</v>
      </c>
      <c r="V20" t="s">
        <v>831</v>
      </c>
      <c r="W20" t="s">
        <v>831</v>
      </c>
      <c r="X20" t="s">
        <v>831</v>
      </c>
      <c r="Y20" t="s">
        <v>831</v>
      </c>
      <c r="Z20">
        <v>0</v>
      </c>
      <c r="AA20" t="s">
        <v>831</v>
      </c>
      <c r="AB20" t="s">
        <v>831</v>
      </c>
      <c r="AC20" t="s">
        <v>831</v>
      </c>
      <c r="AD20" t="s">
        <v>831</v>
      </c>
      <c r="AE20" t="s">
        <v>831</v>
      </c>
      <c r="AF20" t="s">
        <v>831</v>
      </c>
      <c r="AG20" t="s">
        <v>831</v>
      </c>
      <c r="AH20" t="s">
        <v>831</v>
      </c>
      <c r="AI20" t="s">
        <v>831</v>
      </c>
      <c r="AJ20" t="s">
        <v>831</v>
      </c>
      <c r="AK20" t="s">
        <v>831</v>
      </c>
      <c r="AL20" t="s">
        <v>831</v>
      </c>
      <c r="AM20" t="s">
        <v>831</v>
      </c>
    </row>
    <row r="21" spans="1:39" x14ac:dyDescent="0.25">
      <c r="A21">
        <v>73282349738</v>
      </c>
      <c r="B21" t="s">
        <v>754</v>
      </c>
      <c r="C21">
        <v>4</v>
      </c>
      <c r="D21" t="s">
        <v>831</v>
      </c>
      <c r="E21">
        <v>5</v>
      </c>
      <c r="F21" t="s">
        <v>831</v>
      </c>
      <c r="G21" t="s">
        <v>831</v>
      </c>
      <c r="H21">
        <v>5</v>
      </c>
      <c r="I21" t="s">
        <v>831</v>
      </c>
      <c r="J21" t="s">
        <v>831</v>
      </c>
      <c r="K21" t="s">
        <v>831</v>
      </c>
      <c r="L21" t="s">
        <v>831</v>
      </c>
      <c r="M21" t="s">
        <v>831</v>
      </c>
      <c r="N21" t="s">
        <v>831</v>
      </c>
      <c r="O21">
        <v>5</v>
      </c>
      <c r="P21" t="s">
        <v>831</v>
      </c>
      <c r="Q21" t="s">
        <v>831</v>
      </c>
      <c r="R21">
        <v>4</v>
      </c>
      <c r="S21">
        <v>4</v>
      </c>
      <c r="T21" t="s">
        <v>831</v>
      </c>
      <c r="U21">
        <v>4</v>
      </c>
      <c r="V21" t="s">
        <v>831</v>
      </c>
      <c r="W21" t="s">
        <v>831</v>
      </c>
      <c r="X21" t="s">
        <v>831</v>
      </c>
      <c r="Y21" t="s">
        <v>831</v>
      </c>
      <c r="Z21">
        <v>0</v>
      </c>
      <c r="AA21">
        <v>5</v>
      </c>
      <c r="AB21" t="s">
        <v>831</v>
      </c>
      <c r="AC21" t="s">
        <v>831</v>
      </c>
      <c r="AD21" t="s">
        <v>831</v>
      </c>
      <c r="AE21">
        <v>5</v>
      </c>
      <c r="AF21" t="s">
        <v>831</v>
      </c>
      <c r="AG21">
        <v>4</v>
      </c>
      <c r="AH21" t="s">
        <v>831</v>
      </c>
      <c r="AI21" t="s">
        <v>831</v>
      </c>
      <c r="AJ21">
        <v>5</v>
      </c>
      <c r="AK21" t="s">
        <v>831</v>
      </c>
      <c r="AL21">
        <v>4</v>
      </c>
      <c r="AM21" t="s">
        <v>831</v>
      </c>
    </row>
    <row r="22" spans="1:39" x14ac:dyDescent="0.25">
      <c r="A22">
        <v>73285656483</v>
      </c>
      <c r="B22" t="s">
        <v>783</v>
      </c>
      <c r="C22">
        <v>5</v>
      </c>
      <c r="D22" t="s">
        <v>831</v>
      </c>
      <c r="E22" t="s">
        <v>831</v>
      </c>
      <c r="F22" t="s">
        <v>831</v>
      </c>
      <c r="G22" t="s">
        <v>831</v>
      </c>
      <c r="H22" t="s">
        <v>831</v>
      </c>
      <c r="I22" t="s">
        <v>831</v>
      </c>
      <c r="J22" t="s">
        <v>831</v>
      </c>
      <c r="K22" t="s">
        <v>831</v>
      </c>
      <c r="L22" t="s">
        <v>831</v>
      </c>
      <c r="M22" t="s">
        <v>831</v>
      </c>
      <c r="N22" t="s">
        <v>831</v>
      </c>
      <c r="O22" t="s">
        <v>831</v>
      </c>
      <c r="P22" t="s">
        <v>831</v>
      </c>
      <c r="Q22" t="s">
        <v>831</v>
      </c>
      <c r="R22">
        <v>5</v>
      </c>
      <c r="S22" t="s">
        <v>831</v>
      </c>
      <c r="T22">
        <v>5</v>
      </c>
      <c r="U22">
        <v>5</v>
      </c>
      <c r="V22" t="s">
        <v>831</v>
      </c>
      <c r="W22" t="s">
        <v>831</v>
      </c>
      <c r="X22" t="s">
        <v>831</v>
      </c>
      <c r="Y22" t="s">
        <v>831</v>
      </c>
      <c r="Z22">
        <v>0</v>
      </c>
      <c r="AA22" t="s">
        <v>831</v>
      </c>
      <c r="AB22" t="s">
        <v>831</v>
      </c>
      <c r="AC22" t="s">
        <v>831</v>
      </c>
      <c r="AD22" t="s">
        <v>831</v>
      </c>
      <c r="AE22" t="s">
        <v>831</v>
      </c>
      <c r="AF22" t="s">
        <v>831</v>
      </c>
      <c r="AG22" t="s">
        <v>831</v>
      </c>
      <c r="AH22" t="s">
        <v>831</v>
      </c>
      <c r="AI22" t="s">
        <v>831</v>
      </c>
      <c r="AJ22" t="s">
        <v>831</v>
      </c>
      <c r="AK22" t="s">
        <v>831</v>
      </c>
      <c r="AL22" t="s">
        <v>831</v>
      </c>
      <c r="AM22" t="s">
        <v>831</v>
      </c>
    </row>
    <row r="23" spans="1:39" x14ac:dyDescent="0.25">
      <c r="A23">
        <v>73347264909</v>
      </c>
      <c r="B23" t="s">
        <v>980</v>
      </c>
      <c r="C23">
        <v>5</v>
      </c>
      <c r="D23" t="s">
        <v>831</v>
      </c>
      <c r="E23" t="s">
        <v>831</v>
      </c>
      <c r="F23" t="s">
        <v>831</v>
      </c>
      <c r="G23" t="s">
        <v>831</v>
      </c>
      <c r="H23" t="s">
        <v>831</v>
      </c>
      <c r="I23" t="s">
        <v>831</v>
      </c>
      <c r="J23" t="s">
        <v>831</v>
      </c>
      <c r="K23" t="s">
        <v>831</v>
      </c>
      <c r="L23" t="s">
        <v>831</v>
      </c>
      <c r="M23" t="s">
        <v>831</v>
      </c>
      <c r="N23" t="s">
        <v>831</v>
      </c>
      <c r="O23">
        <v>5</v>
      </c>
      <c r="P23" t="s">
        <v>831</v>
      </c>
      <c r="Q23">
        <v>5</v>
      </c>
      <c r="R23">
        <v>4</v>
      </c>
      <c r="S23">
        <v>5</v>
      </c>
      <c r="T23" t="s">
        <v>831</v>
      </c>
      <c r="U23">
        <v>4</v>
      </c>
      <c r="V23" t="s">
        <v>831</v>
      </c>
      <c r="W23" t="s">
        <v>831</v>
      </c>
      <c r="X23" t="s">
        <v>831</v>
      </c>
      <c r="Y23" t="s">
        <v>831</v>
      </c>
      <c r="Z23">
        <v>0</v>
      </c>
      <c r="AA23" t="s">
        <v>831</v>
      </c>
      <c r="AB23" t="s">
        <v>831</v>
      </c>
      <c r="AC23" t="s">
        <v>831</v>
      </c>
      <c r="AD23" t="s">
        <v>831</v>
      </c>
      <c r="AE23" t="s">
        <v>831</v>
      </c>
      <c r="AF23" t="s">
        <v>831</v>
      </c>
      <c r="AG23" t="s">
        <v>831</v>
      </c>
      <c r="AH23" t="s">
        <v>831</v>
      </c>
      <c r="AI23" t="s">
        <v>831</v>
      </c>
      <c r="AJ23" t="s">
        <v>831</v>
      </c>
      <c r="AK23" t="s">
        <v>831</v>
      </c>
      <c r="AL23">
        <v>5</v>
      </c>
      <c r="AM23" t="s">
        <v>831</v>
      </c>
    </row>
    <row r="24" spans="1:39" x14ac:dyDescent="0.25">
      <c r="A24">
        <v>73356575917</v>
      </c>
      <c r="B24" t="s">
        <v>1000</v>
      </c>
      <c r="C24">
        <v>5</v>
      </c>
      <c r="D24" t="s">
        <v>831</v>
      </c>
      <c r="E24">
        <v>5</v>
      </c>
      <c r="F24" t="s">
        <v>831</v>
      </c>
      <c r="G24" t="s">
        <v>831</v>
      </c>
      <c r="H24" t="s">
        <v>831</v>
      </c>
      <c r="I24" t="s">
        <v>831</v>
      </c>
      <c r="J24" t="s">
        <v>831</v>
      </c>
      <c r="K24" t="s">
        <v>831</v>
      </c>
      <c r="L24" t="s">
        <v>831</v>
      </c>
      <c r="M24">
        <v>5</v>
      </c>
      <c r="N24" t="s">
        <v>831</v>
      </c>
      <c r="O24" t="s">
        <v>831</v>
      </c>
      <c r="P24" t="s">
        <v>831</v>
      </c>
      <c r="Q24" t="s">
        <v>831</v>
      </c>
      <c r="R24">
        <v>5</v>
      </c>
      <c r="S24" t="s">
        <v>831</v>
      </c>
      <c r="T24">
        <v>5</v>
      </c>
      <c r="U24">
        <v>5</v>
      </c>
      <c r="V24" t="s">
        <v>831</v>
      </c>
      <c r="W24" t="s">
        <v>831</v>
      </c>
      <c r="X24" t="s">
        <v>831</v>
      </c>
      <c r="Y24" t="s">
        <v>831</v>
      </c>
      <c r="Z24">
        <v>0</v>
      </c>
      <c r="AA24" t="s">
        <v>831</v>
      </c>
      <c r="AB24" t="s">
        <v>831</v>
      </c>
      <c r="AC24" t="s">
        <v>831</v>
      </c>
      <c r="AD24" t="s">
        <v>831</v>
      </c>
      <c r="AE24">
        <v>5</v>
      </c>
      <c r="AF24" t="s">
        <v>831</v>
      </c>
      <c r="AG24">
        <v>5</v>
      </c>
      <c r="AH24" t="s">
        <v>831</v>
      </c>
      <c r="AI24">
        <v>0</v>
      </c>
      <c r="AJ24">
        <v>5</v>
      </c>
      <c r="AK24" t="s">
        <v>831</v>
      </c>
      <c r="AL24">
        <v>5</v>
      </c>
      <c r="AM24" t="s">
        <v>831</v>
      </c>
    </row>
    <row r="25" spans="1:39" x14ac:dyDescent="0.25">
      <c r="A25">
        <v>73323250096</v>
      </c>
      <c r="B25" t="s">
        <v>926</v>
      </c>
      <c r="C25">
        <v>5</v>
      </c>
      <c r="D25" t="s">
        <v>831</v>
      </c>
      <c r="E25">
        <v>5</v>
      </c>
      <c r="F25" t="s">
        <v>831</v>
      </c>
      <c r="G25" t="s">
        <v>831</v>
      </c>
      <c r="H25">
        <v>5</v>
      </c>
      <c r="I25" t="s">
        <v>831</v>
      </c>
      <c r="J25" t="s">
        <v>831</v>
      </c>
      <c r="K25" t="s">
        <v>831</v>
      </c>
      <c r="L25" t="s">
        <v>831</v>
      </c>
      <c r="M25">
        <v>0</v>
      </c>
      <c r="N25" t="s">
        <v>831</v>
      </c>
      <c r="O25">
        <v>5</v>
      </c>
      <c r="P25" t="s">
        <v>831</v>
      </c>
      <c r="Q25" t="s">
        <v>831</v>
      </c>
      <c r="R25">
        <v>5</v>
      </c>
      <c r="S25">
        <v>5</v>
      </c>
      <c r="T25" t="s">
        <v>831</v>
      </c>
      <c r="U25">
        <v>5</v>
      </c>
      <c r="V25" t="s">
        <v>831</v>
      </c>
      <c r="W25" t="s">
        <v>831</v>
      </c>
      <c r="X25" t="s">
        <v>831</v>
      </c>
      <c r="Y25" t="s">
        <v>831</v>
      </c>
      <c r="Z25">
        <v>0</v>
      </c>
      <c r="AA25" t="s">
        <v>831</v>
      </c>
      <c r="AB25" t="s">
        <v>831</v>
      </c>
      <c r="AC25" t="s">
        <v>831</v>
      </c>
      <c r="AD25" t="s">
        <v>831</v>
      </c>
      <c r="AE25">
        <v>5</v>
      </c>
      <c r="AF25" t="s">
        <v>831</v>
      </c>
      <c r="AG25">
        <v>5</v>
      </c>
      <c r="AH25" t="s">
        <v>831</v>
      </c>
      <c r="AI25" t="s">
        <v>831</v>
      </c>
      <c r="AJ25">
        <v>5</v>
      </c>
      <c r="AK25" t="s">
        <v>831</v>
      </c>
      <c r="AL25">
        <v>5</v>
      </c>
      <c r="AM25" t="s">
        <v>831</v>
      </c>
    </row>
    <row r="26" spans="1:39" x14ac:dyDescent="0.25">
      <c r="A26">
        <v>73280617965</v>
      </c>
      <c r="B26" t="s">
        <v>1022</v>
      </c>
      <c r="C26">
        <v>5</v>
      </c>
      <c r="D26" t="s">
        <v>831</v>
      </c>
      <c r="E26">
        <v>5</v>
      </c>
      <c r="F26" t="s">
        <v>831</v>
      </c>
      <c r="G26" t="s">
        <v>831</v>
      </c>
      <c r="H26" t="s">
        <v>831</v>
      </c>
      <c r="I26">
        <v>5</v>
      </c>
      <c r="J26" t="s">
        <v>831</v>
      </c>
      <c r="K26" t="s">
        <v>831</v>
      </c>
      <c r="L26" t="s">
        <v>831</v>
      </c>
      <c r="M26" t="s">
        <v>831</v>
      </c>
      <c r="N26" t="s">
        <v>831</v>
      </c>
      <c r="O26">
        <v>5</v>
      </c>
      <c r="P26" t="s">
        <v>831</v>
      </c>
      <c r="Q26" t="s">
        <v>831</v>
      </c>
      <c r="R26">
        <v>5</v>
      </c>
      <c r="S26">
        <v>5</v>
      </c>
      <c r="T26" t="s">
        <v>831</v>
      </c>
      <c r="U26">
        <v>5</v>
      </c>
      <c r="V26" t="s">
        <v>831</v>
      </c>
      <c r="W26" t="s">
        <v>831</v>
      </c>
      <c r="X26" t="s">
        <v>831</v>
      </c>
      <c r="Y26" t="s">
        <v>831</v>
      </c>
      <c r="Z26">
        <v>0</v>
      </c>
      <c r="AA26" t="s">
        <v>831</v>
      </c>
      <c r="AB26" t="s">
        <v>831</v>
      </c>
      <c r="AC26" t="s">
        <v>831</v>
      </c>
      <c r="AD26" t="s">
        <v>831</v>
      </c>
      <c r="AE26">
        <v>5</v>
      </c>
      <c r="AF26" t="s">
        <v>831</v>
      </c>
      <c r="AG26">
        <v>5</v>
      </c>
      <c r="AH26" t="s">
        <v>831</v>
      </c>
      <c r="AI26" t="s">
        <v>831</v>
      </c>
      <c r="AJ26">
        <v>5</v>
      </c>
      <c r="AK26" t="s">
        <v>831</v>
      </c>
      <c r="AL26">
        <v>5</v>
      </c>
      <c r="AM26" t="s">
        <v>831</v>
      </c>
    </row>
    <row r="27" spans="1:39" x14ac:dyDescent="0.25">
      <c r="A27">
        <v>73397548436</v>
      </c>
      <c r="B27" t="s">
        <v>935</v>
      </c>
      <c r="C27">
        <v>5</v>
      </c>
      <c r="D27" t="s">
        <v>831</v>
      </c>
      <c r="E27" t="s">
        <v>831</v>
      </c>
      <c r="F27" t="s">
        <v>831</v>
      </c>
      <c r="G27" t="s">
        <v>831</v>
      </c>
      <c r="H27" t="s">
        <v>831</v>
      </c>
      <c r="I27" t="s">
        <v>831</v>
      </c>
      <c r="J27" t="s">
        <v>831</v>
      </c>
      <c r="K27" t="s">
        <v>831</v>
      </c>
      <c r="L27" t="s">
        <v>831</v>
      </c>
      <c r="M27" t="s">
        <v>831</v>
      </c>
      <c r="N27" t="s">
        <v>831</v>
      </c>
      <c r="O27" t="s">
        <v>831</v>
      </c>
      <c r="P27" t="s">
        <v>831</v>
      </c>
      <c r="Q27" t="s">
        <v>831</v>
      </c>
      <c r="R27">
        <v>5</v>
      </c>
      <c r="S27" t="s">
        <v>831</v>
      </c>
      <c r="T27">
        <v>5</v>
      </c>
      <c r="U27">
        <v>5</v>
      </c>
      <c r="V27" t="s">
        <v>831</v>
      </c>
      <c r="W27" t="s">
        <v>831</v>
      </c>
      <c r="X27" t="s">
        <v>831</v>
      </c>
      <c r="Y27" t="s">
        <v>831</v>
      </c>
      <c r="Z27">
        <v>0</v>
      </c>
      <c r="AA27" t="s">
        <v>831</v>
      </c>
      <c r="AB27" t="s">
        <v>831</v>
      </c>
      <c r="AC27" t="s">
        <v>831</v>
      </c>
      <c r="AD27" t="s">
        <v>831</v>
      </c>
      <c r="AE27" t="s">
        <v>831</v>
      </c>
      <c r="AF27" t="s">
        <v>831</v>
      </c>
      <c r="AG27" t="s">
        <v>831</v>
      </c>
      <c r="AH27" t="s">
        <v>831</v>
      </c>
      <c r="AI27" t="s">
        <v>831</v>
      </c>
      <c r="AJ27" t="s">
        <v>831</v>
      </c>
      <c r="AK27" t="s">
        <v>831</v>
      </c>
      <c r="AL27" t="s">
        <v>831</v>
      </c>
      <c r="AM27" t="s">
        <v>831</v>
      </c>
    </row>
    <row r="28" spans="1:39" x14ac:dyDescent="0.25">
      <c r="A28">
        <v>73389188130</v>
      </c>
      <c r="B28" t="s">
        <v>876</v>
      </c>
      <c r="C28">
        <v>4</v>
      </c>
      <c r="D28" t="s">
        <v>831</v>
      </c>
      <c r="E28">
        <v>5</v>
      </c>
      <c r="F28" t="s">
        <v>831</v>
      </c>
      <c r="G28" t="s">
        <v>831</v>
      </c>
      <c r="H28" t="s">
        <v>831</v>
      </c>
      <c r="I28">
        <v>5</v>
      </c>
      <c r="J28" t="s">
        <v>831</v>
      </c>
      <c r="K28" t="s">
        <v>831</v>
      </c>
      <c r="L28" t="s">
        <v>831</v>
      </c>
      <c r="M28" t="s">
        <v>831</v>
      </c>
      <c r="N28" t="s">
        <v>831</v>
      </c>
      <c r="O28" t="s">
        <v>831</v>
      </c>
      <c r="P28" t="s">
        <v>831</v>
      </c>
      <c r="Q28" t="s">
        <v>831</v>
      </c>
      <c r="R28">
        <v>4</v>
      </c>
      <c r="S28" t="s">
        <v>831</v>
      </c>
      <c r="T28">
        <v>4</v>
      </c>
      <c r="U28">
        <v>5</v>
      </c>
      <c r="V28" t="s">
        <v>831</v>
      </c>
      <c r="W28" t="s">
        <v>831</v>
      </c>
      <c r="X28" t="s">
        <v>831</v>
      </c>
      <c r="Y28" t="s">
        <v>831</v>
      </c>
      <c r="Z28">
        <v>0</v>
      </c>
      <c r="AA28" t="s">
        <v>831</v>
      </c>
      <c r="AB28" t="s">
        <v>831</v>
      </c>
      <c r="AC28" t="s">
        <v>831</v>
      </c>
      <c r="AD28" t="s">
        <v>831</v>
      </c>
      <c r="AE28">
        <v>4</v>
      </c>
      <c r="AF28" t="s">
        <v>831</v>
      </c>
      <c r="AG28">
        <v>4</v>
      </c>
      <c r="AH28" t="s">
        <v>831</v>
      </c>
      <c r="AI28" t="s">
        <v>831</v>
      </c>
      <c r="AJ28">
        <v>4</v>
      </c>
      <c r="AK28" t="s">
        <v>831</v>
      </c>
      <c r="AL28">
        <v>5</v>
      </c>
      <c r="AM28" t="s">
        <v>831</v>
      </c>
    </row>
    <row r="29" spans="1:39" x14ac:dyDescent="0.25">
      <c r="A29">
        <v>73271244907</v>
      </c>
      <c r="B29" t="s">
        <v>1006</v>
      </c>
      <c r="C29">
        <v>5</v>
      </c>
      <c r="D29" t="s">
        <v>831</v>
      </c>
      <c r="E29">
        <v>5</v>
      </c>
      <c r="F29" t="s">
        <v>831</v>
      </c>
      <c r="G29" t="s">
        <v>831</v>
      </c>
      <c r="H29" t="s">
        <v>831</v>
      </c>
      <c r="I29" t="s">
        <v>831</v>
      </c>
      <c r="J29" t="s">
        <v>831</v>
      </c>
      <c r="K29" t="s">
        <v>831</v>
      </c>
      <c r="L29" t="s">
        <v>831</v>
      </c>
      <c r="M29" t="s">
        <v>831</v>
      </c>
      <c r="N29" t="s">
        <v>831</v>
      </c>
      <c r="O29" t="s">
        <v>831</v>
      </c>
      <c r="P29">
        <v>5</v>
      </c>
      <c r="Q29" t="s">
        <v>831</v>
      </c>
      <c r="R29">
        <v>5</v>
      </c>
      <c r="S29" t="s">
        <v>831</v>
      </c>
      <c r="T29">
        <v>5</v>
      </c>
      <c r="U29">
        <v>5</v>
      </c>
      <c r="V29" t="s">
        <v>831</v>
      </c>
      <c r="W29" t="s">
        <v>831</v>
      </c>
      <c r="X29" t="s">
        <v>831</v>
      </c>
      <c r="Y29" t="s">
        <v>831</v>
      </c>
      <c r="Z29">
        <v>0</v>
      </c>
      <c r="AA29" t="s">
        <v>831</v>
      </c>
      <c r="AB29" t="s">
        <v>831</v>
      </c>
      <c r="AC29" t="s">
        <v>831</v>
      </c>
      <c r="AD29" t="s">
        <v>831</v>
      </c>
      <c r="AE29">
        <v>5</v>
      </c>
      <c r="AF29" t="s">
        <v>831</v>
      </c>
      <c r="AG29">
        <v>5</v>
      </c>
      <c r="AH29" t="s">
        <v>831</v>
      </c>
      <c r="AI29">
        <v>0</v>
      </c>
      <c r="AJ29">
        <v>5</v>
      </c>
      <c r="AK29" t="s">
        <v>831</v>
      </c>
      <c r="AL29">
        <v>5</v>
      </c>
      <c r="AM29" t="s">
        <v>831</v>
      </c>
    </row>
    <row r="30" spans="1:39" x14ac:dyDescent="0.25">
      <c r="A30">
        <v>73371440062</v>
      </c>
      <c r="B30" t="s">
        <v>904</v>
      </c>
      <c r="C30">
        <v>5</v>
      </c>
      <c r="D30" t="s">
        <v>831</v>
      </c>
      <c r="E30">
        <v>5</v>
      </c>
      <c r="F30" t="s">
        <v>831</v>
      </c>
      <c r="G30" t="s">
        <v>831</v>
      </c>
      <c r="H30" t="s">
        <v>831</v>
      </c>
      <c r="I30" t="s">
        <v>831</v>
      </c>
      <c r="J30" t="s">
        <v>831</v>
      </c>
      <c r="K30" t="s">
        <v>831</v>
      </c>
      <c r="L30" t="s">
        <v>831</v>
      </c>
      <c r="M30" t="s">
        <v>831</v>
      </c>
      <c r="N30" t="s">
        <v>831</v>
      </c>
      <c r="O30" t="s">
        <v>831</v>
      </c>
      <c r="P30" t="s">
        <v>831</v>
      </c>
      <c r="Q30" t="s">
        <v>831</v>
      </c>
      <c r="R30">
        <v>5</v>
      </c>
      <c r="S30" t="s">
        <v>831</v>
      </c>
      <c r="T30">
        <v>5</v>
      </c>
      <c r="U30">
        <v>5</v>
      </c>
      <c r="V30">
        <v>4</v>
      </c>
      <c r="W30" t="s">
        <v>831</v>
      </c>
      <c r="X30" t="s">
        <v>831</v>
      </c>
      <c r="Y30" t="s">
        <v>831</v>
      </c>
      <c r="Z30">
        <v>0</v>
      </c>
      <c r="AA30" t="s">
        <v>831</v>
      </c>
      <c r="AB30" t="s">
        <v>831</v>
      </c>
      <c r="AC30" t="s">
        <v>831</v>
      </c>
      <c r="AD30" t="s">
        <v>831</v>
      </c>
      <c r="AE30">
        <v>5</v>
      </c>
      <c r="AF30" t="s">
        <v>831</v>
      </c>
      <c r="AG30">
        <v>5</v>
      </c>
      <c r="AH30" t="s">
        <v>831</v>
      </c>
      <c r="AI30">
        <v>5</v>
      </c>
      <c r="AJ30">
        <v>5</v>
      </c>
      <c r="AK30" t="s">
        <v>831</v>
      </c>
      <c r="AL30">
        <v>5</v>
      </c>
      <c r="AM30" t="s">
        <v>831</v>
      </c>
    </row>
    <row r="31" spans="1:39" x14ac:dyDescent="0.25">
      <c r="A31">
        <v>73386139740</v>
      </c>
      <c r="B31" t="s">
        <v>921</v>
      </c>
      <c r="C31">
        <v>5</v>
      </c>
      <c r="D31" t="s">
        <v>831</v>
      </c>
      <c r="E31">
        <v>5</v>
      </c>
      <c r="F31" t="s">
        <v>831</v>
      </c>
      <c r="G31" t="s">
        <v>831</v>
      </c>
      <c r="H31" t="s">
        <v>831</v>
      </c>
      <c r="I31" t="s">
        <v>831</v>
      </c>
      <c r="J31" t="s">
        <v>831</v>
      </c>
      <c r="K31" t="s">
        <v>831</v>
      </c>
      <c r="L31" t="s">
        <v>831</v>
      </c>
      <c r="M31" t="s">
        <v>831</v>
      </c>
      <c r="N31" t="s">
        <v>831</v>
      </c>
      <c r="O31" t="s">
        <v>831</v>
      </c>
      <c r="P31" t="s">
        <v>831</v>
      </c>
      <c r="Q31" t="s">
        <v>831</v>
      </c>
      <c r="R31">
        <v>5</v>
      </c>
      <c r="S31" t="s">
        <v>831</v>
      </c>
      <c r="T31">
        <v>5</v>
      </c>
      <c r="U31">
        <v>5</v>
      </c>
      <c r="V31" t="s">
        <v>831</v>
      </c>
      <c r="W31" t="s">
        <v>831</v>
      </c>
      <c r="X31" t="s">
        <v>831</v>
      </c>
      <c r="Y31" t="s">
        <v>831</v>
      </c>
      <c r="Z31">
        <v>0</v>
      </c>
      <c r="AA31" t="s">
        <v>831</v>
      </c>
      <c r="AB31" t="s">
        <v>831</v>
      </c>
      <c r="AC31" t="s">
        <v>831</v>
      </c>
      <c r="AD31" t="s">
        <v>831</v>
      </c>
      <c r="AE31" t="s">
        <v>831</v>
      </c>
      <c r="AF31" t="s">
        <v>831</v>
      </c>
      <c r="AG31">
        <v>5</v>
      </c>
      <c r="AH31" t="s">
        <v>831</v>
      </c>
      <c r="AI31" t="s">
        <v>831</v>
      </c>
      <c r="AJ31">
        <v>5</v>
      </c>
      <c r="AK31" t="s">
        <v>831</v>
      </c>
      <c r="AL31">
        <v>5</v>
      </c>
      <c r="AM31" t="s">
        <v>831</v>
      </c>
    </row>
    <row r="32" spans="1:39" x14ac:dyDescent="0.25">
      <c r="A32">
        <v>73257453729</v>
      </c>
      <c r="B32" t="s">
        <v>834</v>
      </c>
      <c r="C32">
        <v>5</v>
      </c>
      <c r="D32" t="s">
        <v>831</v>
      </c>
      <c r="E32" t="s">
        <v>831</v>
      </c>
      <c r="F32" t="s">
        <v>831</v>
      </c>
      <c r="G32" t="s">
        <v>831</v>
      </c>
      <c r="H32" t="s">
        <v>831</v>
      </c>
      <c r="I32" t="s">
        <v>831</v>
      </c>
      <c r="J32" t="s">
        <v>831</v>
      </c>
      <c r="K32" t="s">
        <v>831</v>
      </c>
      <c r="L32" t="s">
        <v>831</v>
      </c>
      <c r="M32" t="s">
        <v>831</v>
      </c>
      <c r="N32" t="s">
        <v>831</v>
      </c>
      <c r="O32">
        <v>5</v>
      </c>
      <c r="P32" t="s">
        <v>831</v>
      </c>
      <c r="Q32" t="s">
        <v>831</v>
      </c>
      <c r="R32">
        <v>5</v>
      </c>
      <c r="S32">
        <v>5</v>
      </c>
      <c r="T32">
        <v>5</v>
      </c>
      <c r="U32">
        <v>5</v>
      </c>
      <c r="V32" t="s">
        <v>831</v>
      </c>
      <c r="W32" t="s">
        <v>831</v>
      </c>
      <c r="X32" t="s">
        <v>831</v>
      </c>
      <c r="Y32" t="s">
        <v>831</v>
      </c>
      <c r="Z32">
        <v>0</v>
      </c>
      <c r="AA32" t="s">
        <v>831</v>
      </c>
      <c r="AB32" t="s">
        <v>831</v>
      </c>
      <c r="AC32" t="s">
        <v>831</v>
      </c>
      <c r="AD32" t="s">
        <v>831</v>
      </c>
      <c r="AE32" t="s">
        <v>831</v>
      </c>
      <c r="AF32" t="s">
        <v>831</v>
      </c>
      <c r="AG32" t="s">
        <v>831</v>
      </c>
      <c r="AH32" t="s">
        <v>831</v>
      </c>
      <c r="AI32" t="s">
        <v>831</v>
      </c>
      <c r="AJ32" t="s">
        <v>831</v>
      </c>
      <c r="AK32" t="s">
        <v>831</v>
      </c>
      <c r="AL32" t="s">
        <v>831</v>
      </c>
      <c r="AM32" t="s">
        <v>831</v>
      </c>
    </row>
    <row r="33" spans="1:39" x14ac:dyDescent="0.25">
      <c r="A33">
        <v>73412334717</v>
      </c>
      <c r="B33" t="s">
        <v>1046</v>
      </c>
      <c r="C33">
        <v>5</v>
      </c>
      <c r="D33" t="s">
        <v>831</v>
      </c>
      <c r="E33">
        <v>5</v>
      </c>
      <c r="F33" t="s">
        <v>831</v>
      </c>
      <c r="G33" t="s">
        <v>831</v>
      </c>
      <c r="H33" t="s">
        <v>831</v>
      </c>
      <c r="I33">
        <v>5</v>
      </c>
      <c r="J33" t="s">
        <v>831</v>
      </c>
      <c r="K33" t="s">
        <v>831</v>
      </c>
      <c r="L33" t="s">
        <v>831</v>
      </c>
      <c r="M33" t="s">
        <v>831</v>
      </c>
      <c r="N33" t="s">
        <v>831</v>
      </c>
      <c r="O33">
        <v>5</v>
      </c>
      <c r="P33" t="s">
        <v>831</v>
      </c>
      <c r="Q33" t="s">
        <v>831</v>
      </c>
      <c r="R33">
        <v>5</v>
      </c>
      <c r="S33">
        <v>5</v>
      </c>
      <c r="T33" t="s">
        <v>831</v>
      </c>
      <c r="U33">
        <v>5</v>
      </c>
      <c r="V33" t="s">
        <v>831</v>
      </c>
      <c r="W33" t="s">
        <v>831</v>
      </c>
      <c r="X33" t="s">
        <v>831</v>
      </c>
      <c r="Y33" t="s">
        <v>831</v>
      </c>
      <c r="Z33">
        <v>0</v>
      </c>
      <c r="AA33" t="s">
        <v>831</v>
      </c>
      <c r="AB33" t="s">
        <v>831</v>
      </c>
      <c r="AC33" t="s">
        <v>831</v>
      </c>
      <c r="AD33" t="s">
        <v>831</v>
      </c>
      <c r="AE33">
        <v>5</v>
      </c>
      <c r="AF33" t="s">
        <v>831</v>
      </c>
      <c r="AG33">
        <v>5</v>
      </c>
      <c r="AH33" t="s">
        <v>831</v>
      </c>
      <c r="AI33" t="s">
        <v>831</v>
      </c>
      <c r="AJ33">
        <v>5</v>
      </c>
      <c r="AK33" t="s">
        <v>831</v>
      </c>
      <c r="AL33">
        <v>5</v>
      </c>
      <c r="AM33" t="s">
        <v>831</v>
      </c>
    </row>
    <row r="34" spans="1:39" x14ac:dyDescent="0.25">
      <c r="A34">
        <v>73300763920</v>
      </c>
      <c r="B34" t="s">
        <v>925</v>
      </c>
      <c r="C34">
        <v>5</v>
      </c>
      <c r="D34" t="s">
        <v>831</v>
      </c>
      <c r="E34">
        <v>5</v>
      </c>
      <c r="F34" t="s">
        <v>831</v>
      </c>
      <c r="G34" t="s">
        <v>831</v>
      </c>
      <c r="H34">
        <v>5</v>
      </c>
      <c r="I34" t="s">
        <v>831</v>
      </c>
      <c r="J34" t="s">
        <v>831</v>
      </c>
      <c r="K34" t="s">
        <v>831</v>
      </c>
      <c r="L34" t="s">
        <v>831</v>
      </c>
      <c r="M34" t="s">
        <v>831</v>
      </c>
      <c r="N34" t="s">
        <v>831</v>
      </c>
      <c r="O34" t="s">
        <v>831</v>
      </c>
      <c r="P34" t="s">
        <v>831</v>
      </c>
      <c r="Q34" t="s">
        <v>831</v>
      </c>
      <c r="R34">
        <v>5</v>
      </c>
      <c r="S34">
        <v>4</v>
      </c>
      <c r="T34">
        <v>5</v>
      </c>
      <c r="U34">
        <v>4</v>
      </c>
      <c r="V34" t="s">
        <v>831</v>
      </c>
      <c r="W34" t="s">
        <v>831</v>
      </c>
      <c r="X34" t="s">
        <v>831</v>
      </c>
      <c r="Y34" t="s">
        <v>831</v>
      </c>
      <c r="Z34">
        <v>0</v>
      </c>
      <c r="AA34" t="s">
        <v>831</v>
      </c>
      <c r="AB34" t="s">
        <v>831</v>
      </c>
      <c r="AC34" t="s">
        <v>831</v>
      </c>
      <c r="AD34" t="s">
        <v>831</v>
      </c>
      <c r="AE34" t="s">
        <v>831</v>
      </c>
      <c r="AF34" t="s">
        <v>831</v>
      </c>
      <c r="AG34">
        <v>5</v>
      </c>
      <c r="AH34" t="s">
        <v>831</v>
      </c>
      <c r="AI34" t="s">
        <v>831</v>
      </c>
      <c r="AJ34" t="s">
        <v>831</v>
      </c>
      <c r="AK34" t="s">
        <v>831</v>
      </c>
      <c r="AL34">
        <v>5</v>
      </c>
      <c r="AM34" t="s">
        <v>831</v>
      </c>
    </row>
    <row r="35" spans="1:39" x14ac:dyDescent="0.25">
      <c r="A35">
        <v>73355978676</v>
      </c>
      <c r="B35" t="s">
        <v>860</v>
      </c>
      <c r="C35">
        <v>5</v>
      </c>
      <c r="D35" t="s">
        <v>831</v>
      </c>
      <c r="E35">
        <v>5</v>
      </c>
      <c r="F35" t="s">
        <v>831</v>
      </c>
      <c r="G35" t="s">
        <v>831</v>
      </c>
      <c r="H35" t="s">
        <v>831</v>
      </c>
      <c r="I35">
        <v>5</v>
      </c>
      <c r="J35" t="s">
        <v>831</v>
      </c>
      <c r="K35" t="s">
        <v>831</v>
      </c>
      <c r="L35" t="s">
        <v>831</v>
      </c>
      <c r="M35" t="s">
        <v>831</v>
      </c>
      <c r="N35" t="s">
        <v>831</v>
      </c>
      <c r="O35" t="s">
        <v>831</v>
      </c>
      <c r="P35" t="s">
        <v>831</v>
      </c>
      <c r="Q35" t="s">
        <v>831</v>
      </c>
      <c r="R35">
        <v>4</v>
      </c>
      <c r="S35" t="s">
        <v>831</v>
      </c>
      <c r="T35">
        <v>5</v>
      </c>
      <c r="U35">
        <v>5</v>
      </c>
      <c r="V35" t="s">
        <v>831</v>
      </c>
      <c r="W35" t="s">
        <v>831</v>
      </c>
      <c r="X35" t="s">
        <v>831</v>
      </c>
      <c r="Y35" t="s">
        <v>831</v>
      </c>
      <c r="Z35">
        <v>0</v>
      </c>
      <c r="AA35" t="s">
        <v>831</v>
      </c>
      <c r="AB35" t="s">
        <v>831</v>
      </c>
      <c r="AC35" t="s">
        <v>831</v>
      </c>
      <c r="AD35" t="s">
        <v>831</v>
      </c>
      <c r="AE35">
        <v>5</v>
      </c>
      <c r="AF35" t="s">
        <v>831</v>
      </c>
      <c r="AG35">
        <v>5</v>
      </c>
      <c r="AH35" t="s">
        <v>831</v>
      </c>
      <c r="AI35" t="s">
        <v>831</v>
      </c>
      <c r="AJ35">
        <v>5</v>
      </c>
      <c r="AK35" t="s">
        <v>831</v>
      </c>
      <c r="AL35">
        <v>5</v>
      </c>
      <c r="AM35" t="s">
        <v>831</v>
      </c>
    </row>
    <row r="36" spans="1:39" x14ac:dyDescent="0.25">
      <c r="A36">
        <v>73274165988</v>
      </c>
      <c r="B36" t="s">
        <v>909</v>
      </c>
      <c r="C36">
        <v>5</v>
      </c>
      <c r="D36" t="s">
        <v>831</v>
      </c>
      <c r="E36" t="s">
        <v>831</v>
      </c>
      <c r="F36" t="s">
        <v>831</v>
      </c>
      <c r="G36" t="s">
        <v>831</v>
      </c>
      <c r="H36" t="s">
        <v>831</v>
      </c>
      <c r="I36" t="s">
        <v>831</v>
      </c>
      <c r="J36" t="s">
        <v>831</v>
      </c>
      <c r="K36" t="s">
        <v>831</v>
      </c>
      <c r="L36" t="s">
        <v>831</v>
      </c>
      <c r="M36" t="s">
        <v>831</v>
      </c>
      <c r="N36" t="s">
        <v>831</v>
      </c>
      <c r="O36" t="s">
        <v>831</v>
      </c>
      <c r="P36" t="s">
        <v>831</v>
      </c>
      <c r="Q36" t="s">
        <v>831</v>
      </c>
      <c r="R36">
        <v>5</v>
      </c>
      <c r="S36" t="s">
        <v>831</v>
      </c>
      <c r="T36">
        <v>4</v>
      </c>
      <c r="U36">
        <v>5</v>
      </c>
      <c r="V36" t="s">
        <v>831</v>
      </c>
      <c r="W36" t="s">
        <v>831</v>
      </c>
      <c r="X36" t="s">
        <v>831</v>
      </c>
      <c r="Y36" t="s">
        <v>831</v>
      </c>
      <c r="Z36">
        <v>0</v>
      </c>
      <c r="AA36" t="s">
        <v>831</v>
      </c>
      <c r="AB36" t="s">
        <v>831</v>
      </c>
      <c r="AC36">
        <v>5</v>
      </c>
      <c r="AD36" t="s">
        <v>831</v>
      </c>
      <c r="AE36" t="s">
        <v>831</v>
      </c>
      <c r="AF36" t="s">
        <v>831</v>
      </c>
      <c r="AG36" t="s">
        <v>831</v>
      </c>
      <c r="AH36" t="s">
        <v>831</v>
      </c>
      <c r="AI36" t="s">
        <v>831</v>
      </c>
      <c r="AJ36" t="s">
        <v>831</v>
      </c>
      <c r="AK36" t="s">
        <v>831</v>
      </c>
      <c r="AL36">
        <v>5</v>
      </c>
      <c r="AM36" t="s">
        <v>831</v>
      </c>
    </row>
    <row r="37" spans="1:39" x14ac:dyDescent="0.25">
      <c r="A37">
        <v>73385370685</v>
      </c>
      <c r="B37" t="s">
        <v>753</v>
      </c>
      <c r="C37">
        <v>5</v>
      </c>
      <c r="D37" t="s">
        <v>831</v>
      </c>
      <c r="E37">
        <v>5</v>
      </c>
      <c r="F37" t="s">
        <v>831</v>
      </c>
      <c r="G37" t="s">
        <v>831</v>
      </c>
      <c r="H37" t="s">
        <v>831</v>
      </c>
      <c r="I37">
        <v>5</v>
      </c>
      <c r="J37" t="s">
        <v>831</v>
      </c>
      <c r="K37" t="s">
        <v>831</v>
      </c>
      <c r="L37" t="s">
        <v>831</v>
      </c>
      <c r="M37" t="s">
        <v>831</v>
      </c>
      <c r="N37" t="s">
        <v>831</v>
      </c>
      <c r="O37" t="s">
        <v>831</v>
      </c>
      <c r="P37" t="s">
        <v>831</v>
      </c>
      <c r="Q37" t="s">
        <v>831</v>
      </c>
      <c r="R37">
        <v>5</v>
      </c>
      <c r="S37" t="s">
        <v>831</v>
      </c>
      <c r="T37">
        <v>5</v>
      </c>
      <c r="U37">
        <v>5</v>
      </c>
      <c r="V37" t="s">
        <v>831</v>
      </c>
      <c r="W37" t="s">
        <v>831</v>
      </c>
      <c r="X37" t="s">
        <v>831</v>
      </c>
      <c r="Y37" t="s">
        <v>831</v>
      </c>
      <c r="Z37">
        <v>0</v>
      </c>
      <c r="AA37" t="s">
        <v>831</v>
      </c>
      <c r="AB37">
        <v>5</v>
      </c>
      <c r="AC37" t="s">
        <v>831</v>
      </c>
      <c r="AD37" t="s">
        <v>831</v>
      </c>
      <c r="AE37">
        <v>5</v>
      </c>
      <c r="AF37" t="s">
        <v>831</v>
      </c>
      <c r="AG37">
        <v>5</v>
      </c>
      <c r="AH37" t="s">
        <v>831</v>
      </c>
      <c r="AI37" t="s">
        <v>831</v>
      </c>
      <c r="AJ37">
        <v>5</v>
      </c>
      <c r="AK37" t="s">
        <v>831</v>
      </c>
      <c r="AL37">
        <v>5</v>
      </c>
      <c r="AM37" t="s">
        <v>831</v>
      </c>
    </row>
    <row r="38" spans="1:39" x14ac:dyDescent="0.25">
      <c r="A38">
        <v>73257693117</v>
      </c>
      <c r="B38" t="s">
        <v>1051</v>
      </c>
      <c r="C38">
        <v>5</v>
      </c>
      <c r="D38" t="s">
        <v>831</v>
      </c>
      <c r="E38">
        <v>5</v>
      </c>
      <c r="F38" t="s">
        <v>831</v>
      </c>
      <c r="G38" t="s">
        <v>831</v>
      </c>
      <c r="H38" t="s">
        <v>831</v>
      </c>
      <c r="I38">
        <v>5</v>
      </c>
      <c r="J38" t="s">
        <v>831</v>
      </c>
      <c r="K38" t="s">
        <v>831</v>
      </c>
      <c r="L38" t="s">
        <v>831</v>
      </c>
      <c r="M38" t="s">
        <v>831</v>
      </c>
      <c r="N38" t="s">
        <v>831</v>
      </c>
      <c r="O38">
        <v>5</v>
      </c>
      <c r="P38" t="s">
        <v>831</v>
      </c>
      <c r="Q38" t="s">
        <v>831</v>
      </c>
      <c r="R38">
        <v>5</v>
      </c>
      <c r="S38">
        <v>5</v>
      </c>
      <c r="T38" t="s">
        <v>831</v>
      </c>
      <c r="U38">
        <v>5</v>
      </c>
      <c r="V38" t="s">
        <v>831</v>
      </c>
      <c r="W38" t="s">
        <v>831</v>
      </c>
      <c r="X38" t="s">
        <v>831</v>
      </c>
      <c r="Y38" t="s">
        <v>831</v>
      </c>
      <c r="Z38">
        <v>0</v>
      </c>
      <c r="AA38" t="s">
        <v>831</v>
      </c>
      <c r="AB38" t="s">
        <v>831</v>
      </c>
      <c r="AC38" t="s">
        <v>831</v>
      </c>
      <c r="AD38" t="s">
        <v>831</v>
      </c>
      <c r="AE38">
        <v>5</v>
      </c>
      <c r="AF38" t="s">
        <v>831</v>
      </c>
      <c r="AG38">
        <v>5</v>
      </c>
      <c r="AH38" t="s">
        <v>831</v>
      </c>
      <c r="AI38" t="s">
        <v>831</v>
      </c>
      <c r="AJ38">
        <v>5</v>
      </c>
      <c r="AK38" t="s">
        <v>831</v>
      </c>
      <c r="AL38">
        <v>5</v>
      </c>
      <c r="AM38" t="s">
        <v>831</v>
      </c>
    </row>
    <row r="39" spans="1:39" x14ac:dyDescent="0.25">
      <c r="A39">
        <v>73336284663</v>
      </c>
      <c r="B39" t="s">
        <v>1041</v>
      </c>
      <c r="C39">
        <v>5</v>
      </c>
      <c r="D39" t="s">
        <v>831</v>
      </c>
      <c r="E39">
        <v>4</v>
      </c>
      <c r="F39" t="s">
        <v>831</v>
      </c>
      <c r="G39" t="s">
        <v>831</v>
      </c>
      <c r="H39" t="s">
        <v>831</v>
      </c>
      <c r="I39">
        <v>5</v>
      </c>
      <c r="J39" t="s">
        <v>831</v>
      </c>
      <c r="K39" t="s">
        <v>831</v>
      </c>
      <c r="L39" t="s">
        <v>831</v>
      </c>
      <c r="M39" t="s">
        <v>831</v>
      </c>
      <c r="N39" t="s">
        <v>831</v>
      </c>
      <c r="O39">
        <v>5</v>
      </c>
      <c r="P39" t="s">
        <v>831</v>
      </c>
      <c r="Q39" t="s">
        <v>831</v>
      </c>
      <c r="R39">
        <v>5</v>
      </c>
      <c r="S39">
        <v>4</v>
      </c>
      <c r="T39" t="s">
        <v>831</v>
      </c>
      <c r="U39">
        <v>5</v>
      </c>
      <c r="V39" t="s">
        <v>831</v>
      </c>
      <c r="W39" t="s">
        <v>831</v>
      </c>
      <c r="X39" t="s">
        <v>831</v>
      </c>
      <c r="Y39" t="s">
        <v>831</v>
      </c>
      <c r="Z39">
        <v>0</v>
      </c>
      <c r="AA39" t="s">
        <v>831</v>
      </c>
      <c r="AB39" t="s">
        <v>831</v>
      </c>
      <c r="AC39" t="s">
        <v>831</v>
      </c>
      <c r="AD39" t="s">
        <v>831</v>
      </c>
      <c r="AE39">
        <v>5</v>
      </c>
      <c r="AF39" t="s">
        <v>831</v>
      </c>
      <c r="AG39">
        <v>5</v>
      </c>
      <c r="AH39" t="s">
        <v>831</v>
      </c>
      <c r="AI39" t="s">
        <v>831</v>
      </c>
      <c r="AJ39">
        <v>5</v>
      </c>
      <c r="AK39" t="s">
        <v>831</v>
      </c>
      <c r="AL39">
        <v>5</v>
      </c>
      <c r="AM39" t="s">
        <v>831</v>
      </c>
    </row>
    <row r="40" spans="1:39" x14ac:dyDescent="0.25">
      <c r="A40">
        <v>73390869717</v>
      </c>
      <c r="B40" t="s">
        <v>1008</v>
      </c>
      <c r="C40">
        <v>5</v>
      </c>
      <c r="D40" t="s">
        <v>831</v>
      </c>
      <c r="E40">
        <v>5</v>
      </c>
      <c r="F40" t="s">
        <v>831</v>
      </c>
      <c r="G40" t="s">
        <v>831</v>
      </c>
      <c r="H40" t="s">
        <v>831</v>
      </c>
      <c r="I40">
        <v>5</v>
      </c>
      <c r="J40" t="s">
        <v>831</v>
      </c>
      <c r="K40" t="s">
        <v>831</v>
      </c>
      <c r="L40" t="s">
        <v>831</v>
      </c>
      <c r="M40" t="s">
        <v>831</v>
      </c>
      <c r="N40" t="s">
        <v>831</v>
      </c>
      <c r="O40" t="s">
        <v>831</v>
      </c>
      <c r="P40" t="s">
        <v>831</v>
      </c>
      <c r="Q40" t="s">
        <v>831</v>
      </c>
      <c r="R40">
        <v>5</v>
      </c>
      <c r="S40" t="s">
        <v>831</v>
      </c>
      <c r="T40">
        <v>5</v>
      </c>
      <c r="U40">
        <v>5</v>
      </c>
      <c r="V40" t="s">
        <v>831</v>
      </c>
      <c r="W40" t="s">
        <v>831</v>
      </c>
      <c r="X40" t="s">
        <v>831</v>
      </c>
      <c r="Y40" t="s">
        <v>831</v>
      </c>
      <c r="Z40">
        <v>0</v>
      </c>
      <c r="AA40" t="s">
        <v>831</v>
      </c>
      <c r="AB40" t="s">
        <v>831</v>
      </c>
      <c r="AC40" t="s">
        <v>831</v>
      </c>
      <c r="AD40" t="s">
        <v>831</v>
      </c>
      <c r="AE40">
        <v>5</v>
      </c>
      <c r="AF40" t="s">
        <v>831</v>
      </c>
      <c r="AG40">
        <v>5</v>
      </c>
      <c r="AH40" t="s">
        <v>831</v>
      </c>
      <c r="AI40">
        <v>0</v>
      </c>
      <c r="AJ40">
        <v>5</v>
      </c>
      <c r="AK40" t="s">
        <v>831</v>
      </c>
      <c r="AL40">
        <v>5</v>
      </c>
      <c r="AM40" t="s">
        <v>831</v>
      </c>
    </row>
    <row r="41" spans="1:39" x14ac:dyDescent="0.25">
      <c r="A41">
        <v>73304707975</v>
      </c>
      <c r="B41" t="s">
        <v>807</v>
      </c>
      <c r="C41">
        <v>5</v>
      </c>
      <c r="D41" t="s">
        <v>831</v>
      </c>
      <c r="E41">
        <v>5</v>
      </c>
      <c r="F41" t="s">
        <v>831</v>
      </c>
      <c r="G41" t="s">
        <v>831</v>
      </c>
      <c r="H41" t="s">
        <v>831</v>
      </c>
      <c r="I41">
        <v>5</v>
      </c>
      <c r="J41" t="s">
        <v>831</v>
      </c>
      <c r="K41" t="s">
        <v>831</v>
      </c>
      <c r="L41" t="s">
        <v>831</v>
      </c>
      <c r="M41" t="s">
        <v>831</v>
      </c>
      <c r="N41" t="s">
        <v>831</v>
      </c>
      <c r="O41">
        <v>5</v>
      </c>
      <c r="P41" t="s">
        <v>831</v>
      </c>
      <c r="Q41" t="s">
        <v>831</v>
      </c>
      <c r="R41">
        <v>4</v>
      </c>
      <c r="S41">
        <v>5</v>
      </c>
      <c r="T41" t="s">
        <v>831</v>
      </c>
      <c r="U41">
        <v>4</v>
      </c>
      <c r="V41" t="s">
        <v>831</v>
      </c>
      <c r="W41" t="s">
        <v>831</v>
      </c>
      <c r="X41" t="s">
        <v>831</v>
      </c>
      <c r="Y41" t="s">
        <v>831</v>
      </c>
      <c r="Z41">
        <v>0</v>
      </c>
      <c r="AA41" t="s">
        <v>831</v>
      </c>
      <c r="AB41" t="s">
        <v>831</v>
      </c>
      <c r="AC41" t="s">
        <v>831</v>
      </c>
      <c r="AD41" t="s">
        <v>831</v>
      </c>
      <c r="AE41">
        <v>5</v>
      </c>
      <c r="AF41" t="s">
        <v>831</v>
      </c>
      <c r="AG41">
        <v>5</v>
      </c>
      <c r="AH41" t="s">
        <v>831</v>
      </c>
      <c r="AI41" t="s">
        <v>831</v>
      </c>
      <c r="AJ41">
        <v>5</v>
      </c>
      <c r="AK41" t="s">
        <v>831</v>
      </c>
      <c r="AL41">
        <v>5</v>
      </c>
      <c r="AM41" t="s">
        <v>831</v>
      </c>
    </row>
    <row r="42" spans="1:39" x14ac:dyDescent="0.25">
      <c r="A42">
        <v>73270011455</v>
      </c>
      <c r="B42" t="s">
        <v>952</v>
      </c>
      <c r="C42">
        <v>5</v>
      </c>
      <c r="D42" t="s">
        <v>831</v>
      </c>
      <c r="E42">
        <v>5</v>
      </c>
      <c r="F42" t="s">
        <v>831</v>
      </c>
      <c r="G42" t="s">
        <v>831</v>
      </c>
      <c r="H42" t="s">
        <v>831</v>
      </c>
      <c r="I42" t="s">
        <v>831</v>
      </c>
      <c r="J42" t="s">
        <v>831</v>
      </c>
      <c r="K42" t="s">
        <v>831</v>
      </c>
      <c r="L42" t="s">
        <v>831</v>
      </c>
      <c r="M42" t="s">
        <v>831</v>
      </c>
      <c r="N42" t="s">
        <v>831</v>
      </c>
      <c r="O42">
        <v>5</v>
      </c>
      <c r="P42" t="s">
        <v>831</v>
      </c>
      <c r="Q42" t="s">
        <v>831</v>
      </c>
      <c r="R42">
        <v>5</v>
      </c>
      <c r="S42">
        <v>5</v>
      </c>
      <c r="T42" t="s">
        <v>831</v>
      </c>
      <c r="U42">
        <v>5</v>
      </c>
      <c r="V42" t="s">
        <v>831</v>
      </c>
      <c r="W42" t="s">
        <v>831</v>
      </c>
      <c r="X42" t="s">
        <v>831</v>
      </c>
      <c r="Y42" t="s">
        <v>831</v>
      </c>
      <c r="Z42">
        <v>0</v>
      </c>
      <c r="AA42" t="s">
        <v>831</v>
      </c>
      <c r="AB42" t="s">
        <v>831</v>
      </c>
      <c r="AC42" t="s">
        <v>831</v>
      </c>
      <c r="AD42" t="s">
        <v>831</v>
      </c>
      <c r="AE42">
        <v>5</v>
      </c>
      <c r="AF42" t="s">
        <v>831</v>
      </c>
      <c r="AG42">
        <v>5</v>
      </c>
      <c r="AH42" t="s">
        <v>831</v>
      </c>
      <c r="AI42" t="s">
        <v>831</v>
      </c>
      <c r="AJ42">
        <v>5</v>
      </c>
      <c r="AK42" t="s">
        <v>831</v>
      </c>
      <c r="AL42">
        <v>5</v>
      </c>
      <c r="AM42" t="s">
        <v>831</v>
      </c>
    </row>
    <row r="43" spans="1:39" x14ac:dyDescent="0.25">
      <c r="A43">
        <v>73364331498</v>
      </c>
      <c r="B43" t="s">
        <v>1112</v>
      </c>
      <c r="C43">
        <v>5</v>
      </c>
      <c r="D43" t="s">
        <v>831</v>
      </c>
      <c r="E43" t="s">
        <v>831</v>
      </c>
      <c r="F43" t="s">
        <v>831</v>
      </c>
      <c r="G43" t="s">
        <v>831</v>
      </c>
      <c r="H43" t="s">
        <v>831</v>
      </c>
      <c r="I43" t="s">
        <v>831</v>
      </c>
      <c r="J43" t="s">
        <v>831</v>
      </c>
      <c r="K43" t="s">
        <v>831</v>
      </c>
      <c r="L43" t="s">
        <v>831</v>
      </c>
      <c r="M43" t="s">
        <v>831</v>
      </c>
      <c r="N43" t="s">
        <v>831</v>
      </c>
      <c r="O43">
        <v>5</v>
      </c>
      <c r="P43" t="s">
        <v>831</v>
      </c>
      <c r="Q43" t="s">
        <v>831</v>
      </c>
      <c r="R43">
        <v>4</v>
      </c>
      <c r="S43">
        <v>5</v>
      </c>
      <c r="T43" t="s">
        <v>831</v>
      </c>
      <c r="U43">
        <v>5</v>
      </c>
      <c r="V43" t="s">
        <v>831</v>
      </c>
      <c r="W43" t="s">
        <v>831</v>
      </c>
      <c r="X43" t="s">
        <v>831</v>
      </c>
      <c r="Y43" t="s">
        <v>831</v>
      </c>
      <c r="Z43">
        <v>0</v>
      </c>
      <c r="AA43" t="s">
        <v>831</v>
      </c>
      <c r="AB43" t="s">
        <v>831</v>
      </c>
      <c r="AC43" t="s">
        <v>831</v>
      </c>
      <c r="AD43" t="s">
        <v>831</v>
      </c>
      <c r="AE43" t="s">
        <v>831</v>
      </c>
      <c r="AF43" t="s">
        <v>831</v>
      </c>
      <c r="AG43">
        <v>5</v>
      </c>
      <c r="AH43" t="s">
        <v>831</v>
      </c>
      <c r="AI43" t="s">
        <v>831</v>
      </c>
      <c r="AJ43" t="s">
        <v>831</v>
      </c>
      <c r="AK43" t="s">
        <v>831</v>
      </c>
      <c r="AL43" t="s">
        <v>831</v>
      </c>
      <c r="AM43" t="s">
        <v>831</v>
      </c>
    </row>
    <row r="44" spans="1:39" x14ac:dyDescent="0.25">
      <c r="A44">
        <v>73356647041</v>
      </c>
      <c r="B44" t="s">
        <v>854</v>
      </c>
      <c r="C44">
        <v>5</v>
      </c>
      <c r="D44" t="s">
        <v>831</v>
      </c>
      <c r="E44">
        <v>5</v>
      </c>
      <c r="F44" t="s">
        <v>831</v>
      </c>
      <c r="G44" t="s">
        <v>831</v>
      </c>
      <c r="H44" t="s">
        <v>831</v>
      </c>
      <c r="I44">
        <v>5</v>
      </c>
      <c r="J44" t="s">
        <v>831</v>
      </c>
      <c r="K44" t="s">
        <v>831</v>
      </c>
      <c r="L44" t="s">
        <v>831</v>
      </c>
      <c r="M44" t="s">
        <v>831</v>
      </c>
      <c r="N44" t="s">
        <v>831</v>
      </c>
      <c r="O44">
        <v>5</v>
      </c>
      <c r="P44" t="s">
        <v>831</v>
      </c>
      <c r="Q44" t="s">
        <v>831</v>
      </c>
      <c r="R44">
        <v>5</v>
      </c>
      <c r="S44">
        <v>5</v>
      </c>
      <c r="T44" t="s">
        <v>831</v>
      </c>
      <c r="U44">
        <v>5</v>
      </c>
      <c r="V44" t="s">
        <v>831</v>
      </c>
      <c r="W44" t="s">
        <v>831</v>
      </c>
      <c r="X44" t="s">
        <v>831</v>
      </c>
      <c r="Y44" t="s">
        <v>831</v>
      </c>
      <c r="Z44">
        <v>0</v>
      </c>
      <c r="AA44" t="s">
        <v>831</v>
      </c>
      <c r="AB44" t="s">
        <v>831</v>
      </c>
      <c r="AC44" t="s">
        <v>831</v>
      </c>
      <c r="AD44" t="s">
        <v>831</v>
      </c>
      <c r="AE44">
        <v>5</v>
      </c>
      <c r="AF44" t="s">
        <v>831</v>
      </c>
      <c r="AG44">
        <v>5</v>
      </c>
      <c r="AH44" t="s">
        <v>831</v>
      </c>
      <c r="AI44" t="s">
        <v>831</v>
      </c>
      <c r="AJ44">
        <v>5</v>
      </c>
      <c r="AK44" t="s">
        <v>831</v>
      </c>
      <c r="AL44">
        <v>5</v>
      </c>
      <c r="AM44" t="s">
        <v>831</v>
      </c>
    </row>
    <row r="45" spans="1:39" x14ac:dyDescent="0.25">
      <c r="A45">
        <v>73325081949</v>
      </c>
      <c r="B45" t="s">
        <v>988</v>
      </c>
      <c r="C45">
        <v>5</v>
      </c>
      <c r="D45" t="s">
        <v>831</v>
      </c>
      <c r="E45">
        <v>3</v>
      </c>
      <c r="F45" t="s">
        <v>831</v>
      </c>
      <c r="G45" t="s">
        <v>831</v>
      </c>
      <c r="H45" t="s">
        <v>831</v>
      </c>
      <c r="I45">
        <v>5</v>
      </c>
      <c r="J45" t="s">
        <v>831</v>
      </c>
      <c r="K45" t="s">
        <v>831</v>
      </c>
      <c r="L45" t="s">
        <v>831</v>
      </c>
      <c r="M45" t="s">
        <v>831</v>
      </c>
      <c r="N45" t="s">
        <v>831</v>
      </c>
      <c r="O45">
        <v>5</v>
      </c>
      <c r="P45" t="s">
        <v>831</v>
      </c>
      <c r="Q45" t="s">
        <v>831</v>
      </c>
      <c r="R45">
        <v>4</v>
      </c>
      <c r="S45">
        <v>4</v>
      </c>
      <c r="T45" t="s">
        <v>831</v>
      </c>
      <c r="U45">
        <v>5</v>
      </c>
      <c r="V45" t="s">
        <v>831</v>
      </c>
      <c r="W45" t="s">
        <v>831</v>
      </c>
      <c r="X45" t="s">
        <v>831</v>
      </c>
      <c r="Y45" t="s">
        <v>831</v>
      </c>
      <c r="Z45">
        <v>0</v>
      </c>
      <c r="AA45" t="s">
        <v>831</v>
      </c>
      <c r="AB45" t="s">
        <v>831</v>
      </c>
      <c r="AC45" t="s">
        <v>831</v>
      </c>
      <c r="AD45" t="s">
        <v>831</v>
      </c>
      <c r="AE45">
        <v>4</v>
      </c>
      <c r="AF45" t="s">
        <v>831</v>
      </c>
      <c r="AG45">
        <v>5</v>
      </c>
      <c r="AH45" t="s">
        <v>831</v>
      </c>
      <c r="AI45" t="s">
        <v>831</v>
      </c>
      <c r="AJ45">
        <v>5</v>
      </c>
      <c r="AK45" t="s">
        <v>831</v>
      </c>
      <c r="AL45">
        <v>5</v>
      </c>
      <c r="AM45" t="s">
        <v>831</v>
      </c>
    </row>
    <row r="46" spans="1:39" x14ac:dyDescent="0.25">
      <c r="A46">
        <v>73282593693</v>
      </c>
      <c r="B46" t="s">
        <v>987</v>
      </c>
      <c r="C46">
        <v>5</v>
      </c>
      <c r="D46" t="s">
        <v>831</v>
      </c>
      <c r="E46">
        <v>5</v>
      </c>
      <c r="F46" t="s">
        <v>831</v>
      </c>
      <c r="G46" t="s">
        <v>831</v>
      </c>
      <c r="H46">
        <v>5</v>
      </c>
      <c r="I46" t="s">
        <v>831</v>
      </c>
      <c r="J46" t="s">
        <v>831</v>
      </c>
      <c r="K46" t="s">
        <v>831</v>
      </c>
      <c r="L46" t="s">
        <v>831</v>
      </c>
      <c r="M46" t="s">
        <v>831</v>
      </c>
      <c r="N46" t="s">
        <v>831</v>
      </c>
      <c r="O46" t="s">
        <v>831</v>
      </c>
      <c r="P46" t="s">
        <v>831</v>
      </c>
      <c r="Q46" t="s">
        <v>831</v>
      </c>
      <c r="R46">
        <v>5</v>
      </c>
      <c r="S46" t="s">
        <v>831</v>
      </c>
      <c r="T46">
        <v>5</v>
      </c>
      <c r="U46">
        <v>5</v>
      </c>
      <c r="V46" t="s">
        <v>831</v>
      </c>
      <c r="W46" t="s">
        <v>831</v>
      </c>
      <c r="X46" t="s">
        <v>831</v>
      </c>
      <c r="Y46" t="s">
        <v>831</v>
      </c>
      <c r="Z46">
        <v>0</v>
      </c>
      <c r="AA46" t="s">
        <v>831</v>
      </c>
      <c r="AB46" t="s">
        <v>831</v>
      </c>
      <c r="AC46" t="s">
        <v>831</v>
      </c>
      <c r="AD46" t="s">
        <v>831</v>
      </c>
      <c r="AE46">
        <v>5</v>
      </c>
      <c r="AF46" t="s">
        <v>831</v>
      </c>
      <c r="AG46">
        <v>5</v>
      </c>
      <c r="AH46" t="s">
        <v>831</v>
      </c>
      <c r="AI46" t="s">
        <v>831</v>
      </c>
      <c r="AJ46">
        <v>5</v>
      </c>
      <c r="AK46" t="s">
        <v>831</v>
      </c>
      <c r="AL46">
        <v>5</v>
      </c>
      <c r="AM46" t="s">
        <v>831</v>
      </c>
    </row>
    <row r="47" spans="1:39" x14ac:dyDescent="0.25">
      <c r="A47">
        <v>73380420407</v>
      </c>
      <c r="B47" t="s">
        <v>724</v>
      </c>
      <c r="C47">
        <v>5</v>
      </c>
      <c r="D47" t="s">
        <v>831</v>
      </c>
      <c r="E47" t="s">
        <v>831</v>
      </c>
      <c r="F47" t="s">
        <v>831</v>
      </c>
      <c r="G47" t="s">
        <v>831</v>
      </c>
      <c r="H47" t="s">
        <v>831</v>
      </c>
      <c r="I47" t="s">
        <v>831</v>
      </c>
      <c r="J47" t="s">
        <v>831</v>
      </c>
      <c r="K47" t="s">
        <v>831</v>
      </c>
      <c r="L47" t="s">
        <v>831</v>
      </c>
      <c r="M47">
        <v>5</v>
      </c>
      <c r="N47" t="s">
        <v>831</v>
      </c>
      <c r="O47" t="s">
        <v>831</v>
      </c>
      <c r="P47" t="s">
        <v>831</v>
      </c>
      <c r="Q47" t="s">
        <v>831</v>
      </c>
      <c r="R47" t="s">
        <v>831</v>
      </c>
      <c r="S47">
        <v>5</v>
      </c>
      <c r="T47">
        <v>5</v>
      </c>
      <c r="U47">
        <v>4</v>
      </c>
      <c r="V47" t="s">
        <v>831</v>
      </c>
      <c r="W47" t="s">
        <v>831</v>
      </c>
      <c r="X47" t="s">
        <v>831</v>
      </c>
      <c r="Y47" t="s">
        <v>831</v>
      </c>
      <c r="Z47">
        <v>0</v>
      </c>
      <c r="AA47" t="s">
        <v>831</v>
      </c>
      <c r="AB47" t="s">
        <v>831</v>
      </c>
      <c r="AC47" t="s">
        <v>831</v>
      </c>
      <c r="AD47" t="s">
        <v>831</v>
      </c>
      <c r="AE47">
        <v>5</v>
      </c>
      <c r="AF47" t="s">
        <v>831</v>
      </c>
      <c r="AG47">
        <v>5</v>
      </c>
      <c r="AH47" t="s">
        <v>831</v>
      </c>
      <c r="AI47" t="s">
        <v>831</v>
      </c>
      <c r="AJ47">
        <v>5</v>
      </c>
      <c r="AK47" t="s">
        <v>831</v>
      </c>
      <c r="AL47">
        <v>5</v>
      </c>
      <c r="AM47" t="s">
        <v>831</v>
      </c>
    </row>
    <row r="48" spans="1:39" x14ac:dyDescent="0.25">
      <c r="A48">
        <v>73384386027</v>
      </c>
      <c r="B48" t="s">
        <v>1042</v>
      </c>
      <c r="C48">
        <v>5</v>
      </c>
      <c r="D48" t="s">
        <v>831</v>
      </c>
      <c r="E48">
        <v>5</v>
      </c>
      <c r="F48" t="s">
        <v>831</v>
      </c>
      <c r="G48" t="s">
        <v>831</v>
      </c>
      <c r="H48" t="s">
        <v>831</v>
      </c>
      <c r="I48">
        <v>5</v>
      </c>
      <c r="J48" t="s">
        <v>831</v>
      </c>
      <c r="K48" t="s">
        <v>831</v>
      </c>
      <c r="L48" t="s">
        <v>831</v>
      </c>
      <c r="M48" t="s">
        <v>831</v>
      </c>
      <c r="N48" t="s">
        <v>831</v>
      </c>
      <c r="O48">
        <v>5</v>
      </c>
      <c r="P48" t="s">
        <v>831</v>
      </c>
      <c r="Q48" t="s">
        <v>831</v>
      </c>
      <c r="R48">
        <v>5</v>
      </c>
      <c r="S48">
        <v>5</v>
      </c>
      <c r="T48" t="s">
        <v>831</v>
      </c>
      <c r="U48">
        <v>5</v>
      </c>
      <c r="V48" t="s">
        <v>831</v>
      </c>
      <c r="W48" t="s">
        <v>831</v>
      </c>
      <c r="X48" t="s">
        <v>831</v>
      </c>
      <c r="Y48" t="s">
        <v>831</v>
      </c>
      <c r="Z48">
        <v>0</v>
      </c>
      <c r="AA48" t="s">
        <v>831</v>
      </c>
      <c r="AB48" t="s">
        <v>831</v>
      </c>
      <c r="AC48" t="s">
        <v>831</v>
      </c>
      <c r="AD48" t="s">
        <v>831</v>
      </c>
      <c r="AE48">
        <v>5</v>
      </c>
      <c r="AF48" t="s">
        <v>831</v>
      </c>
      <c r="AG48">
        <v>5</v>
      </c>
      <c r="AH48" t="s">
        <v>831</v>
      </c>
      <c r="AI48" t="s">
        <v>831</v>
      </c>
      <c r="AJ48">
        <v>5</v>
      </c>
      <c r="AK48" t="s">
        <v>831</v>
      </c>
      <c r="AL48">
        <v>5</v>
      </c>
      <c r="AM48" t="s">
        <v>831</v>
      </c>
    </row>
    <row r="49" spans="1:39" x14ac:dyDescent="0.25">
      <c r="A49">
        <v>73269531256</v>
      </c>
      <c r="B49" t="s">
        <v>769</v>
      </c>
      <c r="C49">
        <v>5</v>
      </c>
      <c r="D49" t="s">
        <v>831</v>
      </c>
      <c r="E49">
        <v>5</v>
      </c>
      <c r="F49" t="s">
        <v>831</v>
      </c>
      <c r="G49" t="s">
        <v>831</v>
      </c>
      <c r="H49" t="s">
        <v>831</v>
      </c>
      <c r="I49" t="s">
        <v>831</v>
      </c>
      <c r="J49" t="s">
        <v>831</v>
      </c>
      <c r="K49" t="s">
        <v>831</v>
      </c>
      <c r="L49" t="s">
        <v>831</v>
      </c>
      <c r="M49" t="s">
        <v>831</v>
      </c>
      <c r="N49" t="s">
        <v>831</v>
      </c>
      <c r="O49">
        <v>5</v>
      </c>
      <c r="P49" t="s">
        <v>831</v>
      </c>
      <c r="Q49" t="s">
        <v>831</v>
      </c>
      <c r="R49">
        <v>5</v>
      </c>
      <c r="S49">
        <v>5</v>
      </c>
      <c r="T49" t="s">
        <v>831</v>
      </c>
      <c r="U49">
        <v>5</v>
      </c>
      <c r="V49" t="s">
        <v>831</v>
      </c>
      <c r="W49" t="s">
        <v>831</v>
      </c>
      <c r="X49" t="s">
        <v>831</v>
      </c>
      <c r="Y49" t="s">
        <v>831</v>
      </c>
      <c r="Z49">
        <v>0</v>
      </c>
      <c r="AA49">
        <v>5</v>
      </c>
      <c r="AB49" t="s">
        <v>831</v>
      </c>
      <c r="AC49" t="s">
        <v>831</v>
      </c>
      <c r="AD49" t="s">
        <v>831</v>
      </c>
      <c r="AE49">
        <v>5</v>
      </c>
      <c r="AF49" t="s">
        <v>831</v>
      </c>
      <c r="AG49">
        <v>5</v>
      </c>
      <c r="AH49" t="s">
        <v>831</v>
      </c>
      <c r="AI49" t="s">
        <v>831</v>
      </c>
      <c r="AJ49">
        <v>5</v>
      </c>
      <c r="AK49" t="s">
        <v>831</v>
      </c>
      <c r="AL49">
        <v>5</v>
      </c>
      <c r="AM49" t="s">
        <v>831</v>
      </c>
    </row>
    <row r="50" spans="1:39" x14ac:dyDescent="0.25">
      <c r="A50">
        <v>73267770668</v>
      </c>
      <c r="B50" t="s">
        <v>1088</v>
      </c>
      <c r="C50">
        <v>5</v>
      </c>
      <c r="D50" t="s">
        <v>831</v>
      </c>
      <c r="E50">
        <v>5</v>
      </c>
      <c r="F50" t="s">
        <v>831</v>
      </c>
      <c r="G50" t="s">
        <v>831</v>
      </c>
      <c r="H50" t="s">
        <v>831</v>
      </c>
      <c r="I50">
        <v>5</v>
      </c>
      <c r="J50" t="s">
        <v>831</v>
      </c>
      <c r="K50" t="s">
        <v>831</v>
      </c>
      <c r="L50" t="s">
        <v>831</v>
      </c>
      <c r="M50" t="s">
        <v>831</v>
      </c>
      <c r="N50" t="s">
        <v>831</v>
      </c>
      <c r="O50">
        <v>5</v>
      </c>
      <c r="P50" t="s">
        <v>831</v>
      </c>
      <c r="Q50" t="s">
        <v>831</v>
      </c>
      <c r="R50">
        <v>5</v>
      </c>
      <c r="S50">
        <v>5</v>
      </c>
      <c r="T50" t="s">
        <v>831</v>
      </c>
      <c r="U50">
        <v>5</v>
      </c>
      <c r="V50" t="s">
        <v>831</v>
      </c>
      <c r="W50" t="s">
        <v>831</v>
      </c>
      <c r="X50" t="s">
        <v>831</v>
      </c>
      <c r="Y50" t="s">
        <v>831</v>
      </c>
      <c r="Z50">
        <v>0</v>
      </c>
      <c r="AA50" t="s">
        <v>831</v>
      </c>
      <c r="AB50" t="s">
        <v>831</v>
      </c>
      <c r="AC50" t="s">
        <v>831</v>
      </c>
      <c r="AD50" t="s">
        <v>831</v>
      </c>
      <c r="AE50">
        <v>4</v>
      </c>
      <c r="AF50" t="s">
        <v>831</v>
      </c>
      <c r="AG50">
        <v>5</v>
      </c>
      <c r="AH50" t="s">
        <v>831</v>
      </c>
      <c r="AI50" t="s">
        <v>831</v>
      </c>
      <c r="AJ50">
        <v>5</v>
      </c>
      <c r="AK50" t="s">
        <v>831</v>
      </c>
      <c r="AL50">
        <v>5</v>
      </c>
      <c r="AM50" t="s">
        <v>831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054D1-44F9-4664-A5DF-85AE7480662B}">
  <sheetPr codeName="Munka10"/>
  <dimension ref="A1:B4"/>
  <sheetViews>
    <sheetView workbookViewId="0">
      <selection activeCell="C6" sqref="C6"/>
    </sheetView>
  </sheetViews>
  <sheetFormatPr defaultRowHeight="15" x14ac:dyDescent="0.25"/>
  <cols>
    <col min="1" max="1" width="18" style="29" bestFit="1" customWidth="1"/>
    <col min="2" max="2" width="7.5703125" style="31" bestFit="1" customWidth="1"/>
  </cols>
  <sheetData>
    <row r="1" spans="1:2" x14ac:dyDescent="0.25">
      <c r="A1" s="28" t="s">
        <v>671</v>
      </c>
      <c r="B1" s="30" t="s">
        <v>1666</v>
      </c>
    </row>
    <row r="3" spans="1:2" x14ac:dyDescent="0.25">
      <c r="A3" s="29">
        <v>45721.375</v>
      </c>
      <c r="B3" s="31">
        <v>1</v>
      </c>
    </row>
    <row r="4" spans="1:2" x14ac:dyDescent="0.25">
      <c r="A4" s="29">
        <v>45721.416666666664</v>
      </c>
      <c r="B4" s="31">
        <v>1</v>
      </c>
    </row>
  </sheetData>
  <pageMargins left="0.7" right="0.7" top="0.75" bottom="0.75" header="0.3" footer="0.3"/>
  <tableParts count="1">
    <tablePart r:id="rId1"/>
  </tableParts>
</worksheet>
</file>

<file path=customUI/_rels/customUI14.xml.rels><?xml version="1.0" encoding="UTF-8" standalone="yes"?>
<Relationships xmlns="http://schemas.openxmlformats.org/package/2006/relationships"><Relationship Id="feltoltrangsor" Type="http://schemas.openxmlformats.org/officeDocument/2006/relationships/image" Target="images/feltoltrangsor.png"/><Relationship Id="diakimport" Type="http://schemas.openxmlformats.org/officeDocument/2006/relationships/image" Target="images/diakimport.png"/><Relationship Id="backup_folder" Type="http://schemas.openxmlformats.org/officeDocument/2006/relationships/image" Target="images/backup_folder.png"/><Relationship Id="jelszoment" Type="http://schemas.openxmlformats.org/officeDocument/2006/relationships/image" Target="images/jelszoment.png"/><Relationship Id="mailment" Type="http://schemas.openxmlformats.org/officeDocument/2006/relationships/image" Target="images/mailment.png"/><Relationship Id="pontimport" Type="http://schemas.openxmlformats.org/officeDocument/2006/relationships/image" Target="images/pontimport.png"/><Relationship Id="Backup" Type="http://schemas.openxmlformats.org/officeDocument/2006/relationships/image" Target="images/Backup.png"/><Relationship Id="iktatosz" Type="http://schemas.openxmlformats.org/officeDocument/2006/relationships/image" Target="images/iktatosz.png"/><Relationship Id="rangsor" Type="http://schemas.openxmlformats.org/officeDocument/2006/relationships/image" Target="images/rangsor.png"/><Relationship Id="rangsorbeallit" Type="http://schemas.openxmlformats.org/officeDocument/2006/relationships/image" Target="images/rangsorbeallit.png"/><Relationship Id="ponthatartorol" Type="http://schemas.openxmlformats.org/officeDocument/2006/relationships/image" Target="images/ponthatartorol.png"/></Relationships>
</file>

<file path=customUI/customUI14.xml><?xml version="1.0" encoding="utf-8"?>
<customUI xmlns="http://schemas.microsoft.com/office/2009/07/customui">
  <ribbon>
    <tabs>
      <tab id="tabDiak" label="Diákkezelés">
        <group id="grpMuveletek" label="Műveletek">
          <button id="btnIktsz" label="Iktatószám beírás" image="iktatosz" size="large" onAction="KitoltIktsz_TablaAutomatikusan" screentip="Iktatószám generálása" supertip="Kitölti az iktsz oszlopot a listak táblában az oktazon alapján. Az ismétlődő oktazon értékek ugyanazt az iktatószámot kapják. A kezdő értéket meg kell adni."/>
          <button id="btnIskola" label="Iskola adatok frissítése" imageMso="AddressBook" size="large" onAction="ToltsdIskolaAdatokatPirosHibaval" screentip="Iskolaadat-frissítés" supertip="Frissíti az iskola neve alapján diakadat tábla iskola oszlopait az iskola tábla alapján. A hiányzó iskolák pirossal lesznek jelölve."/>
          <button id="btnRangsor" label="Rangsor készítés" image="rangsor" size="large" onAction="Rangsorolas_Rangsorban_BevitelEredetiMarad" screentip="Rangsor frissítés" supertip="Rangsor készít a tagozatkódok alapjá vagy az összes diákról. Megadható a munkalap, ahová a mentés kerül."/>
          <button id="btnFeltoltes" label="Rangsor tabla feltöltés" image="feltoltrangsor" size="large" onAction="MasolasDiakadatbolRangsorba" screentip="Rangsor feltöltés" supertip="A Diákadatokból feltölti a rangsor táblát. A tagozat, felvesz, elut, mastvalasz oszlopokon kívül minden adatot felülír."/>
          <button id="btnToplista" label="Toplista a diákadatokba" image="rangsorbeallit" size="large" onAction="SzamoljEgyediPrioritasosRangsor" screentip="Rangsor szinezés" supertip="Rangsor feltöltése a diakadat táblában. Meg kell adni a ferlvételhez szükséges minimális ponthatárt, zöld. A 70 nél kevesebb írásbeli, piros."/>
          <button id="btnPtorles" label="Ponthatár törlése" image="ponthatartorol" size="large" onAction="TorolPonthatarA14" screentip="Ponthatár törlés" supertip="Törli a rangsoroláshoz megadott pontokat. Csak akkor kell használni, ha változtatni szeretnénk a felvételhez szükséges minimális pontszámot."/>
          <button id="btnVerzio" label="Verzió mentés" image="backup_folder" size="large" onAction="SaveVersionedCopy" screentip="Verzió mentés" supertip="A munkafüzetet egy verziózott másolatként menti el egy megadott almappába, pl. '_verziok'. Automatikusan számozza a fájlokat."/>
          <button id="btnJelszo" label="Jelszavak - export" image="jelszoment" size="large" onAction="GeneratePasswordsFromTableAndExportCSV_Final_UniqueWithLogClean" screentip="Jelszavak létrehozása" supertip="Egyedi jelszavakat generál a megadott táblához, majd CSV fájlba exportálja őket. A korábbi naplót automatikusan törli."/>
          <button id="btnEmailCSV" label="E-mail címek - export" image="mailment" size="large" onAction="ExportCSVFromActiveSheetTable_UniqueOktazon" screentip="Email + CSV exportálás" supertip="A jelenlegi munkalap nevesített tábláját exportálja egyedi oktazon alapján CSV-be, majd e-mailt küld a fájl melléklettel."/>
          <button id="btndiakimport" label="Diákok Importálása" image="diakimport" size="large" onAction="Import_Export_Into_ThisWorkbook_Diakadat" screentip="Import másik filéból" supertip="Szóbelire jelentkező diákok importálása"/>
          <button id="btnpontimport" label="Írásbeli pont Importálása" image="pontimport" size="large" onAction="Import_KozpontiFelveteli_Pontszamok" screentip="Import másik filéból" supertip="Írásbeli pomtszámok importálása"/>
        </group>
      </tab>
      <!-- ÚJ TAB: Bizonyítvány -->
      <tab id="tabBizonyitvany" label="Bizonyítvány">
        <group id="grpBizMatrix" label="Mátrix">
          <button id="btnBiziMatrixBuild" label="Mátrix betöltése" imageMso="TableImport" size="large" onAction="Ribbon_BizonyitvanyMatrix" screentip="4. évf. jegyek beolvasása" supertip="Beolvassa a forrás Excelből a 4. évfolyam jegyeit. A bizonyitvany_matrix lapon név sor / tantárgy oszlop formában szerkeszthető mátrixot készít."/>
          <button id="btnBiziUpdate" label="Pont frissítés" imageMso="CalculateSheet" size="large" onAction="Ribbon_BizonyitvanyFrissites" screentip="p_bizonyitvany frissítése" supertip="Csak a kézzel módosított (dirty) sorok alapján frissíti a diakadat táblában a p_bizonyitvany oszlopot oktazon szerint."/>
        </group>
        <group id="grpBizFull" label="Egy kattintás">
          <button id="btnBiziFull" label="Teljes feldolgozás" imageMso="RefreshAll" size="large" onAction="Ribbon_BizonyitvanyTeljes" screentip="Mátrix + frissítés" supertip="Létrehozza/frissíti a bizonyítvány mátrixot a forrásból, majd frissíti a p_bizonyitvany értékeket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10</vt:i4>
      </vt:variant>
    </vt:vector>
  </HeadingPairs>
  <TitlesOfParts>
    <vt:vector size="10" baseType="lpstr">
      <vt:lpstr>adatok</vt:lpstr>
      <vt:lpstr>diakadat</vt:lpstr>
      <vt:lpstr>rangsor</vt:lpstr>
      <vt:lpstr>lista</vt:lpstr>
      <vt:lpstr>tagozat</vt:lpstr>
      <vt:lpstr>Dashboard</vt:lpstr>
      <vt:lpstr>eselyesek</vt:lpstr>
      <vt:lpstr>diak_lista</vt:lpstr>
      <vt:lpstr>bizonyitvany_matrix</vt:lpstr>
      <vt:lpstr>idopontok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Papp György</dc:creator>
  <cp:keywords/>
  <dc:description/>
  <cp:lastModifiedBy>Papp György</cp:lastModifiedBy>
  <cp:revision/>
  <dcterms:created xsi:type="dcterms:W3CDTF">2025-04-10T05:53:53Z</dcterms:created>
  <dcterms:modified xsi:type="dcterms:W3CDTF">2026-02-20T08:11:07Z</dcterms:modified>
  <cp:category/>
  <cp:contentStatus/>
</cp:coreProperties>
</file>